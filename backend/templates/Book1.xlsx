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ublic\3. SẢN XUẤT-製造\Linh tinh\"/>
    </mc:Choice>
  </mc:AlternateContent>
  <xr:revisionPtr revIDLastSave="0" documentId="13_ncr:1_{4AAC49FC-DF0E-4DEE-A9F5-9223FD03E46B}" xr6:coauthVersionLast="47" xr6:coauthVersionMax="47" xr10:uidLastSave="{00000000-0000-0000-0000-000000000000}"/>
  <bookViews>
    <workbookView xWindow="-110" yWindow="-110" windowWidth="25820" windowHeight="15500" xr2:uid="{FEEFFA2F-27A1-4AF2-BC8A-E22D20B459EE}"/>
  </bookViews>
  <sheets>
    <sheet name="mài đo" sheetId="5" r:id="rId1"/>
    <sheet name="ĐỊNH MỨC sx1" sheetId="4" r:id="rId2"/>
    <sheet name="Định mức XLBV" sheetId="3" r:id="rId3"/>
    <sheet name="Gia công" sheetId="2" r:id="rId4"/>
    <sheet name="Nhân sự" sheetId="1" r:id="rId5"/>
  </sheets>
  <externalReferences>
    <externalReference r:id="rId6"/>
  </externalReferences>
  <definedNames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0" hidden="1">#REF!</definedName>
    <definedName name="_Fill" hidden="1">#REF!</definedName>
    <definedName name="_xlnm._FilterDatabase" localSheetId="1" hidden="1">'ĐỊNH MỨC sx1'!$A$5:$BY$5</definedName>
    <definedName name="_xlnm._FilterDatabase" localSheetId="0" hidden="1">'mài đo'!$A$92:$DF$119</definedName>
    <definedName name="_Order1" hidden="1">255</definedName>
    <definedName name="_Order2" hidden="1">255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0" hidden="1">#REF!</definedName>
    <definedName name="_Sort" hidden="1">#REF!</definedName>
    <definedName name="h" localSheetId="1" hidden="1">{"'Sheet1'!$L$16"}</definedName>
    <definedName name="h" localSheetId="2" hidden="1">{"'Sheet1'!$L$16"}</definedName>
    <definedName name="h" localSheetId="3" hidden="1">{"'Sheet1'!$L$16"}</definedName>
    <definedName name="h" localSheetId="0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3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localSheetId="3" hidden="1">{"'Sheet1'!$L$16"}</definedName>
    <definedName name="huy" localSheetId="0" hidden="1">{"'Sheet1'!$L$16"}</definedName>
    <definedName name="huy" hidden="1">{"'Sheet1'!$L$16"}</definedName>
    <definedName name="_xlnm.Print_Area" localSheetId="2">'Định mức XLBV'!$A$1:$IW$38</definedName>
    <definedName name="TU" localSheetId="1">#REF!</definedName>
    <definedName name="TU" localSheetId="2">#REF!</definedName>
    <definedName name="TU" localSheetId="3">#REF!</definedName>
    <definedName name="TU" localSheetId="0">#REF!</definedName>
    <definedName name="TU">#REF!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3" hidden="1">{#N/A,#N/A,FALSE,"Chi tiÆt"}</definedName>
    <definedName name="wrn.chi._.tiÆt." localSheetId="0" hidden="1">{#N/A,#N/A,FALSE,"Chi tiÆt"}</definedName>
    <definedName name="wrn.chi._.tiÆt." hidden="1">{#N/A,#N/A,FALSE,"Chi tiÆt"}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5" l="1"/>
  <c r="AM8" i="5"/>
  <c r="BZ6" i="5"/>
  <c r="BY6" i="5"/>
  <c r="AW6" i="5"/>
  <c r="P28" i="4"/>
  <c r="BJ19" i="4"/>
  <c r="BI15" i="4"/>
  <c r="BB15" i="4"/>
  <c r="BG8" i="4"/>
  <c r="BF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O8" i="4"/>
  <c r="N8" i="4"/>
  <c r="M8" i="4"/>
  <c r="L8" i="4"/>
  <c r="K8" i="4"/>
  <c r="J8" i="4"/>
  <c r="I8" i="4"/>
  <c r="G8" i="4"/>
  <c r="F8" i="4"/>
  <c r="E8" i="4"/>
  <c r="D8" i="4"/>
  <c r="C8" i="4"/>
  <c r="B8" i="4"/>
  <c r="BS6" i="4"/>
  <c r="BQ6" i="4"/>
  <c r="BP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D6" i="4"/>
  <c r="AC6" i="4"/>
  <c r="AB6" i="4"/>
  <c r="AA6" i="4"/>
  <c r="Z6" i="4"/>
  <c r="Y6" i="4"/>
  <c r="X6" i="4"/>
  <c r="W6" i="4"/>
  <c r="V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L3" i="4"/>
  <c r="AP2" i="4"/>
  <c r="AQ2" i="4" s="1"/>
  <c r="L2" i="4"/>
  <c r="J2" i="4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BE3" i="3" s="1"/>
  <c r="BF3" i="3" s="1"/>
  <c r="BG3" i="3" s="1"/>
  <c r="BH3" i="3" s="1"/>
  <c r="BI3" i="3" s="1"/>
  <c r="BJ3" i="3" s="1"/>
  <c r="BK3" i="3" s="1"/>
  <c r="AH18" i="2" l="1"/>
  <c r="F16" i="2"/>
  <c r="E16" i="2"/>
  <c r="C16" i="2"/>
  <c r="X14" i="2"/>
  <c r="CK6" i="2"/>
  <c r="CJ6" i="2"/>
  <c r="CH6" i="2"/>
  <c r="CF6" i="2"/>
  <c r="BG6" i="2"/>
  <c r="BF6" i="2"/>
  <c r="AZ6" i="2"/>
  <c r="AY6" i="2"/>
  <c r="AU6" i="2"/>
  <c r="AT6" i="2"/>
  <c r="AS6" i="2"/>
  <c r="AR6" i="2"/>
  <c r="AO6" i="2"/>
  <c r="AM6" i="2"/>
  <c r="AL6" i="2"/>
  <c r="AK6" i="2"/>
  <c r="AJ6" i="2"/>
  <c r="AI6" i="2"/>
  <c r="AG6" i="2"/>
  <c r="AE6" i="2"/>
  <c r="AD6" i="2"/>
  <c r="Y6" i="2"/>
  <c r="C3" i="2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S2" i="2"/>
  <c r="R2" i="2"/>
  <c r="CH1" i="2"/>
  <c r="AC3" i="2" l="1"/>
  <c r="AD3" i="2" s="1"/>
  <c r="W3" i="2"/>
  <c r="X3" i="2" s="1"/>
  <c r="AA3" i="2"/>
  <c r="AB3" i="2" s="1"/>
  <c r="AE3" i="2" l="1"/>
  <c r="AF3" i="2" s="1"/>
  <c r="Y3" i="2"/>
  <c r="Z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Author</author>
    <author>User</author>
  </authors>
  <commentList>
    <comment ref="BN7" authorId="0" shapeId="0" xr:uid="{84A76880-0884-4030-9C32-94F0E62A9DD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CŨ 130
Thay đổi ngày 12/2/2025 tăng 135</t>
        </r>
      </text>
    </comment>
    <comment ref="AR8" authorId="1" shapeId="0" xr:uid="{744CF733-1C1B-48EE-B22C-DFFFF3850C4E}">
      <text>
        <r>
          <rPr>
            <sz val="9"/>
            <rFont val="Tahoma"/>
            <family val="2"/>
          </rPr>
          <t xml:space="preserve">Chạy 17s/1pcs
</t>
        </r>
      </text>
    </comment>
    <comment ref="BR8" authorId="2" shapeId="0" xr:uid="{438288DC-89AD-42A5-8A10-428AC7099F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CŨ 120 TĂNG 130</t>
        </r>
      </text>
    </comment>
    <comment ref="AY11" authorId="2" shapeId="0" xr:uid="{B4EBD5CC-6707-46E9-832E-D59AADCF67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đo 4 điểm</t>
        </r>
      </text>
    </comment>
    <comment ref="D12" authorId="2" shapeId="0" xr:uid="{998AAEF6-0482-4A38-84EA-1E5CAC95B1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G12" authorId="2" shapeId="0" xr:uid="{EE6B6EAD-4233-4AD5-A1C9-DC11919371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I12" authorId="2" shapeId="0" xr:uid="{DCB99DFD-040E-4A92-873A-39917CC4FC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8UM CŨ 815 &gt; MỚI 950 TỪ NGÀY 1/10/2025
</t>
        </r>
      </text>
    </comment>
    <comment ref="J12" authorId="2" shapeId="0" xr:uid="{E7840BC7-447A-48B4-8C44-874E8667FC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K12" authorId="2" shapeId="0" xr:uid="{0ADA426E-9EEB-4716-890C-2C3F796959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N12" authorId="2" shapeId="0" xr:uid="{E247FF3B-CA02-45D8-9513-F4740396C9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Q12" authorId="2" shapeId="0" xr:uid="{CE041057-BFEE-44BF-BDA4-87AC25F7D4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U12" authorId="2" shapeId="0" xr:uid="{F6DFBE02-5B7A-432F-B891-27B4DAE784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:10060
CŨ 1160</t>
        </r>
      </text>
    </comment>
    <comment ref="V12" authorId="2" shapeId="0" xr:uid="{84C73BB8-0EC8-45B0-ACCB-FA6C4E081C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:10060
CŨ 1160</t>
        </r>
      </text>
    </comment>
    <comment ref="AN12" authorId="2" shapeId="0" xr:uid="{5325D76C-FBCC-45B6-B3F3-B821BF3F67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BD12" authorId="2" shapeId="0" xr:uid="{9A5AAF0D-60A8-4529-B6E9-E1507F4D08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:10160
CŨ 1160</t>
        </r>
      </text>
    </comment>
    <comment ref="BJ12" authorId="2" shapeId="0" xr:uid="{F45B1AEB-322D-49F8-AFB8-F257A6C5EA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MỚI :10060
CŨ 1160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KTC 1222</author>
    <author>Author</author>
  </authors>
  <commentList>
    <comment ref="R5" authorId="0" shapeId="0" xr:uid="{75F6232B-678E-4DBE-8CB9-B1A18A23E85C}">
      <text>
        <r>
          <rPr>
            <b/>
            <sz val="9"/>
            <rFont val="Tahoma"/>
            <family val="2"/>
          </rPr>
          <t>KTC 1222:</t>
        </r>
        <r>
          <rPr>
            <sz val="9"/>
            <rFont val="Tahoma"/>
            <family val="2"/>
          </rPr>
          <t xml:space="preserve">
TĂNG THỜI GIAN PHUN LIỆU TỪ ĐẦU T8 (5.55-5.2)CHU ANH TUẤN.
</t>
        </r>
      </text>
    </comment>
    <comment ref="Z12" authorId="1" shapeId="0" xr:uid="{527F23F6-75DD-49AF-ACC4-0555F5EDE661}">
      <text>
        <r>
          <rPr>
            <b/>
            <sz val="14"/>
            <rFont val="Tahoma"/>
            <family val="2"/>
          </rPr>
          <t>Author:</t>
        </r>
        <r>
          <rPr>
            <sz val="14"/>
            <rFont val="Tahoma"/>
            <family val="2"/>
          </rPr>
          <t xml:space="preserve">
10BATH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4" authorId="0" shapeId="0" xr:uid="{9E3B50F9-B2FE-43E4-AB02-093C776B6F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KH- -TT chia 2 để ra thực tế số hàng xử lý được trong tháng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Quân Trần Khắc</author>
    <author>User</author>
    <author>KTC2026</author>
  </authors>
  <commentList>
    <comment ref="V6" authorId="0" shapeId="0" xr:uid="{96360009-DCC7-41F0-B8F6-CEF6E5EFC4B1}">
      <text>
        <r>
          <rPr>
            <b/>
            <sz val="9"/>
            <color indexed="81"/>
            <rFont val="Tahoma"/>
            <family val="2"/>
          </rPr>
          <t>thay đổi cắt lốc từ 1-5-2025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6" authorId="1" shapeId="0" xr:uid="{BC3821B4-6261-4F9C-8B31-F8780965B4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5243-CÚ 162</t>
        </r>
      </text>
    </comment>
    <comment ref="AE6" authorId="1" shapeId="0" xr:uid="{7272708A-1DF3-4CC2-979F-5271AAB6D9A7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Cũ 702</t>
        </r>
      </text>
    </comment>
    <comment ref="AG6" authorId="1" shapeId="0" xr:uid="{1457D31A-AE8D-4252-BBF9-F2E8D8FCAE9F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cũ 710</t>
        </r>
      </text>
    </comment>
    <comment ref="AK6" authorId="1" shapeId="0" xr:uid="{DB320134-D378-4955-8BA5-E5D5317D90E4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Cũ 805</t>
        </r>
      </text>
    </comment>
    <comment ref="AN6" authorId="1" shapeId="0" xr:uid="{0153AC58-87D8-457C-86B7-1AB60AA92B49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Sửa lại năng suất ngày 23/02/2022 .Cũ 2415</t>
        </r>
      </text>
    </comment>
    <comment ref="AR6" authorId="1" shapeId="0" xr:uid="{C6A2BBC4-1F11-4B92-AF28-D953DB268BD4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Mới 905</t>
        </r>
      </text>
    </comment>
    <comment ref="BA7" authorId="2" shapeId="0" xr:uid="{A20E75F9-95F1-44D7-90D0-7940EF3F51F2}">
      <text>
        <r>
          <rPr>
            <b/>
            <sz val="9"/>
            <color indexed="81"/>
            <rFont val="Tahoma"/>
            <family val="2"/>
          </rPr>
          <t>KTC2026:</t>
        </r>
        <r>
          <rPr>
            <sz val="9"/>
            <color indexed="81"/>
            <rFont val="Tahoma"/>
            <family val="2"/>
          </rPr>
          <t xml:space="preserve">
CŨ 100 THAY ĐỔI KH 120
</t>
        </r>
      </text>
    </comment>
    <comment ref="C8" authorId="0" shapeId="0" xr:uid="{70BFBBB0-E44A-4723-A2F4-4F51216D5527}">
      <text>
        <r>
          <rPr>
            <b/>
            <sz val="9"/>
            <rFont val="Tahoma"/>
            <family val="2"/>
          </rPr>
          <t>MÁY XẾP CAO SU TỪ 1-7-2024</t>
        </r>
        <r>
          <rPr>
            <sz val="9"/>
            <rFont val="Tahoma"/>
            <family val="2"/>
          </rPr>
          <t xml:space="preserve">
</t>
        </r>
      </text>
    </comment>
    <comment ref="F8" authorId="0" shapeId="0" xr:uid="{A50D62C3-7723-4130-9D4A-797F1D435EF3}">
      <text>
        <r>
          <rPr>
            <b/>
            <sz val="9"/>
            <rFont val="Tahoma"/>
            <family val="2"/>
          </rPr>
          <t>MÁY XẾP CAO SU TỪ 1-1-2025</t>
        </r>
        <r>
          <rPr>
            <sz val="9"/>
            <rFont val="Tahoma"/>
            <family val="2"/>
          </rPr>
          <t xml:space="preserve">
</t>
        </r>
      </text>
    </comment>
    <comment ref="I8" authorId="1" shapeId="0" xr:uid="{165EBA52-C470-4EB5-A261-265CD3A085A6}">
      <text>
        <r>
          <rPr>
            <b/>
            <sz val="9"/>
            <rFont val="Tahoma"/>
            <family val="2"/>
          </rPr>
          <t>LỒNG MÁY XẾP CS TỪ 1-8-2024</t>
        </r>
        <r>
          <rPr>
            <sz val="9"/>
            <rFont val="Tahoma"/>
            <family val="2"/>
          </rPr>
          <t xml:space="preserve">
</t>
        </r>
      </text>
    </comment>
    <comment ref="U8" authorId="1" shapeId="0" xr:uid="{1DBFFEA2-209C-4B61-AAC0-57502837B3A6}">
      <text>
        <r>
          <rPr>
            <b/>
            <sz val="9"/>
            <rFont val="Tahoma"/>
            <family val="2"/>
          </rPr>
          <t>LỒNG MÁY XẾP CS TỪ 1-8-2024</t>
        </r>
        <r>
          <rPr>
            <sz val="9"/>
            <rFont val="Tahoma"/>
            <family val="2"/>
          </rPr>
          <t xml:space="preserve">
</t>
        </r>
      </text>
    </comment>
    <comment ref="AO8" authorId="1" shapeId="0" xr:uid="{4E2CFFE9-7C71-4AEA-B4A1-D55AC2A895CB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Cũ 160
Mới 550</t>
        </r>
      </text>
    </comment>
    <comment ref="BT8" authorId="1" shapeId="0" xr:uid="{80B73C62-975A-4D14-A3AB-4C586A5FF9E3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Cũ 310
mới 400</t>
        </r>
      </text>
    </comment>
    <comment ref="AI10" authorId="1" shapeId="0" xr:uid="{C1FA2BCC-AF28-4957-B6EC-4D86A099B2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CŨ 162</t>
        </r>
      </text>
    </comment>
    <comment ref="C16" authorId="0" shapeId="0" xr:uid="{9AE2A338-5638-40EC-9094-8B14CD849AC2}">
      <text>
        <r>
          <rPr>
            <b/>
            <sz val="9"/>
            <rFont val="Tahoma"/>
            <family val="2"/>
          </rPr>
          <t>thay đổi dùng máy xếp cs tăng 80pcs/h</t>
        </r>
        <r>
          <rPr>
            <sz val="9"/>
            <rFont val="Tahoma"/>
            <family val="2"/>
          </rPr>
          <t xml:space="preserve">
</t>
        </r>
      </text>
    </comment>
    <comment ref="E16" authorId="0" shapeId="0" xr:uid="{05CCF002-6CBC-4CBD-87B4-F02683448CB8}">
      <text>
        <r>
          <rPr>
            <b/>
            <sz val="9"/>
            <rFont val="Tahoma"/>
            <family val="2"/>
          </rPr>
          <t>thay đổi dùng máy xếp cs tăng 80pcs/h</t>
        </r>
        <r>
          <rPr>
            <sz val="9"/>
            <rFont val="Tahoma"/>
            <family val="2"/>
          </rPr>
          <t xml:space="preserve">
</t>
        </r>
      </text>
    </comment>
    <comment ref="F16" authorId="0" shapeId="0" xr:uid="{C6EB8F4B-3991-4C9E-A680-95A8C19B994E}">
      <text>
        <r>
          <rPr>
            <b/>
            <sz val="9"/>
            <rFont val="Tahoma"/>
            <family val="2"/>
          </rPr>
          <t>thay đổi dùng máy xếp cs tăng 80pcs/h</t>
        </r>
        <r>
          <rPr>
            <sz val="9"/>
            <rFont val="Tahoma"/>
            <family val="2"/>
          </rPr>
          <t xml:space="preserve">
</t>
        </r>
      </text>
    </comment>
    <comment ref="P16" authorId="1" shapeId="0" xr:uid="{84FAE345-E0AD-49B2-AF64-E58A1437C0D3}">
      <text>
        <r>
          <rPr>
            <sz val="9"/>
            <color indexed="81"/>
            <rFont val="Tahoma"/>
            <family val="2"/>
          </rPr>
          <t xml:space="preserve">tăng từ 3-2025
</t>
        </r>
      </text>
    </comment>
    <comment ref="V16" authorId="1" shapeId="0" xr:uid="{F1A3FA24-78C9-4748-B4A3-D8311EDB607F}">
      <text>
        <r>
          <rPr>
            <sz val="9"/>
            <rFont val="Tahoma"/>
            <family val="2"/>
          </rPr>
          <t>cũ 1300
mới 1400 thổi tách riêng</t>
        </r>
      </text>
    </comment>
    <comment ref="W16" authorId="1" shapeId="0" xr:uid="{028879FB-A2F8-41FF-BAA6-6B072C95AFA3}">
      <text>
        <r>
          <rPr>
            <sz val="9"/>
            <rFont val="Tahoma"/>
            <family val="2"/>
          </rPr>
          <t>cũ 1300
mới 1450 thổi tách riêng</t>
        </r>
      </text>
    </comment>
    <comment ref="X16" authorId="1" shapeId="0" xr:uid="{F4862E53-FF20-4B3D-A9A1-6B1AA6972126}">
      <text>
        <r>
          <rPr>
            <sz val="9"/>
            <rFont val="Tahoma"/>
            <family val="2"/>
          </rPr>
          <t>cũ 1300
mới 1450 thổi tách riêng</t>
        </r>
      </text>
    </comment>
    <comment ref="AA16" authorId="1" shapeId="0" xr:uid="{750868F1-74F3-4F6B-B5E4-8EE777583546}">
      <text>
        <r>
          <rPr>
            <sz val="9"/>
            <rFont val="Tahoma"/>
            <family val="2"/>
          </rPr>
          <t>cũ 1300
mới 1350</t>
        </r>
      </text>
    </comment>
  </commentList>
</comments>
</file>

<file path=xl/sharedStrings.xml><?xml version="1.0" encoding="utf-8"?>
<sst xmlns="http://schemas.openxmlformats.org/spreadsheetml/2006/main" count="2762" uniqueCount="1777">
  <si>
    <t>K022</t>
  </si>
  <si>
    <t>K018</t>
  </si>
  <si>
    <t>ngọc</t>
  </si>
  <si>
    <t>BẢO(MỚI)</t>
  </si>
  <si>
    <t>.</t>
  </si>
  <si>
    <t>Bùi Ánh Dương - 45</t>
  </si>
  <si>
    <t>k45</t>
  </si>
  <si>
    <t>Trần Bảo Ngân - 10</t>
  </si>
  <si>
    <t>k010</t>
  </si>
  <si>
    <t>Bùi ánh Dương-45</t>
  </si>
  <si>
    <t>Mai Thanh Hà-66</t>
  </si>
  <si>
    <t>k66</t>
  </si>
  <si>
    <t>Trần Bảo Ngân-155</t>
  </si>
  <si>
    <t>k155</t>
  </si>
  <si>
    <t>Ngô Phương Linh - 164</t>
  </si>
  <si>
    <t>k164</t>
  </si>
  <si>
    <t>Bạch Nhữ Uyển Vy - 160</t>
  </si>
  <si>
    <t>k160</t>
  </si>
  <si>
    <t>Vương Thảo Nhi - 157</t>
  </si>
  <si>
    <t>k157</t>
  </si>
  <si>
    <t>Lê Thu Huyền - 149</t>
  </si>
  <si>
    <t>k149</t>
  </si>
  <si>
    <t>Lê Thị Thanh Huyền - 148</t>
  </si>
  <si>
    <t>k148</t>
  </si>
  <si>
    <t>Nguyễn Bảo Châu - 144</t>
  </si>
  <si>
    <t>k144</t>
  </si>
  <si>
    <t>Đinh Ngọc Anh - 139</t>
  </si>
  <si>
    <t>k139</t>
  </si>
  <si>
    <t>Vũ Huyền Trang - 136</t>
  </si>
  <si>
    <t>k136</t>
  </si>
  <si>
    <t>Nguyễn Bảo Nhi - 133</t>
  </si>
  <si>
    <t>k133</t>
  </si>
  <si>
    <t>Nguyễn Lan Vy - 87</t>
  </si>
  <si>
    <t>k87</t>
  </si>
  <si>
    <t>Trần Thành Sơn - 84</t>
  </si>
  <si>
    <t>k84</t>
  </si>
  <si>
    <t>Phạm VŨ Phương - 82</t>
  </si>
  <si>
    <t>k82</t>
  </si>
  <si>
    <t>Phạm Đan Nhi - 80</t>
  </si>
  <si>
    <t>k80</t>
  </si>
  <si>
    <t>Trần Đại Nghĩa - 78</t>
  </si>
  <si>
    <t>k78</t>
  </si>
  <si>
    <t>Nguyễn Bảo Linh - 74</t>
  </si>
  <si>
    <t>k74</t>
  </si>
  <si>
    <t>Phạm Đức Khiêm - 72</t>
  </si>
  <si>
    <t>k72</t>
  </si>
  <si>
    <t>Nguyễn Hữu Minh Khang - 71</t>
  </si>
  <si>
    <t>k71</t>
  </si>
  <si>
    <t>Nguyễn Minh Hòa - 47</t>
  </si>
  <si>
    <t>k47</t>
  </si>
  <si>
    <t>Nguyễn Nhật Hương - 69</t>
  </si>
  <si>
    <t>k69</t>
  </si>
  <si>
    <t>Vũ Sử Khánh Hưng - 68</t>
  </si>
  <si>
    <t>k68</t>
  </si>
  <si>
    <t>Lại Việt Đức - 64</t>
  </si>
  <si>
    <t>k64</t>
  </si>
  <si>
    <t>Nguyễn Hoàng KHánh Ngọc - 50</t>
  </si>
  <si>
    <t>k50</t>
  </si>
  <si>
    <t>Bùi Nguyễn Gia Hân - 46</t>
  </si>
  <si>
    <t>k46</t>
  </si>
  <si>
    <t>Lớp 5-6-7</t>
  </si>
  <si>
    <t>Vũ Hữu Quân -122</t>
  </si>
  <si>
    <t>h122</t>
  </si>
  <si>
    <t>Trần Bảo Minh -121</t>
  </si>
  <si>
    <t>h121</t>
  </si>
  <si>
    <t>Bùi Trí Long -120</t>
  </si>
  <si>
    <t>h120</t>
  </si>
  <si>
    <t>Vũ Đức Khánh -118</t>
  </si>
  <si>
    <t>h118</t>
  </si>
  <si>
    <t>Đặng Sơn Hải -117</t>
  </si>
  <si>
    <t>h117</t>
  </si>
  <si>
    <t>Nguyễn Hoàng Hải -116</t>
  </si>
  <si>
    <t>h116</t>
  </si>
  <si>
    <t>Nguyễn Gia Bách -114</t>
  </si>
  <si>
    <t>h114</t>
  </si>
  <si>
    <t>Lê Việt Anh -110</t>
  </si>
  <si>
    <t>h110</t>
  </si>
  <si>
    <t>Nguyễn Duy Minh -101</t>
  </si>
  <si>
    <t>h101</t>
  </si>
  <si>
    <t>Nguyễn Khánh Linh -42</t>
  </si>
  <si>
    <t>h42</t>
  </si>
  <si>
    <t>Đặng Hải Yến -41</t>
  </si>
  <si>
    <t>h41</t>
  </si>
  <si>
    <t>Nguyễn Duy Việt -37</t>
  </si>
  <si>
    <t>h37</t>
  </si>
  <si>
    <t>Lê Minh Triết -36</t>
  </si>
  <si>
    <t>h36</t>
  </si>
  <si>
    <t>Lê Minh Sơn -31</t>
  </si>
  <si>
    <t>h31</t>
  </si>
  <si>
    <t>Hoàng Thiệu Quang -30</t>
  </si>
  <si>
    <t>h30</t>
  </si>
  <si>
    <t>Nguyễn Thế Minh -23</t>
  </si>
  <si>
    <t>h23</t>
  </si>
  <si>
    <t>Hà Đức Minh -22</t>
  </si>
  <si>
    <t>h22</t>
  </si>
  <si>
    <t>Bùi Gia Bảo -7</t>
  </si>
  <si>
    <t>h7</t>
  </si>
  <si>
    <t>Giàng Thị Đông</t>
  </si>
  <si>
    <t>Vừ A Nánh</t>
  </si>
  <si>
    <t>Đinh Thị Luyến</t>
  </si>
  <si>
    <t>luyến kíp</t>
  </si>
  <si>
    <t>Nguyễn Thị Tình</t>
  </si>
  <si>
    <t>Tình kíp</t>
  </si>
  <si>
    <t>Nguyễn Thị Mai</t>
  </si>
  <si>
    <t>Mai kíp</t>
  </si>
  <si>
    <t>Phùng Thị Thim</t>
  </si>
  <si>
    <t>Thim kíp</t>
  </si>
  <si>
    <t>Lê Thị Quyền</t>
  </si>
  <si>
    <t>Quyền kíp</t>
  </si>
  <si>
    <t>Nguyễn thị Ngoan</t>
  </si>
  <si>
    <t>Ngoan kíp</t>
  </si>
  <si>
    <t>Bùi Thị Hồng Hạnh</t>
  </si>
  <si>
    <t>Hạnh kíp</t>
  </si>
  <si>
    <t>Lường Thị Vấn</t>
  </si>
  <si>
    <t xml:space="preserve">Vấn </t>
  </si>
  <si>
    <t>Lò Thị Vy Oanh</t>
  </si>
  <si>
    <t>OANH</t>
  </si>
  <si>
    <t>Đinh Thị Nga</t>
  </si>
  <si>
    <t>Nga</t>
  </si>
  <si>
    <t>Mua Mí Già</t>
  </si>
  <si>
    <t>Già</t>
  </si>
  <si>
    <t>Thào A Dê</t>
  </si>
  <si>
    <t>DÊ</t>
  </si>
  <si>
    <t xml:space="preserve">Giàng A Vông </t>
  </si>
  <si>
    <t>Chương Văn Hôn</t>
  </si>
  <si>
    <t>Lò Thị Diệu Ly</t>
  </si>
  <si>
    <t>Lò Thị Diệp</t>
  </si>
  <si>
    <t>Đôi</t>
  </si>
  <si>
    <t>Lường Văn Thái</t>
  </si>
  <si>
    <t>thái</t>
  </si>
  <si>
    <t>Vàng A Linh</t>
  </si>
  <si>
    <t>linh</t>
  </si>
  <si>
    <t>Ân</t>
  </si>
  <si>
    <t>Mùa Cang Dinh</t>
  </si>
  <si>
    <t>dinh</t>
  </si>
  <si>
    <t>Sồng Thị Tồng</t>
  </si>
  <si>
    <t>tồng</t>
  </si>
  <si>
    <t>Mùa A Chu</t>
  </si>
  <si>
    <t>chu</t>
  </si>
  <si>
    <t>Lò Thị Mừng</t>
  </si>
  <si>
    <t>Hảng A Tình</t>
  </si>
  <si>
    <t>tình</t>
  </si>
  <si>
    <t>Sùng Thị Cu</t>
  </si>
  <si>
    <t>Vừa A Nghệ</t>
  </si>
  <si>
    <t>nghệ</t>
  </si>
  <si>
    <t>Vàng Mười Phành</t>
  </si>
  <si>
    <t>phành</t>
  </si>
  <si>
    <t>Vì Văn Phùng</t>
  </si>
  <si>
    <t>Vừa A Chiến</t>
  </si>
  <si>
    <t>chiến</t>
  </si>
  <si>
    <t>Ngần Văn Vĩnh</t>
  </si>
  <si>
    <t>Vàng Thị Quỳnh Châu</t>
  </si>
  <si>
    <t>châu</t>
  </si>
  <si>
    <t>LÒ THỊ DUYÊN</t>
  </si>
  <si>
    <t>Hà Thị Ngọc Yến</t>
  </si>
  <si>
    <t>Hoàng Thị Phương</t>
  </si>
  <si>
    <t>Vừ A Chiến</t>
  </si>
  <si>
    <t>Hoàng Thị Đoan</t>
  </si>
  <si>
    <t>Tròng THị La</t>
  </si>
  <si>
    <t>Mùi Thị Ngọc Diệp</t>
  </si>
  <si>
    <t>t-551</t>
  </si>
  <si>
    <t>Tòng Văn Cầm</t>
  </si>
  <si>
    <t>Giàng A Công</t>
  </si>
  <si>
    <t>Nguyễn Gia Tuệ</t>
  </si>
  <si>
    <t>Lường Duy Quân</t>
  </si>
  <si>
    <t>Mùi Trọng Quyền</t>
  </si>
  <si>
    <t>Lường Văn Đạt</t>
  </si>
  <si>
    <t>Lường Tuấn Kiệt</t>
  </si>
  <si>
    <t>Giàng Thị Pàng</t>
  </si>
  <si>
    <t>vấn</t>
  </si>
  <si>
    <t>Lò Thị Duyên</t>
  </si>
  <si>
    <t>Vì Minh Đức</t>
  </si>
  <si>
    <t>Lò Lê Mây</t>
  </si>
  <si>
    <t>Hoàng Ngọc Tuyền</t>
  </si>
  <si>
    <t>Hoàng Thị Phượng</t>
  </si>
  <si>
    <t>Mùi Anh Quyền</t>
  </si>
  <si>
    <t>Hoàng Thị Doan</t>
  </si>
  <si>
    <t>Hoàng Tâm Như</t>
  </si>
  <si>
    <t>Giàng A Vông</t>
  </si>
  <si>
    <t>Đinh Xuân Nam</t>
  </si>
  <si>
    <t>Phùng Viết Phượng</t>
  </si>
  <si>
    <t>Đinh Khánh Bảo</t>
  </si>
  <si>
    <t>GIÀNG MÍ VƯ</t>
  </si>
  <si>
    <t>VƯ</t>
  </si>
  <si>
    <t>MÙI VĂN ĐỊNH</t>
  </si>
  <si>
    <t>Nguyễn Hải Nam</t>
  </si>
  <si>
    <t>hs024</t>
  </si>
  <si>
    <t>La Quốc Hưng</t>
  </si>
  <si>
    <t>hs017</t>
  </si>
  <si>
    <t>Lê Minh Đức</t>
  </si>
  <si>
    <t>hs014</t>
  </si>
  <si>
    <t>M.Anh SX1</t>
  </si>
  <si>
    <t>hs141</t>
  </si>
  <si>
    <t>Đỗ Thùy Dương - Kiểm 1</t>
  </si>
  <si>
    <t>hs146</t>
  </si>
  <si>
    <t>Đào Hoàng Trang Anh</t>
  </si>
  <si>
    <t>hs138</t>
  </si>
  <si>
    <t>Đặng Minh Anh</t>
  </si>
  <si>
    <t>hs137</t>
  </si>
  <si>
    <t>Lê Phương Trang</t>
  </si>
  <si>
    <t>hs135</t>
  </si>
  <si>
    <t>Nguyễn Thanh Tâm</t>
  </si>
  <si>
    <t>hs134</t>
  </si>
  <si>
    <t>Chu Vũ tường Linh</t>
  </si>
  <si>
    <t>hs130</t>
  </si>
  <si>
    <t>Vũ Hương Giang</t>
  </si>
  <si>
    <t>hs129</t>
  </si>
  <si>
    <t>Hứa Thị Thấm</t>
  </si>
  <si>
    <t>Trần Quỳnh Anh</t>
  </si>
  <si>
    <t>hs127</t>
  </si>
  <si>
    <t>Lương Thùy Trang</t>
  </si>
  <si>
    <t>hs126</t>
  </si>
  <si>
    <t>Nguyễn Minh Thuận</t>
  </si>
  <si>
    <t>hs125</t>
  </si>
  <si>
    <t>Lò Thị Tươi</t>
  </si>
  <si>
    <t>Hồ Dạ Minh Châu</t>
  </si>
  <si>
    <t>hs115</t>
  </si>
  <si>
    <t>Nguyễn Phương Anh</t>
  </si>
  <si>
    <t>hs113</t>
  </si>
  <si>
    <t>Nguyễn Gia Linh</t>
  </si>
  <si>
    <t>hs098</t>
  </si>
  <si>
    <t>Nguyễn Huyền Linh</t>
  </si>
  <si>
    <t>hs097</t>
  </si>
  <si>
    <t>Nguyễn Tiến Bách</t>
  </si>
  <si>
    <t>hs006</t>
  </si>
  <si>
    <t>Trương Thị Hòa</t>
  </si>
  <si>
    <t>TƯƠI SXC</t>
  </si>
  <si>
    <t>quỳnh sxc</t>
  </si>
  <si>
    <t>phương sxc</t>
  </si>
  <si>
    <t>Vũ Thị Kha</t>
  </si>
  <si>
    <t>K092</t>
  </si>
  <si>
    <t>phan anh sxc</t>
  </si>
  <si>
    <t>Lê Trọng Mạnh</t>
  </si>
  <si>
    <t>K091</t>
  </si>
  <si>
    <t>hưng sxc</t>
  </si>
  <si>
    <t>N hoa</t>
  </si>
  <si>
    <t>MUA MÍ SÍNH</t>
  </si>
  <si>
    <t>Đinh Thị Lý</t>
  </si>
  <si>
    <t>MUA MÍ SÙNG</t>
  </si>
  <si>
    <t>Đinh Phương Thảo</t>
  </si>
  <si>
    <t>v2564</t>
  </si>
  <si>
    <t>GIÀNG MÍ CHO</t>
  </si>
  <si>
    <t>Hoàng Thị Thư</t>
  </si>
  <si>
    <t>v1333</t>
  </si>
  <si>
    <t>Nguyễn Thị Hoàng Vinh</t>
  </si>
  <si>
    <t>v3971</t>
  </si>
  <si>
    <t>Phạm Thị Hợp</t>
  </si>
  <si>
    <t>v4083</t>
  </si>
  <si>
    <t>ĐÀO THỊ HƯỜNG</t>
  </si>
  <si>
    <t>V748</t>
  </si>
  <si>
    <t>Sa Thị Ương</t>
  </si>
  <si>
    <t>V2278</t>
  </si>
  <si>
    <t>Phạm Thị Lan Hương</t>
  </si>
  <si>
    <t>v3263</t>
  </si>
  <si>
    <t>Lý A Mà</t>
  </si>
  <si>
    <t>mà</t>
  </si>
  <si>
    <t>Tô Thị Thao</t>
  </si>
  <si>
    <t>v3607</t>
  </si>
  <si>
    <t>Giàng Mí Cho</t>
  </si>
  <si>
    <t>Lò Thị Mư</t>
  </si>
  <si>
    <t>v2284</t>
  </si>
  <si>
    <t>Sùng Thị Mua</t>
  </si>
  <si>
    <t>Giang Thị Mậu</t>
  </si>
  <si>
    <t>v3046</t>
  </si>
  <si>
    <t>Giàng A Tuấn</t>
  </si>
  <si>
    <t>Nguyễn Thị Thủy</t>
  </si>
  <si>
    <t>v1134</t>
  </si>
  <si>
    <t>Giàng Mí Vư</t>
  </si>
  <si>
    <t>v416</t>
  </si>
  <si>
    <t>ĐINH KHÁNH BẢO</t>
  </si>
  <si>
    <t>Trần Thị Diên</t>
  </si>
  <si>
    <t>v1572</t>
  </si>
  <si>
    <t>Lê Thị Dung</t>
  </si>
  <si>
    <t>v1448</t>
  </si>
  <si>
    <t>Bùi Nguyễn Gia Hân</t>
  </si>
  <si>
    <t>hs046</t>
  </si>
  <si>
    <t>Đinh Thị Hà</t>
  </si>
  <si>
    <t>v3351</t>
  </si>
  <si>
    <t>Nguyễn Bảo Linh</t>
  </si>
  <si>
    <t>hs074</t>
  </si>
  <si>
    <t>Nguyễn Minh Thư</t>
  </si>
  <si>
    <t>hs085</t>
  </si>
  <si>
    <t>Nguyễn Anh Quân</t>
  </si>
  <si>
    <t>hs083</t>
  </si>
  <si>
    <t>Lường Thị Ngân</t>
  </si>
  <si>
    <t>v3622</t>
  </si>
  <si>
    <t>Vũ Minh Ngọc</t>
  </si>
  <si>
    <t>hs079</t>
  </si>
  <si>
    <t>XUÂN SXC</t>
  </si>
  <si>
    <t>Hoàng Đặng Linh Nga</t>
  </si>
  <si>
    <t>hs077</t>
  </si>
  <si>
    <t>HIỀN THU SXC</t>
  </si>
  <si>
    <t>Nguyễn Hà My</t>
  </si>
  <si>
    <t>hs076</t>
  </si>
  <si>
    <t>Cà Thị Viết</t>
  </si>
  <si>
    <t>v4162</t>
  </si>
  <si>
    <t>THÙY SXC</t>
  </si>
  <si>
    <t>Nguyễn Ngọc Bảo Hân</t>
  </si>
  <si>
    <t>VH8-067</t>
  </si>
  <si>
    <t>Lò Thị Uyên</t>
  </si>
  <si>
    <t>v2984</t>
  </si>
  <si>
    <t>TUYẾT SXC</t>
  </si>
  <si>
    <t>Hoàng Ngọc Diệp</t>
  </si>
  <si>
    <t>hs062</t>
  </si>
  <si>
    <t>Nguyễn Thùy Trang</t>
  </si>
  <si>
    <t>k104</t>
  </si>
  <si>
    <t>Nguyễn Ngọc Bảo</t>
  </si>
  <si>
    <t>hs061</t>
  </si>
  <si>
    <t>Nguyễn Dương Bảo Ngọc</t>
  </si>
  <si>
    <t>K103</t>
  </si>
  <si>
    <t>Nguyễn Lưu Bảo Anh</t>
  </si>
  <si>
    <t>hs057</t>
  </si>
  <si>
    <t>Nguyễn Minh Khôi</t>
  </si>
  <si>
    <t>K102</t>
  </si>
  <si>
    <t>Lê Khánh An</t>
  </si>
  <si>
    <t>hs054</t>
  </si>
  <si>
    <t>Phùng Thị Phương Anh</t>
  </si>
  <si>
    <t>K101</t>
  </si>
  <si>
    <t>Nguyễn Minh Ngọc</t>
  </si>
  <si>
    <t>hs156</t>
  </si>
  <si>
    <t>Trần Hương Giang</t>
  </si>
  <si>
    <t>K100</t>
  </si>
  <si>
    <t>Nguyễn Thùy Linh</t>
  </si>
  <si>
    <t>hs151</t>
  </si>
  <si>
    <t>Nguyễn Khánh Vy</t>
  </si>
  <si>
    <t>VH8-162</t>
  </si>
  <si>
    <t>Nguyễn Linh Chi</t>
  </si>
  <si>
    <t>hs145</t>
  </si>
  <si>
    <t>Nguyễn Hà Phương</t>
  </si>
  <si>
    <t>VH10-158</t>
  </si>
  <si>
    <t>Mang hàng về nhà</t>
  </si>
  <si>
    <t>Nguyễn Kỳ Phụng</t>
  </si>
  <si>
    <t>VH8-81</t>
  </si>
  <si>
    <t>Nguyễn Quốc Việt</t>
  </si>
  <si>
    <t>hs038</t>
  </si>
  <si>
    <t>Lê Mai Y Linh</t>
  </si>
  <si>
    <t>VH8-73</t>
  </si>
  <si>
    <t>Đồng Phúc Thịnh</t>
  </si>
  <si>
    <t>hs034</t>
  </si>
  <si>
    <t>Phạm Vân Anh</t>
  </si>
  <si>
    <t>VH8-58</t>
  </si>
  <si>
    <t>Lê Phan Đức Thành</t>
  </si>
  <si>
    <t>hs033</t>
  </si>
  <si>
    <t>Đoàn Lan Anh</t>
  </si>
  <si>
    <t>VH8-56</t>
  </si>
  <si>
    <t>Nguyễn Thành Phát</t>
  </si>
  <si>
    <t>hs026</t>
  </si>
  <si>
    <t>Nguyễn Phương Vy</t>
  </si>
  <si>
    <t>VH8-53</t>
  </si>
  <si>
    <t>VH8-48</t>
  </si>
  <si>
    <t>Bùi Quang Minh</t>
  </si>
  <si>
    <t>hs021</t>
  </si>
  <si>
    <t>Đinh Thị Diệp Chi</t>
  </si>
  <si>
    <t>VH8-44</t>
  </si>
  <si>
    <t>Trần Gia Huy</t>
  </si>
  <si>
    <t>hs018</t>
  </si>
  <si>
    <t>Vũ Giáp Ngọc Bảo</t>
  </si>
  <si>
    <t>VH8-43</t>
  </si>
  <si>
    <t>Nguyễn Duy Khánh</t>
  </si>
  <si>
    <t>HS081</t>
  </si>
  <si>
    <t>Nguyễn Như Quỳnh</t>
  </si>
  <si>
    <t>VH9-123</t>
  </si>
  <si>
    <t>Nguyễn Gia Hiển</t>
  </si>
  <si>
    <t>hs015</t>
  </si>
  <si>
    <t>Phạm Đức Việt</t>
  </si>
  <si>
    <t>HS078</t>
  </si>
  <si>
    <t>Phạm Xuân Anh</t>
  </si>
  <si>
    <t>VH9-112</t>
  </si>
  <si>
    <t>Nguyễn Đức Huy</t>
  </si>
  <si>
    <t>HS025</t>
  </si>
  <si>
    <t>Trần Phương Anh</t>
  </si>
  <si>
    <t>VH9-111</t>
  </si>
  <si>
    <t>Trịnh Văn Dũng</t>
  </si>
  <si>
    <t>VH7-010</t>
  </si>
  <si>
    <t>Nguyễn Việt Anh</t>
  </si>
  <si>
    <t>HS004</t>
  </si>
  <si>
    <t>Đỗ Huyền Trang</t>
  </si>
  <si>
    <t>VH9-107</t>
  </si>
  <si>
    <t>Nguyễn Thành Công</t>
  </si>
  <si>
    <t>hs009</t>
  </si>
  <si>
    <t>Trương Thị Anh Thư</t>
  </si>
  <si>
    <t>VH9-105</t>
  </si>
  <si>
    <t>Đặng Gia Bình</t>
  </si>
  <si>
    <t>hs008</t>
  </si>
  <si>
    <t>Đỗ Phương Thảo</t>
  </si>
  <si>
    <t>VH9-104</t>
  </si>
  <si>
    <t>Phan Đình Quang Anh</t>
  </si>
  <si>
    <t>hs003</t>
  </si>
  <si>
    <t>Quyền Thu Tâm</t>
  </si>
  <si>
    <t>VH9-103</t>
  </si>
  <si>
    <t>Dương Tuấn Anh</t>
  </si>
  <si>
    <t>hs002</t>
  </si>
  <si>
    <t>Nguyễn Khánh Ly</t>
  </si>
  <si>
    <t>VH9-100</t>
  </si>
  <si>
    <t>Hoàng Hà Minh Khuê-SXC</t>
  </si>
  <si>
    <t>VH9-93</t>
  </si>
  <si>
    <t>Tống Khánh Ly</t>
  </si>
  <si>
    <t>VH9-099</t>
  </si>
  <si>
    <t>Trương Anh Thư -sxc</t>
  </si>
  <si>
    <t>VH9-124</t>
  </si>
  <si>
    <t>Hoàng Ngọc Hà</t>
  </si>
  <si>
    <t>VH9-091</t>
  </si>
  <si>
    <t>Phạm Trang Anh</t>
  </si>
  <si>
    <t>VH9-090</t>
  </si>
  <si>
    <t>Đỗ Quang Khải</t>
  </si>
  <si>
    <t>VH8-70</t>
  </si>
  <si>
    <t>Nguyễn Trọng Đại</t>
  </si>
  <si>
    <t>VH8-63</t>
  </si>
  <si>
    <t>Lý A Hơi</t>
  </si>
  <si>
    <t>Nguyễn Anh Vũ</t>
  </si>
  <si>
    <t>VH8-52</t>
  </si>
  <si>
    <t>Lường Anh Thế</t>
  </si>
  <si>
    <t>Trần Nhã Linh</t>
  </si>
  <si>
    <t>VH8-49</t>
  </si>
  <si>
    <t>Lý A Cở</t>
  </si>
  <si>
    <t>Đinh Thị Nhâm</t>
  </si>
  <si>
    <t>Lê Nhật Phong</t>
  </si>
  <si>
    <t>VH7-028</t>
  </si>
  <si>
    <t>Lý Thị Hơi</t>
  </si>
  <si>
    <t>Nông Anh Tú</t>
  </si>
  <si>
    <t>Nguyễn Vương Phi</t>
  </si>
  <si>
    <t>VH7-027</t>
  </si>
  <si>
    <t>Hoàng Thị Trang</t>
  </si>
  <si>
    <t>Nguyễn Anh Kiệt</t>
  </si>
  <si>
    <t>VH7-019</t>
  </si>
  <si>
    <t>Nguyễn Hoài Nam</t>
  </si>
  <si>
    <t xml:space="preserve"> Nguyễn Khắc Đạt</t>
  </si>
  <si>
    <t>VH7-012</t>
  </si>
  <si>
    <t>Mùi Đinh Huyền Châm</t>
  </si>
  <si>
    <t>Hà Công Tuyền</t>
  </si>
  <si>
    <t>Lường Thị Anh Thư</t>
  </si>
  <si>
    <t>Lò Văn Tuấn</t>
  </si>
  <si>
    <t>Lê Thị Mến</t>
  </si>
  <si>
    <t>Lường Huy Thái</t>
  </si>
  <si>
    <t>Bùi Văn Phúc</t>
  </si>
  <si>
    <t>Bùi Thị Hoa</t>
  </si>
  <si>
    <t>Hoàng Ngọc Quỳnh</t>
  </si>
  <si>
    <t>Lý A Cương</t>
  </si>
  <si>
    <t>Yên SXA</t>
  </si>
  <si>
    <t>Bùi Thị Minh Thư</t>
  </si>
  <si>
    <t>Vinh SXA</t>
  </si>
  <si>
    <t>Hoàng Mai Phượng</t>
  </si>
  <si>
    <t>Yến SXA</t>
  </si>
  <si>
    <t>Lò Thị Hạnh</t>
  </si>
  <si>
    <t>Nguyễn Diệu Thảo</t>
  </si>
  <si>
    <t>Hoàng Văn Thanh</t>
  </si>
  <si>
    <t>Phan Thùy Linh</t>
  </si>
  <si>
    <t>Hoàng Thị Nhinh</t>
  </si>
  <si>
    <t>Phạm Trần Bảo Linh</t>
  </si>
  <si>
    <t>Hoàng Văn Án</t>
  </si>
  <si>
    <t>Đỗ Thùy Dương</t>
  </si>
  <si>
    <t>Lê Quốc Anh</t>
  </si>
  <si>
    <t>Nguyễn Minh Anh</t>
  </si>
  <si>
    <t>Trương Thị Nội</t>
  </si>
  <si>
    <t>Nguyễn Lan Anh</t>
  </si>
  <si>
    <t>Đoàn Hà Vi</t>
  </si>
  <si>
    <t>Đinh Thị Tân</t>
  </si>
  <si>
    <t>Trương Anh Thư</t>
  </si>
  <si>
    <t>Đinh Thị Long</t>
  </si>
  <si>
    <t>Phương Hiền Linh</t>
  </si>
  <si>
    <t>Ngần Văn Bảy</t>
  </si>
  <si>
    <t>Bùi Thủy Lan</t>
  </si>
  <si>
    <t>Lưu Thị Kim Nhung</t>
  </si>
  <si>
    <t>Hoàng Hà Minh Khuê</t>
  </si>
  <si>
    <t>Đinh Thị Thùy</t>
  </si>
  <si>
    <t>Vũ Ngọc Bảo Nam</t>
  </si>
  <si>
    <t>Vì Văn Sĩ</t>
  </si>
  <si>
    <t>Đào Anh Đức</t>
  </si>
  <si>
    <t>Đinh Văn Hùng</t>
  </si>
  <si>
    <t>Đinh Văn Thắng</t>
  </si>
  <si>
    <t>My SXB</t>
  </si>
  <si>
    <t>La Văn Duy</t>
  </si>
  <si>
    <t>Nội SXB</t>
  </si>
  <si>
    <t>Đinh Thị Duân</t>
  </si>
  <si>
    <t>Hà Thị Vân</t>
  </si>
  <si>
    <t>GIAÀNG A DÊ</t>
  </si>
  <si>
    <t>Quàng Thị Tiến</t>
  </si>
  <si>
    <t>GIÀNG A THÁI</t>
  </si>
  <si>
    <t>THÁI</t>
  </si>
  <si>
    <t>GIÀNG A HOA</t>
  </si>
  <si>
    <t>HOA</t>
  </si>
  <si>
    <t>Lường Thị Thăng</t>
  </si>
  <si>
    <t>LÒ VĂN NHIÊN</t>
  </si>
  <si>
    <t>Vì Văn Mai</t>
  </si>
  <si>
    <t>Phùng Minh Tuấn</t>
  </si>
  <si>
    <t>Nguyễn Thị Trang</t>
  </si>
  <si>
    <t>HÀ VĂN CHUNG</t>
  </si>
  <si>
    <t>La Văn La</t>
  </si>
  <si>
    <t>LƯỜNG GIA HUY</t>
  </si>
  <si>
    <t xml:space="preserve">Hà Thị Thao </t>
  </si>
  <si>
    <t>LUONG VAN MANH</t>
  </si>
  <si>
    <t>Mùi Thị Sung</t>
  </si>
  <si>
    <t>MÙI VĂN DỰC</t>
  </si>
  <si>
    <t>K015</t>
  </si>
  <si>
    <t>Lường Văn Bảy</t>
  </si>
  <si>
    <t>LÒ VĂN VŨ</t>
  </si>
  <si>
    <t>Nguyễn.T.Thanh Giang</t>
  </si>
  <si>
    <t>HO Y TONG</t>
  </si>
  <si>
    <t>Hoàng Thị Hoan</t>
  </si>
  <si>
    <t>LAU BA THAI</t>
  </si>
  <si>
    <t xml:space="preserve">Vi Văn Dậu  </t>
  </si>
  <si>
    <t>LO VAN PHUC</t>
  </si>
  <si>
    <t>Đinh Thị Cúc</t>
  </si>
  <si>
    <t>SÙNG A SÀO</t>
  </si>
  <si>
    <t>Bùi Văn Tuấn</t>
  </si>
  <si>
    <t>DINH DUC LOI</t>
  </si>
  <si>
    <t>LUONG HONG QUAN</t>
  </si>
  <si>
    <t>SỒNG CHÍNH PHỦ</t>
  </si>
  <si>
    <t>Trần Hải Nam</t>
  </si>
  <si>
    <t>Phạm Thị Diệu My</t>
  </si>
  <si>
    <t>Vì Thị Cay</t>
  </si>
  <si>
    <t>Nguyễn Thị Hoa</t>
  </si>
  <si>
    <t>Nguyễn Thị Khuyên</t>
  </si>
  <si>
    <t>Bùi Thị Nhi</t>
  </si>
  <si>
    <t>Sống A Chịa</t>
  </si>
  <si>
    <t>Bùi Thị Điệp</t>
  </si>
  <si>
    <t>Pờ Thanh Tình</t>
  </si>
  <si>
    <t>AO</t>
  </si>
  <si>
    <t>Nguyễn Văn Vinh</t>
  </si>
  <si>
    <t>VÌ BU HẠO</t>
  </si>
  <si>
    <t>HẠO</t>
  </si>
  <si>
    <t>Mùi Duy Văn</t>
  </si>
  <si>
    <t>DUNG</t>
  </si>
  <si>
    <t>Nông Đức Khánh</t>
  </si>
  <si>
    <t>THẢO</t>
  </si>
  <si>
    <t>Phan Thị Huyền</t>
  </si>
  <si>
    <t>ĐINH THU HÀ</t>
  </si>
  <si>
    <t>Lường Thị Kim Huệ</t>
  </si>
  <si>
    <t>NGUYỄN THỊ HOA</t>
  </si>
  <si>
    <t>Hà Văn Quang</t>
  </si>
  <si>
    <t>MÙI THI MAI LOAN</t>
  </si>
  <si>
    <t>Đinh Văn Đạt</t>
  </si>
  <si>
    <t xml:space="preserve">MÙI THI LIÊN </t>
  </si>
  <si>
    <t>Lò Mạnh Đình</t>
  </si>
  <si>
    <t>MÙI THỊ LINH</t>
  </si>
  <si>
    <t>Lữ Thành Đạt</t>
  </si>
  <si>
    <t>VÌ THỊ LOAN</t>
  </si>
  <si>
    <t>Lò Văn Phong</t>
  </si>
  <si>
    <t>Mùi Thị Kiên</t>
  </si>
  <si>
    <t>Trần Thị Lợi</t>
  </si>
  <si>
    <t>SA ANH THÀNH</t>
  </si>
  <si>
    <t>Hà thị Mây</t>
  </si>
  <si>
    <t>Việt SX3</t>
  </si>
  <si>
    <t>Trần Quốc Vui</t>
  </si>
  <si>
    <t>Nguyễn Minh Hiền</t>
  </si>
  <si>
    <t>Hương SX3</t>
  </si>
  <si>
    <t>Cầm Tuấn Anh</t>
  </si>
  <si>
    <t>QUACH VĂN HƯNG</t>
  </si>
  <si>
    <t>Khoa SX3</t>
  </si>
  <si>
    <t>Lò Đức Duy</t>
  </si>
  <si>
    <t>Mùi Thị Yến Nhi</t>
  </si>
  <si>
    <t>Nguyễn Văn Quỳnh</t>
  </si>
  <si>
    <t>Đỗ Hiền Thu</t>
  </si>
  <si>
    <t>thu</t>
  </si>
  <si>
    <t>Ngần Thị Thảo</t>
  </si>
  <si>
    <t>Tạ Thị Thúy Quỳnh</t>
  </si>
  <si>
    <t>Đỗ Thị Thúy</t>
  </si>
  <si>
    <t>Hoàng Thị Quyền</t>
  </si>
  <si>
    <t>Nguyễn Văn Thái</t>
  </si>
  <si>
    <t>Nguyễn Đỗ Minh Anh</t>
  </si>
  <si>
    <t>Vì Thị Xuyên</t>
  </si>
  <si>
    <t xml:space="preserve">Lưu Văn Khoa </t>
  </si>
  <si>
    <t>Lò Thị Hưng</t>
  </si>
  <si>
    <t xml:space="preserve">Đỗ Quang Anh </t>
  </si>
  <si>
    <t>Trịnh Thu Hằng</t>
  </si>
  <si>
    <t>Nguyễn Thị Nga</t>
  </si>
  <si>
    <t>Nhật Anh</t>
  </si>
  <si>
    <t>Hà Thế Vinh</t>
  </si>
  <si>
    <t>Khuyên</t>
  </si>
  <si>
    <t>Nguyễn Bá Anh Tuấn</t>
  </si>
  <si>
    <t>Nguyễn Thị Minh Chí</t>
  </si>
  <si>
    <t>GIANG A SIA</t>
  </si>
  <si>
    <t>Mến Qc</t>
  </si>
  <si>
    <t>Dương Văn Việt</t>
  </si>
  <si>
    <t>VƯ  BÁ CHÙA</t>
  </si>
  <si>
    <t>Hoàng Văn Sáng</t>
  </si>
  <si>
    <t>diệu linh</t>
  </si>
  <si>
    <t>DINH VAN DUY</t>
  </si>
  <si>
    <t>Nguyễn Thị Tâm</t>
  </si>
  <si>
    <t>Vũ Đình Tông</t>
  </si>
  <si>
    <t>MONG THI HAI</t>
  </si>
  <si>
    <t>Nguyễn Thành Bảo Long</t>
  </si>
  <si>
    <t>Đỗ Văn Khải</t>
  </si>
  <si>
    <t>HÀ NGỌC DƯƠNG</t>
  </si>
  <si>
    <t>Đỗ Văn Khải</t>
  </si>
  <si>
    <t>Nguyễn Đức Vinh</t>
  </si>
  <si>
    <t>MÈ VĂN THÂN</t>
  </si>
  <si>
    <t>Đỗ Văn Đồng</t>
  </si>
  <si>
    <t>Từ Xuân Cường</t>
  </si>
  <si>
    <t>Hoàng Văn Toàn</t>
  </si>
  <si>
    <t>Nguyễn Đỗ Hoài Thu</t>
  </si>
  <si>
    <t>Nguyễn Văn Dương</t>
  </si>
  <si>
    <t>Lù Văn Đạt</t>
  </si>
  <si>
    <t>Đặng Văn Xuân</t>
  </si>
  <si>
    <t>Lê Văn Khánh</t>
  </si>
  <si>
    <t>Lầu Bá Chò</t>
  </si>
  <si>
    <t>Phạm Trọng Nguyện</t>
  </si>
  <si>
    <t>Lầu Bá Giải</t>
  </si>
  <si>
    <t>Nguyễn Đình Vui</t>
  </si>
  <si>
    <t>Vì Thị Trâm</t>
  </si>
  <si>
    <t>Khương Minh Tuyền</t>
  </si>
  <si>
    <t>Nguyễn Thế Chưởng</t>
  </si>
  <si>
    <t>Bùi Văn Tiến</t>
  </si>
  <si>
    <t>Đinh Quốc Huy</t>
  </si>
  <si>
    <t>Mùi Thị Thương</t>
  </si>
  <si>
    <t>Lục Văn Ngân</t>
  </si>
  <si>
    <t>Nguyễn Thị Hồng Ngát</t>
  </si>
  <si>
    <t>Hoàng Văn Huy</t>
  </si>
  <si>
    <t>Tống Thế Phong</t>
  </si>
  <si>
    <t>Lò Thị Nhung</t>
  </si>
  <si>
    <t>Vũ Đình Quang</t>
  </si>
  <si>
    <t>Đinh Thị Quyến</t>
  </si>
  <si>
    <t>Vương Đắc Thị Oanh</t>
  </si>
  <si>
    <t>Đặng Xuân THành</t>
  </si>
  <si>
    <t>Lê Cảnh Dinh</t>
  </si>
  <si>
    <t>Hoàng Thị Tương</t>
  </si>
  <si>
    <t>Lò Thị Nguyên</t>
  </si>
  <si>
    <t>Hà Thị Như Quỳnh</t>
  </si>
  <si>
    <t xml:space="preserve">Bàn Thị Mao </t>
  </si>
  <si>
    <t>Nguyễn Thị Thiều</t>
  </si>
  <si>
    <t>Ma Thị Nhung</t>
  </si>
  <si>
    <t>Nguyễn Thị Nhường</t>
  </si>
  <si>
    <t>Lò Thị Khuyên</t>
  </si>
  <si>
    <t>Trần Thế Vinh</t>
  </si>
  <si>
    <t>Lò Văn khanh</t>
  </si>
  <si>
    <t>Lường Thị Tươn</t>
  </si>
  <si>
    <t>Nguyễn Thị Nhung</t>
  </si>
  <si>
    <t>Nguyễn Thị Kim Oanh</t>
  </si>
  <si>
    <t>Trần Thị Thùy</t>
  </si>
  <si>
    <t>Cầm Thị Phú</t>
  </si>
  <si>
    <t>Đỗ Đức Lương</t>
  </si>
  <si>
    <t>Trần Thị Chi</t>
  </si>
  <si>
    <t>Ma Thị Bình</t>
  </si>
  <si>
    <t>Nguyễn Duy Tường</t>
  </si>
  <si>
    <t>Nguyễn Thị Thanh</t>
  </si>
  <si>
    <t>Vì Thị Loan</t>
  </si>
  <si>
    <t>Nguyễn Thanh Thùy</t>
  </si>
  <si>
    <t>Bùi Thị Thu Hảo</t>
  </si>
  <si>
    <t>Hoàng Hải Long</t>
  </si>
  <si>
    <t>Hoàng Phương Dung</t>
  </si>
  <si>
    <t>Ma Công Hạ</t>
  </si>
  <si>
    <t>Mùi Thị Hương</t>
  </si>
  <si>
    <t>Lò Thị Hỏa</t>
  </si>
  <si>
    <t>Mùi Thị Tuyên</t>
  </si>
  <si>
    <t>Đào Thị Hường</t>
  </si>
  <si>
    <t>Ngần Thị Duyên</t>
  </si>
  <si>
    <t>HÀ THỊ PHỨC</t>
  </si>
  <si>
    <t>PHỨC</t>
  </si>
  <si>
    <t>Lỳ Y Sia</t>
  </si>
  <si>
    <t>Đàm Thu Giang</t>
  </si>
  <si>
    <t>SV GIANG</t>
  </si>
  <si>
    <t>Vì Thị Cương</t>
  </si>
  <si>
    <t>Chu Bảo Yến</t>
  </si>
  <si>
    <t>YẾN</t>
  </si>
  <si>
    <t>Hoàng Thị Hiệp</t>
  </si>
  <si>
    <t>Nguyễn Phương Linh</t>
  </si>
  <si>
    <t>P.LINH</t>
  </si>
  <si>
    <t>Dũng SX1</t>
  </si>
  <si>
    <t>Quỳnh QC</t>
  </si>
  <si>
    <t>Hà Thị Sọt</t>
  </si>
  <si>
    <t>Nguyễn Trà My</t>
  </si>
  <si>
    <t>MY</t>
  </si>
  <si>
    <t>Hậu QC</t>
  </si>
  <si>
    <t>Bùi Thị Thoa</t>
  </si>
  <si>
    <t>Trần Thanh Bình</t>
  </si>
  <si>
    <t>BÌNH</t>
  </si>
  <si>
    <t>Hoàng Thị Hoa</t>
  </si>
  <si>
    <t>Bùi Thị Trang</t>
  </si>
  <si>
    <t>Hà Khánh Linh</t>
  </si>
  <si>
    <t>K.LINH</t>
  </si>
  <si>
    <t>Oanh SX1</t>
  </si>
  <si>
    <t>Cà Thị Mai</t>
  </si>
  <si>
    <t>Nguyễn Thị Thùy Linh</t>
  </si>
  <si>
    <t>T.LINH</t>
  </si>
  <si>
    <t>Đóa SX1</t>
  </si>
  <si>
    <t>Hoàng Thị Tuyết Oanh</t>
  </si>
  <si>
    <t>Nguyễn Thị Ngọc Anh</t>
  </si>
  <si>
    <t>N.ANH</t>
  </si>
  <si>
    <t>P. Anh SX1</t>
  </si>
  <si>
    <t>Đinh Thị Cam</t>
  </si>
  <si>
    <t>Mùa A Giang</t>
  </si>
  <si>
    <t>GIANG</t>
  </si>
  <si>
    <t>Sùng Thị Súa</t>
  </si>
  <si>
    <t>Đạt SX1</t>
  </si>
  <si>
    <t>Xồng Y hiền</t>
  </si>
  <si>
    <t>Đinh Văn Thỏa</t>
  </si>
  <si>
    <t>Vàng A Chu</t>
  </si>
  <si>
    <t>Nguyễn Thị Ngân</t>
  </si>
  <si>
    <t>Hà Văn Thân</t>
  </si>
  <si>
    <t>Đoàn Hải Đăng</t>
  </si>
  <si>
    <t>Đăng</t>
  </si>
  <si>
    <t>Thấm sx1</t>
  </si>
  <si>
    <t>Đinh THị Vân</t>
  </si>
  <si>
    <t xml:space="preserve">Vương Văn Tan </t>
  </si>
  <si>
    <t>Hoa sx1</t>
  </si>
  <si>
    <t>Bầu SX1</t>
  </si>
  <si>
    <t>Vì Thị Huệ</t>
  </si>
  <si>
    <t>Nguyễn Bảo Trang</t>
  </si>
  <si>
    <t>TRANG</t>
  </si>
  <si>
    <t>Lý Y Xư</t>
  </si>
  <si>
    <t>Mùi Văn Lâm</t>
  </si>
  <si>
    <t>Quách Công Sơn</t>
  </si>
  <si>
    <t>Hoàng Mai Anh</t>
  </si>
  <si>
    <t>M.ANH</t>
  </si>
  <si>
    <t>Bàn Thị Thanh</t>
  </si>
  <si>
    <t>Tuấn CĐ</t>
  </si>
  <si>
    <t>Nguyễn Quỳnh Liên</t>
  </si>
  <si>
    <t>Q.LIÊN</t>
  </si>
  <si>
    <t>Lường Thị Tâm</t>
  </si>
  <si>
    <t>Nhâm CĐ</t>
  </si>
  <si>
    <t>Lê Thị Tuyết Liên</t>
  </si>
  <si>
    <t>T.LIÊN</t>
  </si>
  <si>
    <t>Lầu Y Thủy</t>
  </si>
  <si>
    <t>Mùi Văn Vặt</t>
  </si>
  <si>
    <t>Chu Hồng Hạnh</t>
  </si>
  <si>
    <t>HẠNH</t>
  </si>
  <si>
    <t>Hoàng Văn Lâm</t>
  </si>
  <si>
    <t>Ma THị Bình SXC</t>
  </si>
  <si>
    <t>Phạm Kiều Anh</t>
  </si>
  <si>
    <t>K.ANH</t>
  </si>
  <si>
    <t>Vì Thị Nhàn</t>
  </si>
  <si>
    <t>Cầm Thị Viến</t>
  </si>
  <si>
    <t>ĐẶNG ĐỨC ANH</t>
  </si>
  <si>
    <t>Đ ANH</t>
  </si>
  <si>
    <t>Đỗ Linh Sang</t>
  </si>
  <si>
    <t>SANG</t>
  </si>
  <si>
    <t>Lừ Thị Thảo</t>
  </si>
  <si>
    <t>NGUYỄN TUẤN PHƯƠNG</t>
  </si>
  <si>
    <t>PHƯƠNG</t>
  </si>
  <si>
    <t>Dương Thị Bích Ngọc</t>
  </si>
  <si>
    <t>Bàn Thị Thu</t>
  </si>
  <si>
    <t>TRỊNH NHẬT ANH</t>
  </si>
  <si>
    <t>N ANH</t>
  </si>
  <si>
    <t>Vì Thị Vân Kiều</t>
  </si>
  <si>
    <t>Đoàn Thu Hường</t>
  </si>
  <si>
    <t>Quách Thị Ninh</t>
  </si>
  <si>
    <t>PHÙNG VŨ VIỆT ANH</t>
  </si>
  <si>
    <t>V ANH</t>
  </si>
  <si>
    <t>Vàng Văn Hạnh</t>
  </si>
  <si>
    <t>NGUYẾN QUANG MINH</t>
  </si>
  <si>
    <t>MINH</t>
  </si>
  <si>
    <t>Vì Thị Cẩm Tú</t>
  </si>
  <si>
    <t>Trần Minh Quốc</t>
  </si>
  <si>
    <t>Mùi Văn Thanh</t>
  </si>
  <si>
    <t>DƯƠNG NHẤT TRÍ</t>
  </si>
  <si>
    <t>TRÍ</t>
  </si>
  <si>
    <t>Mùi Thị Thu Hửng</t>
  </si>
  <si>
    <t>HỬNG</t>
  </si>
  <si>
    <t>Vì Thị Thùy Trang</t>
  </si>
  <si>
    <t>Vì Tùng Dương</t>
  </si>
  <si>
    <t>LÊ QUANG HUY HOÀNG</t>
  </si>
  <si>
    <t>HOÀNG</t>
  </si>
  <si>
    <t>Mùa Khua Nênh</t>
  </si>
  <si>
    <t>NÊNH</t>
  </si>
  <si>
    <t>Vừ Y Bi</t>
  </si>
  <si>
    <t>TRẦN QUỐC ANH</t>
  </si>
  <si>
    <t>Q ANH</t>
  </si>
  <si>
    <t>TRỊNH THU HÀ</t>
  </si>
  <si>
    <t>VŨ THÁI SƠN</t>
  </si>
  <si>
    <t>SƠN</t>
  </si>
  <si>
    <t>Nguyễn Anh Sơn</t>
  </si>
  <si>
    <t>Sùng Mí Mua</t>
  </si>
  <si>
    <t>NGUYỄN TRONG TÙNG LÂM</t>
  </si>
  <si>
    <t>LÂM</t>
  </si>
  <si>
    <t>Phạm Thị Tam</t>
  </si>
  <si>
    <t>Vì Thị Lam</t>
  </si>
  <si>
    <t>BÙI HỒNG QUÂN</t>
  </si>
  <si>
    <t>QUÂN</t>
  </si>
  <si>
    <t>BÙI THỊ HÀO</t>
  </si>
  <si>
    <t>Nông Thị Thúy</t>
  </si>
  <si>
    <t>NGUYỄN HOANG TOÀN</t>
  </si>
  <si>
    <t>TOÀN</t>
  </si>
  <si>
    <t>MÙI THỊ HƯƠNG</t>
  </si>
  <si>
    <t>Lường Văn Huyên</t>
  </si>
  <si>
    <t>HÀ THỊ MIỀN</t>
  </si>
  <si>
    <t>Lò Thị Ngọc Lan</t>
  </si>
  <si>
    <t>HÀ THỊ MÂY</t>
  </si>
  <si>
    <t>Đinh Thị Vứng</t>
  </si>
  <si>
    <t>MÙI VĂN VIÊN</t>
  </si>
  <si>
    <t>ĐINH XUÂN THANH</t>
  </si>
  <si>
    <t>THANH</t>
  </si>
  <si>
    <t>MÙI VĂN HÁNH</t>
  </si>
  <si>
    <t>SÁI VĂN DŨNG</t>
  </si>
  <si>
    <t>DŨNG</t>
  </si>
  <si>
    <t>MÙI VĂN XUYÊN</t>
  </si>
  <si>
    <t>Cao Minh Tuấn</t>
  </si>
  <si>
    <t>SỒNG A TƯƠNG</t>
  </si>
  <si>
    <t>TƯƠNG</t>
  </si>
  <si>
    <t>Vì Thị Yến Nhi</t>
  </si>
  <si>
    <t>Mùi Văn Trường</t>
  </si>
  <si>
    <t>MÙA KHUA NÊNH</t>
  </si>
  <si>
    <t>Vì Thị Nhung</t>
  </si>
  <si>
    <t>Hà Phương Lan</t>
  </si>
  <si>
    <t>GIÀNG A KÁNH</t>
  </si>
  <si>
    <t>KANH</t>
  </si>
  <si>
    <t>Lò Thị Phiện</t>
  </si>
  <si>
    <t>Hà Thị Thủy</t>
  </si>
  <si>
    <t>MÙA A PHANG</t>
  </si>
  <si>
    <t>XỒNG BÁ RÊ</t>
  </si>
  <si>
    <t>GIÀNG A DÊ</t>
  </si>
  <si>
    <t>Vì Văn Kềnh</t>
  </si>
  <si>
    <t>Đinh Văn Lưu</t>
  </si>
  <si>
    <t>Xồng Bá Rê</t>
  </si>
  <si>
    <t>Nguyễn Thị Hoài Vinh</t>
  </si>
  <si>
    <t>Nguyễn Thị Hải Yến</t>
  </si>
  <si>
    <t>Hà Văn Định</t>
  </si>
  <si>
    <t>Ma Văn Sinh</t>
  </si>
  <si>
    <t>Nguyễn Đức Thảo</t>
  </si>
  <si>
    <t>Quàng Thị Niên</t>
  </si>
  <si>
    <t>Xồng Bá Quân</t>
  </si>
  <si>
    <t>Hoàng Thị Hậu</t>
  </si>
  <si>
    <t>nhung  sxb</t>
  </si>
  <si>
    <t>Lường Văn Hải</t>
  </si>
  <si>
    <t>uyên sxb</t>
  </si>
  <si>
    <t>Bùi Văn Nhượng</t>
  </si>
  <si>
    <t>Lý Thị Bọng</t>
  </si>
  <si>
    <t>MA A TRANG</t>
  </si>
  <si>
    <t>Mùi Văn Mạnh</t>
  </si>
  <si>
    <t>Đinh Thị Diệu</t>
  </si>
  <si>
    <t>Hoàng Việt Hùng</t>
  </si>
  <si>
    <t>SÙNG A PÓ</t>
  </si>
  <si>
    <t>Chu thị Hường</t>
  </si>
  <si>
    <t>Vì Xuân Bắc</t>
  </si>
  <si>
    <t>LÝ A HỒNG</t>
  </si>
  <si>
    <t>Vì Thị He</t>
  </si>
  <si>
    <t>Lò Thị Hà</t>
  </si>
  <si>
    <t>GIÀNG A MINH</t>
  </si>
  <si>
    <t>Đinh Tiến Khương</t>
  </si>
  <si>
    <t>Hà Văn Huy</t>
  </si>
  <si>
    <t>CHANG A VINH</t>
  </si>
  <si>
    <t>HÀ VIỆT BẮC</t>
  </si>
  <si>
    <t>Phạm Văn Hào</t>
  </si>
  <si>
    <t>Hà Văn Phan</t>
  </si>
  <si>
    <t>HÀ THẾ VINH</t>
  </si>
  <si>
    <t>VÌ VĂN THANH</t>
  </si>
  <si>
    <t>Hoàng Văn Thoản</t>
  </si>
  <si>
    <t>MÙA A VẠNG</t>
  </si>
  <si>
    <t>ĐINH VĂN TOÀN</t>
  </si>
  <si>
    <t>Mùi Thị Yên</t>
  </si>
  <si>
    <t>Lò Thị Oanh</t>
  </si>
  <si>
    <t>HÀ VĂN PHƯƠNG</t>
  </si>
  <si>
    <t>Vì Thị Tuyết</t>
  </si>
  <si>
    <t>NGUYỄN ĐỨC THẢO</t>
  </si>
  <si>
    <t>Ngần Văn Hiền</t>
  </si>
  <si>
    <t>Hà Văn Dũng</t>
  </si>
  <si>
    <t>Mùi Quang Thế</t>
  </si>
  <si>
    <t>Đào Thị Hồng</t>
  </si>
  <si>
    <t>Đinh Văn Thưởng</t>
  </si>
  <si>
    <t>Lường Thị Xuân</t>
  </si>
  <si>
    <t>Bạc Văn Dũng</t>
  </si>
  <si>
    <t>Đinh Văn Bằng</t>
  </si>
  <si>
    <t>QUÁCH VĂN NGUYÊN</t>
  </si>
  <si>
    <t>Hà Thị Đóa</t>
  </si>
  <si>
    <t>Đinh Thị Nhi</t>
  </si>
  <si>
    <t>Xồng Bá Lông</t>
  </si>
  <si>
    <t>SỒNG A THAÍ</t>
  </si>
  <si>
    <t>Quàng Văn Hương</t>
  </si>
  <si>
    <t>Trương Thị Khu</t>
  </si>
  <si>
    <t>Vì Thị Liệu</t>
  </si>
  <si>
    <t>NGẦN VĂN CHUYỂN</t>
  </si>
  <si>
    <t>Điêu Chính Huynh</t>
  </si>
  <si>
    <t>MÙI VĂN SƯƠNG</t>
  </si>
  <si>
    <t>Lù Văn Nghiệp</t>
  </si>
  <si>
    <t>Vì Văn Đạt</t>
  </si>
  <si>
    <t>Đinh Văn Biên</t>
  </si>
  <si>
    <t>Mùi Văn Chường</t>
  </si>
  <si>
    <t>Quàng Văn Sáng</t>
  </si>
  <si>
    <t>Vì Thị Thiếu</t>
  </si>
  <si>
    <t>SỒNG A CHA</t>
  </si>
  <si>
    <t>Đinh Thị Tuyết</t>
  </si>
  <si>
    <t>Hà Thị Lúa</t>
  </si>
  <si>
    <t>Đinh Phuơng Thảo</t>
  </si>
  <si>
    <t xml:space="preserve">Nguyễn Văn Tuấn </t>
  </si>
  <si>
    <t>Xồng Y Bầu</t>
  </si>
  <si>
    <t>Nguyễn Thị Cẩm Tiên</t>
  </si>
  <si>
    <t>Triệu Văn Tiến</t>
  </si>
  <si>
    <t>Vừ Bá Cu</t>
  </si>
  <si>
    <t>Vì Văn Thông</t>
  </si>
  <si>
    <t>Cao Thị Thu</t>
  </si>
  <si>
    <t>Đinh Văn Ngọc</t>
  </si>
  <si>
    <t>Lê Thị Gấm</t>
  </si>
  <si>
    <t>Nguyễn Thị Vân</t>
  </si>
  <si>
    <t>Hoàng Quang Vinh</t>
  </si>
  <si>
    <t>Đào Thị Phương</t>
  </si>
  <si>
    <t>Nguyễn Văn Tuấn</t>
  </si>
  <si>
    <t>Nguyễn Quang Tuấn</t>
  </si>
  <si>
    <t>LÊ THỊ DUNG</t>
  </si>
  <si>
    <t>An Thị Thanh Phương</t>
  </si>
  <si>
    <t>P599</t>
  </si>
  <si>
    <t>Họ vàTên</t>
  </si>
  <si>
    <t>Mã số</t>
  </si>
  <si>
    <t>CÔ THIỀU</t>
  </si>
  <si>
    <t>Đặng Quang Trung</t>
  </si>
  <si>
    <t>Cán</t>
  </si>
  <si>
    <t>Ép</t>
  </si>
  <si>
    <t>XLBV</t>
  </si>
  <si>
    <t>Kiểm 1</t>
  </si>
  <si>
    <t>Kiểm 2</t>
  </si>
  <si>
    <t>Đo</t>
  </si>
  <si>
    <t xml:space="preserve">Mài </t>
  </si>
  <si>
    <t>Gia công</t>
  </si>
  <si>
    <t>Quy ước mã sản phẩm và kế hoạch định mức</t>
  </si>
  <si>
    <t>TT</t>
  </si>
  <si>
    <t>Mã Sản Phẩm</t>
  </si>
  <si>
    <t>79C</t>
  </si>
  <si>
    <t>DK1</t>
  </si>
  <si>
    <t>D0049</t>
  </si>
  <si>
    <t>15U</t>
  </si>
  <si>
    <t>8W6</t>
  </si>
  <si>
    <t>GFM</t>
  </si>
  <si>
    <t>2SS</t>
  </si>
  <si>
    <t>FJM</t>
  </si>
  <si>
    <t>6E tay</t>
  </si>
  <si>
    <t>16H</t>
  </si>
  <si>
    <t>8UY</t>
  </si>
  <si>
    <t>PK</t>
  </si>
  <si>
    <t>16D</t>
  </si>
  <si>
    <t>16M</t>
  </si>
  <si>
    <t>8UM</t>
  </si>
  <si>
    <t>6e-k</t>
  </si>
  <si>
    <t>GYX</t>
  </si>
  <si>
    <t>Cắt</t>
  </si>
  <si>
    <t>c2556-2</t>
  </si>
  <si>
    <t>c2556-11</t>
  </si>
  <si>
    <t>c2556-8</t>
  </si>
  <si>
    <t>c2556-9</t>
  </si>
  <si>
    <t>C2556-auto</t>
  </si>
  <si>
    <t>c2821</t>
  </si>
  <si>
    <t>c2822</t>
  </si>
  <si>
    <t>c8484</t>
  </si>
  <si>
    <t>c8485</t>
  </si>
  <si>
    <t>c3880-2</t>
  </si>
  <si>
    <t>c0977</t>
  </si>
  <si>
    <t>c3880-8</t>
  </si>
  <si>
    <t>c3880-9</t>
  </si>
  <si>
    <t>c9149</t>
  </si>
  <si>
    <t>c0575</t>
  </si>
  <si>
    <t>c3438</t>
  </si>
  <si>
    <t>c1080</t>
  </si>
  <si>
    <t>c1090</t>
  </si>
  <si>
    <t>c1657</t>
  </si>
  <si>
    <t>c5770-9</t>
  </si>
  <si>
    <t>c7630</t>
  </si>
  <si>
    <t>c5770</t>
  </si>
  <si>
    <t>c8052</t>
  </si>
  <si>
    <t>C5770-1</t>
  </si>
  <si>
    <t>c8234</t>
  </si>
  <si>
    <t>c8235</t>
  </si>
  <si>
    <t>c6773</t>
  </si>
  <si>
    <t>5243-l</t>
  </si>
  <si>
    <t>cpk-r</t>
  </si>
  <si>
    <t>c125</t>
  </si>
  <si>
    <t>c7236</t>
  </si>
  <si>
    <t>c2453</t>
  </si>
  <si>
    <t>c79c</t>
  </si>
  <si>
    <t>c79c-3</t>
  </si>
  <si>
    <t>cdk1</t>
  </si>
  <si>
    <t>c4268</t>
  </si>
  <si>
    <t>c8016</t>
  </si>
  <si>
    <t>c129</t>
  </si>
  <si>
    <t>c9118</t>
  </si>
  <si>
    <t>c9142</t>
  </si>
  <si>
    <t>c7236-2</t>
  </si>
  <si>
    <t>c1432</t>
  </si>
  <si>
    <t>c4268-3</t>
  </si>
  <si>
    <t>C129-13</t>
  </si>
  <si>
    <t>c8um</t>
  </si>
  <si>
    <t>c9118-13</t>
  </si>
  <si>
    <t>c8um-3</t>
  </si>
  <si>
    <t>ckcn</t>
  </si>
  <si>
    <t>cd027u8</t>
  </si>
  <si>
    <t>C8016-12</t>
  </si>
  <si>
    <t>c8um-t</t>
  </si>
  <si>
    <t>c8uy</t>
  </si>
  <si>
    <t>c2401</t>
  </si>
  <si>
    <t>c2411</t>
  </si>
  <si>
    <t>c3301</t>
  </si>
  <si>
    <t>CD02N23</t>
  </si>
  <si>
    <t>CD02N3C</t>
  </si>
  <si>
    <t>CD02N3F</t>
  </si>
  <si>
    <t>c9520</t>
  </si>
  <si>
    <t>c8052-auto</t>
  </si>
  <si>
    <t>c6491</t>
  </si>
  <si>
    <t>Cgyx-auto</t>
  </si>
  <si>
    <t>C7630-11</t>
  </si>
  <si>
    <t>c3880-auto</t>
  </si>
  <si>
    <t>C5770-auto</t>
  </si>
  <si>
    <t>c3880-11</t>
  </si>
  <si>
    <t>Cj84</t>
  </si>
  <si>
    <t>C6494-t</t>
  </si>
  <si>
    <t>C502</t>
  </si>
  <si>
    <t>c9149-1</t>
  </si>
  <si>
    <t>C6485</t>
  </si>
  <si>
    <t>c6486</t>
  </si>
  <si>
    <t>c6487</t>
  </si>
  <si>
    <t>c6488</t>
  </si>
  <si>
    <t>c6489</t>
  </si>
  <si>
    <t>c6490</t>
  </si>
  <si>
    <t>c6492</t>
  </si>
  <si>
    <t>c6493</t>
  </si>
  <si>
    <t>c6494</t>
  </si>
  <si>
    <t>c6495</t>
  </si>
  <si>
    <t>CGYX-9</t>
  </si>
  <si>
    <t>CGYX</t>
  </si>
  <si>
    <t>cgyx-1</t>
  </si>
  <si>
    <t>C8052-1</t>
  </si>
  <si>
    <t>Lồng</t>
  </si>
  <si>
    <t>5770-T</t>
  </si>
  <si>
    <t>4408-T</t>
  </si>
  <si>
    <t>4408-L</t>
  </si>
  <si>
    <t>D02N3C</t>
  </si>
  <si>
    <t>D02N3F</t>
  </si>
  <si>
    <t>d0049</t>
  </si>
  <si>
    <t>8w6</t>
  </si>
  <si>
    <t>gfm</t>
  </si>
  <si>
    <t>d49</t>
  </si>
  <si>
    <t>15u-l</t>
  </si>
  <si>
    <t>1432-kt</t>
  </si>
  <si>
    <t>15u-t</t>
  </si>
  <si>
    <t>d02n23</t>
  </si>
  <si>
    <t>2ss</t>
  </si>
  <si>
    <t>9140-3</t>
  </si>
  <si>
    <t>6e</t>
  </si>
  <si>
    <t>16h</t>
  </si>
  <si>
    <t>8uy</t>
  </si>
  <si>
    <t>pk</t>
  </si>
  <si>
    <t>16d</t>
  </si>
  <si>
    <t>16m</t>
  </si>
  <si>
    <t>6e-c1</t>
  </si>
  <si>
    <t>6e-c2</t>
  </si>
  <si>
    <t>6e/2</t>
  </si>
  <si>
    <t>127-t</t>
  </si>
  <si>
    <t>8um</t>
  </si>
  <si>
    <t>16m-1</t>
  </si>
  <si>
    <t>8w6-1</t>
  </si>
  <si>
    <t>9140-1</t>
  </si>
  <si>
    <t>gfm-3</t>
  </si>
  <si>
    <t>kct</t>
  </si>
  <si>
    <t>kcn</t>
  </si>
  <si>
    <t>9295-T</t>
  </si>
  <si>
    <t>9295-L</t>
  </si>
  <si>
    <t>D027U8</t>
  </si>
  <si>
    <t>LDD027U8</t>
  </si>
  <si>
    <t>3301-L</t>
  </si>
  <si>
    <t>3301-T</t>
  </si>
  <si>
    <t>LTX</t>
  </si>
  <si>
    <t>DF</t>
  </si>
  <si>
    <t>LD7630</t>
  </si>
  <si>
    <t>LD6773</t>
  </si>
  <si>
    <t>Sàng 2556</t>
  </si>
  <si>
    <t>Sàng 3880</t>
  </si>
  <si>
    <t>đg cs</t>
  </si>
  <si>
    <t>Check hàng</t>
  </si>
  <si>
    <t>đh0575</t>
  </si>
  <si>
    <t>f0575</t>
  </si>
  <si>
    <t>ld0977</t>
  </si>
  <si>
    <t>ld9149</t>
  </si>
  <si>
    <t>ld0575</t>
  </si>
  <si>
    <t>LD123</t>
  </si>
  <si>
    <t>ld8w6</t>
  </si>
  <si>
    <t>LD16M</t>
  </si>
  <si>
    <t>ld9565</t>
  </si>
  <si>
    <t>5243-t</t>
  </si>
  <si>
    <t>ld8014</t>
  </si>
  <si>
    <t>ld127</t>
  </si>
  <si>
    <t>ld9140</t>
  </si>
  <si>
    <t>ld15u</t>
  </si>
  <si>
    <t>ldgfm</t>
  </si>
  <si>
    <t>LDDK1</t>
  </si>
  <si>
    <t>LD9116</t>
  </si>
  <si>
    <t>ld16h</t>
  </si>
  <si>
    <t>ld8uy</t>
  </si>
  <si>
    <t>ld8um</t>
  </si>
  <si>
    <t>NẮN S</t>
  </si>
  <si>
    <t>Gia lưu</t>
  </si>
  <si>
    <t>gl 8484</t>
  </si>
  <si>
    <t>gl 8485</t>
  </si>
  <si>
    <t>gl 1080</t>
  </si>
  <si>
    <t>gl 1090</t>
  </si>
  <si>
    <t>gl 8234</t>
  </si>
  <si>
    <t>gl 8235</t>
  </si>
  <si>
    <t>đgcsu</t>
  </si>
  <si>
    <t>t-6486</t>
  </si>
  <si>
    <t>t-6487</t>
  </si>
  <si>
    <t>t-6488</t>
  </si>
  <si>
    <t>t-6489</t>
  </si>
  <si>
    <t>t-6490</t>
  </si>
  <si>
    <t>t-6491</t>
  </si>
  <si>
    <t>t-6492</t>
  </si>
  <si>
    <t>t-6493</t>
  </si>
  <si>
    <t>t-6494</t>
  </si>
  <si>
    <t>t-6495</t>
  </si>
  <si>
    <t>t-6485</t>
  </si>
  <si>
    <t>tb6486</t>
  </si>
  <si>
    <t>tb6487</t>
  </si>
  <si>
    <t>tb6488</t>
  </si>
  <si>
    <t>tb6489</t>
  </si>
  <si>
    <t>tb6490</t>
  </si>
  <si>
    <t>tb6491</t>
  </si>
  <si>
    <t>tb6492</t>
  </si>
  <si>
    <t>tb6493</t>
  </si>
  <si>
    <t>tb6494</t>
  </si>
  <si>
    <t>tb6495</t>
  </si>
  <si>
    <t>c9503</t>
  </si>
  <si>
    <t>c1467</t>
  </si>
  <si>
    <t>f6495</t>
  </si>
  <si>
    <t>đo 5092</t>
  </si>
  <si>
    <t>ch gyx</t>
  </si>
  <si>
    <t>c1404</t>
  </si>
  <si>
    <t>6495-l</t>
  </si>
  <si>
    <t>6494-l</t>
  </si>
  <si>
    <t>6485-L</t>
  </si>
  <si>
    <t>6487-l</t>
  </si>
  <si>
    <t>6488-L</t>
  </si>
  <si>
    <t>6490-L</t>
  </si>
  <si>
    <t>check pic up</t>
  </si>
  <si>
    <t>check 6488</t>
  </si>
  <si>
    <t>6486-m</t>
  </si>
  <si>
    <t>6494-m</t>
  </si>
  <si>
    <t>6495-m</t>
  </si>
  <si>
    <t>6493-l</t>
  </si>
  <si>
    <t>6492-l</t>
  </si>
  <si>
    <t>6492-m</t>
  </si>
  <si>
    <t>6489-l</t>
  </si>
  <si>
    <t>0977-m</t>
  </si>
  <si>
    <t>check 6490</t>
  </si>
  <si>
    <t>check 6489</t>
  </si>
  <si>
    <t>6493-m</t>
  </si>
  <si>
    <t>sàng cs 5770</t>
  </si>
  <si>
    <t>CH5770</t>
  </si>
  <si>
    <t>C9149-AUTO</t>
  </si>
  <si>
    <t>6491-L</t>
  </si>
  <si>
    <t>thổi pic up</t>
  </si>
  <si>
    <t>bavia 5770</t>
  </si>
  <si>
    <t>bavia gyx</t>
  </si>
  <si>
    <t>bavia 2556</t>
  </si>
  <si>
    <t>bavia 3880</t>
  </si>
  <si>
    <t>AQL9295</t>
  </si>
  <si>
    <t>AQL15u</t>
  </si>
  <si>
    <t>AQL9276</t>
  </si>
  <si>
    <t>AQL8UY</t>
  </si>
  <si>
    <t>AQL6E</t>
  </si>
  <si>
    <t>AQL1432</t>
  </si>
  <si>
    <t>AQL8UM</t>
  </si>
  <si>
    <t>AQL9142</t>
  </si>
  <si>
    <t>tuốtkct</t>
  </si>
  <si>
    <t>aql129</t>
  </si>
  <si>
    <t>TB-S</t>
  </si>
  <si>
    <t>aqlkcn</t>
  </si>
  <si>
    <t>KÊ HOẠCH</t>
  </si>
  <si>
    <t>LWL9</t>
  </si>
  <si>
    <t>LWL12</t>
  </si>
  <si>
    <t>s19</t>
  </si>
  <si>
    <t>s9</t>
  </si>
  <si>
    <t>GRIP 50</t>
  </si>
  <si>
    <t>mr05</t>
  </si>
  <si>
    <t>15u</t>
  </si>
  <si>
    <t>g69</t>
  </si>
  <si>
    <t>E503</t>
  </si>
  <si>
    <t>E393</t>
  </si>
  <si>
    <t>E409</t>
  </si>
  <si>
    <t>su520</t>
  </si>
  <si>
    <t>yyu</t>
  </si>
  <si>
    <t>L919</t>
  </si>
  <si>
    <t>s17</t>
  </si>
  <si>
    <t>SU530</t>
  </si>
  <si>
    <t>s6</t>
  </si>
  <si>
    <t>L918</t>
  </si>
  <si>
    <t>s1</t>
  </si>
  <si>
    <t>J498</t>
  </si>
  <si>
    <t>s7</t>
  </si>
  <si>
    <t>UY</t>
  </si>
  <si>
    <t>2SV</t>
  </si>
  <si>
    <t>0603</t>
  </si>
  <si>
    <t>2556, 6270, 6044</t>
  </si>
  <si>
    <t>S18</t>
  </si>
  <si>
    <t>SU8000</t>
  </si>
  <si>
    <t>GIA LƯU</t>
  </si>
  <si>
    <t>TOP HOLDER</t>
  </si>
  <si>
    <t>lwl9 sơn</t>
  </si>
  <si>
    <t>lwl12 sơn</t>
  </si>
  <si>
    <t>2606 L2</t>
  </si>
  <si>
    <t>2606 L1</t>
  </si>
  <si>
    <t>6003 sơn</t>
  </si>
  <si>
    <t>9900 sơn</t>
  </si>
  <si>
    <t>9024 sơn</t>
  </si>
  <si>
    <t>9500 SƠN</t>
  </si>
  <si>
    <t>5140 sơn</t>
  </si>
  <si>
    <t>9300 SƠN</t>
  </si>
  <si>
    <t>80000 SƠN</t>
  </si>
  <si>
    <t>5150 SƠN</t>
  </si>
  <si>
    <t>6100 SƠN</t>
  </si>
  <si>
    <t>8200 sơn</t>
  </si>
  <si>
    <t>9023 sơn</t>
  </si>
  <si>
    <t>6900 sơn</t>
  </si>
  <si>
    <t>9906 sơn</t>
  </si>
  <si>
    <t>4408 sơn</t>
  </si>
  <si>
    <t>40001 sơn</t>
  </si>
  <si>
    <t>6004 sơn</t>
  </si>
  <si>
    <t>2402 sơn</t>
  </si>
  <si>
    <t>0603 sơn</t>
  </si>
  <si>
    <t>6000 SƠN</t>
  </si>
  <si>
    <t>5120 SƠN</t>
  </si>
  <si>
    <t>4100 SƠN</t>
  </si>
  <si>
    <t>5800 SƠN</t>
  </si>
  <si>
    <t>5600 SƠN</t>
  </si>
  <si>
    <t>9902 SƠN</t>
  </si>
  <si>
    <t>4001 SƠN</t>
  </si>
  <si>
    <t>3901 SƠN</t>
  </si>
  <si>
    <t>6E</t>
  </si>
  <si>
    <t>0696</t>
  </si>
  <si>
    <t>YYU</t>
  </si>
  <si>
    <t>7236#3</t>
  </si>
  <si>
    <t>4305 sơn</t>
  </si>
  <si>
    <t>VIA NGOÀI</t>
  </si>
  <si>
    <t>2125 L2</t>
  </si>
  <si>
    <t>Y225</t>
  </si>
  <si>
    <t>D02DFV</t>
  </si>
  <si>
    <t>GRIP SI</t>
  </si>
  <si>
    <t>MR237</t>
  </si>
  <si>
    <t>6491 VN</t>
  </si>
  <si>
    <t>5243 NGOÀI</t>
  </si>
  <si>
    <t>0696 TÁCH</t>
  </si>
  <si>
    <t>3031 VN</t>
  </si>
  <si>
    <t>6493 VN</t>
  </si>
  <si>
    <t>6492 VN</t>
  </si>
  <si>
    <t>2252 VN</t>
  </si>
  <si>
    <t>3035 VN</t>
  </si>
  <si>
    <t>6494 VN</t>
  </si>
  <si>
    <t>6486 VN</t>
  </si>
  <si>
    <t>6487 VN</t>
  </si>
  <si>
    <t>2SV VN</t>
  </si>
  <si>
    <t>6495 VN</t>
  </si>
  <si>
    <t>2209 L2</t>
  </si>
  <si>
    <t>6489 VN</t>
  </si>
  <si>
    <t>6396 VN</t>
  </si>
  <si>
    <t>174 VN</t>
  </si>
  <si>
    <t>175 VN</t>
  </si>
  <si>
    <t>6490 VN</t>
  </si>
  <si>
    <t>6488 VN</t>
  </si>
  <si>
    <t>XLBV CÓ VIA KHÓ</t>
  </si>
  <si>
    <t>S19VIA</t>
  </si>
  <si>
    <t>174-B1</t>
  </si>
  <si>
    <t>GRIP</t>
  </si>
  <si>
    <t>CẠO TRỤC TÁI</t>
  </si>
  <si>
    <t>GRIP-CAM</t>
  </si>
  <si>
    <t>E503 VIA</t>
  </si>
  <si>
    <t>E393 VIA</t>
  </si>
  <si>
    <t>E409 VIA</t>
  </si>
  <si>
    <t>0696 VIA</t>
  </si>
  <si>
    <t>YYU VIA</t>
  </si>
  <si>
    <t>SOCKET CHECK</t>
  </si>
  <si>
    <t>7236-4</t>
  </si>
  <si>
    <t>S6 VIA</t>
  </si>
  <si>
    <t>L918 VIA</t>
  </si>
  <si>
    <t>S1 VIA</t>
  </si>
  <si>
    <t>J498 VIA</t>
  </si>
  <si>
    <t>6396 VIA</t>
  </si>
  <si>
    <t>6490 VIA</t>
  </si>
  <si>
    <t>TBN-47</t>
  </si>
  <si>
    <t>HÀNG DO KHUÔN</t>
  </si>
  <si>
    <t>0696-1</t>
  </si>
  <si>
    <t>7236-2</t>
  </si>
  <si>
    <t>174-e</t>
  </si>
  <si>
    <t>CÔNG ĐOẠN</t>
  </si>
  <si>
    <t>BẮN CÁT</t>
  </si>
  <si>
    <t>3031 check</t>
  </si>
  <si>
    <t>174 VÒI</t>
  </si>
  <si>
    <t>175 VÒI</t>
  </si>
  <si>
    <t>CHECK HÀNG</t>
  </si>
  <si>
    <t>6485 CHECK</t>
  </si>
  <si>
    <t>6491 CHECK</t>
  </si>
  <si>
    <t>3002 LAU</t>
  </si>
  <si>
    <t>6493 CHECK</t>
  </si>
  <si>
    <t>6492 check</t>
  </si>
  <si>
    <t>247 CHECK</t>
  </si>
  <si>
    <t>2252 CHECK</t>
  </si>
  <si>
    <t>3035 CHECK</t>
  </si>
  <si>
    <t>6494 CHECK</t>
  </si>
  <si>
    <t>6486 CHECK</t>
  </si>
  <si>
    <t>6487 CHECK</t>
  </si>
  <si>
    <t>6495 CHECK</t>
  </si>
  <si>
    <t>6489 CHECK</t>
  </si>
  <si>
    <t>6490 CHECK</t>
  </si>
  <si>
    <t>6488 CHECK</t>
  </si>
  <si>
    <t>1080 CHECK</t>
  </si>
  <si>
    <t>8016 check</t>
  </si>
  <si>
    <t>DẬP</t>
  </si>
  <si>
    <t>3002 KHOAN</t>
  </si>
  <si>
    <t>3031 DẬP MÁY</t>
  </si>
  <si>
    <t>2252 DẬP MÁY</t>
  </si>
  <si>
    <t>174 DẬP</t>
  </si>
  <si>
    <t>175 DẬP</t>
  </si>
  <si>
    <t>LỖ KHÍ</t>
  </si>
  <si>
    <t>lwl9 lk</t>
  </si>
  <si>
    <t>lwl12 lk</t>
  </si>
  <si>
    <t>3031 LK</t>
  </si>
  <si>
    <t>TRÊN MÁY</t>
  </si>
  <si>
    <t>BÓC PHÔI TÁI</t>
  </si>
  <si>
    <t>bắn phôi</t>
  </si>
  <si>
    <t>bắn trục</t>
  </si>
  <si>
    <t>6491 LT MÁY</t>
  </si>
  <si>
    <t>3031 L-JIC</t>
  </si>
  <si>
    <t>6493 LT MÁY</t>
  </si>
  <si>
    <t>6492 LT MÁY</t>
  </si>
  <si>
    <t>6494 LT MÁY</t>
  </si>
  <si>
    <t>6486 LT MÁY</t>
  </si>
  <si>
    <t>6495 LT MÁY</t>
  </si>
  <si>
    <t>6396 VN MÁY</t>
  </si>
  <si>
    <t>LÒNG TRONG</t>
  </si>
  <si>
    <t>6491 LT</t>
  </si>
  <si>
    <t>3002 LT</t>
  </si>
  <si>
    <t>3031 LT</t>
  </si>
  <si>
    <t>6493 LT</t>
  </si>
  <si>
    <t>6492 LT</t>
  </si>
  <si>
    <t>2252 LT</t>
  </si>
  <si>
    <t>3035 LT</t>
  </si>
  <si>
    <t>6494 LT</t>
  </si>
  <si>
    <t>6486 LT</t>
  </si>
  <si>
    <t>6487 LT</t>
  </si>
  <si>
    <t>2SV LT</t>
  </si>
  <si>
    <t>6495 LT</t>
  </si>
  <si>
    <t>2209 L1</t>
  </si>
  <si>
    <t>6489 LT</t>
  </si>
  <si>
    <t>6490 LT</t>
  </si>
  <si>
    <t>6488 LT</t>
  </si>
  <si>
    <t>HÀNG BÊN NGOÀI</t>
  </si>
  <si>
    <t>6485 ngoài</t>
  </si>
  <si>
    <t>6491 ngoài</t>
  </si>
  <si>
    <t>3031 KHOAN</t>
  </si>
  <si>
    <t>yyu ngoài</t>
  </si>
  <si>
    <t>9436 ngoài</t>
  </si>
  <si>
    <t>7236 ngoài</t>
  </si>
  <si>
    <t>6493 ngoài</t>
  </si>
  <si>
    <t>S6 NGOÀI</t>
  </si>
  <si>
    <t>N23</t>
  </si>
  <si>
    <t xml:space="preserve">9295 ngoài </t>
  </si>
  <si>
    <t>s1 ngoài</t>
  </si>
  <si>
    <t>6492 ngoài</t>
  </si>
  <si>
    <t>4408 NGOÀI</t>
  </si>
  <si>
    <t>s7 ngoài</t>
  </si>
  <si>
    <t>6494 ngoài</t>
  </si>
  <si>
    <t>6486 ngoài</t>
  </si>
  <si>
    <t>6487 ngoài</t>
  </si>
  <si>
    <t>uy ngoài</t>
  </si>
  <si>
    <t>2sv ngoài</t>
  </si>
  <si>
    <t>6495 ngoài</t>
  </si>
  <si>
    <t>6489 ngoài</t>
  </si>
  <si>
    <t>174 ngoài</t>
  </si>
  <si>
    <t>175 ngoài</t>
  </si>
  <si>
    <t>6490 ngoài</t>
  </si>
  <si>
    <t>6488 ngoài</t>
  </si>
  <si>
    <t>3031 lau lt,check</t>
  </si>
  <si>
    <t>174-c máy1</t>
  </si>
  <si>
    <t>174-c máy</t>
  </si>
  <si>
    <t>6492 lòng trong</t>
  </si>
  <si>
    <t>175-4</t>
  </si>
  <si>
    <t>3031 VNLK</t>
  </si>
  <si>
    <t>3035-máy</t>
  </si>
  <si>
    <t>6487 máy</t>
  </si>
  <si>
    <t>2252-máy</t>
  </si>
  <si>
    <t>7236-3</t>
  </si>
  <si>
    <t>7236#2</t>
  </si>
  <si>
    <t>9436-1</t>
  </si>
  <si>
    <t>161-1</t>
  </si>
  <si>
    <t>9295VN</t>
  </si>
  <si>
    <t>6486VN</t>
  </si>
  <si>
    <t>174-h máy</t>
  </si>
  <si>
    <t>174-h máy1</t>
  </si>
  <si>
    <t>174-4</t>
  </si>
  <si>
    <t>175-H MÁY1</t>
  </si>
  <si>
    <t>175-C MÁY</t>
  </si>
  <si>
    <t>TOPHOLDER</t>
  </si>
  <si>
    <t>175-c máy1</t>
  </si>
  <si>
    <t>174-b1</t>
  </si>
  <si>
    <t>ĐỊNH MỨC CÔNG ĐOẠN CÁN-ÉP</t>
  </si>
  <si>
    <t>ÉP</t>
  </si>
  <si>
    <t>D006P-2</t>
  </si>
  <si>
    <t>15U-2</t>
  </si>
  <si>
    <t>LWL9-2</t>
  </si>
  <si>
    <t>GRIP50</t>
  </si>
  <si>
    <t>2SV-2</t>
  </si>
  <si>
    <t>247-2</t>
  </si>
  <si>
    <t>3035-1</t>
  </si>
  <si>
    <t>3035-2</t>
  </si>
  <si>
    <t>YYU-2</t>
  </si>
  <si>
    <t>KEY
RUBBE</t>
  </si>
  <si>
    <t>GRIP65</t>
  </si>
  <si>
    <t>15U-3</t>
  </si>
  <si>
    <t>9436-2</t>
  </si>
  <si>
    <t>3880</t>
  </si>
  <si>
    <t>7630</t>
  </si>
  <si>
    <t>1657</t>
  </si>
  <si>
    <t>0575</t>
  </si>
  <si>
    <t>1080-2</t>
  </si>
  <si>
    <t>J84</t>
  </si>
  <si>
    <t>UY-2</t>
  </si>
  <si>
    <t>9436-3</t>
  </si>
  <si>
    <t>S1</t>
  </si>
  <si>
    <t>S6</t>
  </si>
  <si>
    <t>S7</t>
  </si>
  <si>
    <t>S17</t>
  </si>
  <si>
    <t>27UA</t>
  </si>
  <si>
    <t>S19</t>
  </si>
  <si>
    <t>E-2556</t>
  </si>
  <si>
    <t>9118-4</t>
  </si>
  <si>
    <t>E-7236</t>
  </si>
  <si>
    <t>E-KCT</t>
  </si>
  <si>
    <t>0696-2</t>
  </si>
  <si>
    <t>0696-3</t>
  </si>
  <si>
    <t>SU520</t>
  </si>
  <si>
    <t>SOCKET-G</t>
  </si>
  <si>
    <t>SOCKET175-H</t>
  </si>
  <si>
    <t>SOCKET-D</t>
  </si>
  <si>
    <t>SOCKET-H</t>
  </si>
  <si>
    <t>SOCKET-E</t>
  </si>
  <si>
    <t>SOCKET-C</t>
  </si>
  <si>
    <t>SOCKET175-E</t>
  </si>
  <si>
    <t>SOCKET175-C</t>
  </si>
  <si>
    <t>6490-1</t>
  </si>
  <si>
    <t>MR05</t>
  </si>
  <si>
    <t>9142-3</t>
  </si>
  <si>
    <t>6490-2</t>
  </si>
  <si>
    <t>UM-2</t>
  </si>
  <si>
    <t>YYU-3</t>
  </si>
  <si>
    <t>129-3</t>
  </si>
  <si>
    <t>SOCKET175-D</t>
  </si>
  <si>
    <t>KCN</t>
  </si>
  <si>
    <t>SATO</t>
  </si>
  <si>
    <t>9436-4</t>
  </si>
  <si>
    <t>P-1080</t>
  </si>
  <si>
    <t>E-1080</t>
  </si>
  <si>
    <t>E-9142</t>
  </si>
  <si>
    <t>E-3880</t>
  </si>
  <si>
    <t>E-9276</t>
  </si>
  <si>
    <t>E-2SS</t>
  </si>
  <si>
    <t>E-15U</t>
  </si>
  <si>
    <t>E-9116</t>
  </si>
  <si>
    <t>E-1657</t>
  </si>
  <si>
    <t>E-8UY</t>
  </si>
  <si>
    <t>E-8UM</t>
  </si>
  <si>
    <t>CÁN</t>
  </si>
  <si>
    <t>EP9431</t>
  </si>
  <si>
    <t>EP9628</t>
  </si>
  <si>
    <t>EP9630</t>
  </si>
  <si>
    <t>EP9437</t>
  </si>
  <si>
    <t>EP9435</t>
  </si>
  <si>
    <t>EP9629</t>
  </si>
  <si>
    <t>KRE40LGB</t>
  </si>
  <si>
    <t>EP9669</t>
  </si>
  <si>
    <t>EP8600</t>
  </si>
  <si>
    <t>ST0003</t>
  </si>
  <si>
    <t>N2710</t>
  </si>
  <si>
    <t>E2500</t>
  </si>
  <si>
    <t>SI0464</t>
  </si>
  <si>
    <t>SI0465</t>
  </si>
  <si>
    <t>SI0587</t>
  </si>
  <si>
    <t>CÂN EP9431</t>
  </si>
  <si>
    <t>NB9832</t>
  </si>
  <si>
    <t>SI9236</t>
  </si>
  <si>
    <t>SI0578</t>
  </si>
  <si>
    <t>NB9104</t>
  </si>
  <si>
    <t>EL1701+EL1301</t>
  </si>
  <si>
    <t>EL1701</t>
  </si>
  <si>
    <t>EL1301</t>
  </si>
  <si>
    <t>EL1601</t>
  </si>
  <si>
    <t>EP9428</t>
  </si>
  <si>
    <t>EP9431+EP9428</t>
  </si>
  <si>
    <t>SI0466</t>
  </si>
  <si>
    <t>RBB-2881-30</t>
  </si>
  <si>
    <t>E2710AV</t>
  </si>
  <si>
    <t>E2710W</t>
  </si>
  <si>
    <t>EP9450</t>
  </si>
  <si>
    <t>EP0820</t>
  </si>
  <si>
    <t>TSE2183U</t>
  </si>
  <si>
    <t>SI0463</t>
  </si>
  <si>
    <t>P-589669</t>
  </si>
  <si>
    <t>EP0821</t>
  </si>
  <si>
    <t>E2710</t>
  </si>
  <si>
    <t>SI9438</t>
  </si>
  <si>
    <t>SI9439</t>
  </si>
  <si>
    <t>TPW98</t>
  </si>
  <si>
    <t>TPW130</t>
  </si>
  <si>
    <t>TPW225</t>
  </si>
  <si>
    <t>CAT YYU#3</t>
  </si>
  <si>
    <t>TEW122</t>
  </si>
  <si>
    <t>CAT L918</t>
  </si>
  <si>
    <t>CAT S6</t>
  </si>
  <si>
    <t>CAT L919</t>
  </si>
  <si>
    <t>SI0001</t>
  </si>
  <si>
    <t>EPDM50</t>
  </si>
  <si>
    <t>C-EP9431</t>
  </si>
  <si>
    <t>C-EP9628</t>
  </si>
  <si>
    <t>C-EP9630</t>
  </si>
  <si>
    <t>C-EP9437</t>
  </si>
  <si>
    <t>C-EP9435</t>
  </si>
  <si>
    <t>C-EP9629</t>
  </si>
  <si>
    <t>C-KRE40LGB</t>
  </si>
  <si>
    <t>C-EP9669</t>
  </si>
  <si>
    <t>C-EP8600</t>
  </si>
  <si>
    <t>C-SI0464</t>
  </si>
  <si>
    <t>C-SI0465</t>
  </si>
  <si>
    <t>C-SI0587</t>
  </si>
  <si>
    <t>C-SI9236</t>
  </si>
  <si>
    <t>C-SI0578</t>
  </si>
  <si>
    <t>C-NB9104</t>
  </si>
  <si>
    <t>C-EP9450</t>
  </si>
  <si>
    <t>C-SI9438</t>
  </si>
  <si>
    <t>EP0010</t>
  </si>
  <si>
    <t>C-SI9439</t>
  </si>
  <si>
    <t>C-TPW98</t>
  </si>
  <si>
    <t>C-TPW130</t>
  </si>
  <si>
    <t>C-TPW225</t>
  </si>
  <si>
    <t>C-161</t>
  </si>
  <si>
    <t>TE-1322</t>
  </si>
  <si>
    <t>CAN HC</t>
  </si>
  <si>
    <t>CAT 174</t>
  </si>
  <si>
    <t>SILICONE</t>
  </si>
  <si>
    <t>ST0001</t>
  </si>
  <si>
    <t>ST0002</t>
  </si>
  <si>
    <t>ST0004</t>
  </si>
  <si>
    <t>ST0005</t>
  </si>
  <si>
    <t>ST0006</t>
  </si>
  <si>
    <t>IT0001</t>
  </si>
  <si>
    <t>IT0002</t>
  </si>
  <si>
    <t>IT0003</t>
  </si>
  <si>
    <t>IT0004</t>
  </si>
  <si>
    <t>IT0005</t>
  </si>
  <si>
    <t>IT0006</t>
  </si>
  <si>
    <t>IT0007</t>
  </si>
  <si>
    <t>CAT 175</t>
  </si>
  <si>
    <t>`</t>
  </si>
  <si>
    <t>ĐỊNH MỨC CÔNG ĐOẠN MÀI ĐO</t>
  </si>
  <si>
    <t>Lồng 14</t>
  </si>
  <si>
    <t>Lồng 12</t>
  </si>
  <si>
    <t>Lồng 7</t>
  </si>
  <si>
    <t>lồng 9</t>
  </si>
  <si>
    <t>lồng 10</t>
  </si>
  <si>
    <t>MÀI</t>
  </si>
  <si>
    <t>1080-G30</t>
  </si>
  <si>
    <t>1090-G30</t>
  </si>
  <si>
    <t>1090-12</t>
  </si>
  <si>
    <t>1080-12</t>
  </si>
  <si>
    <t>1080-14</t>
  </si>
  <si>
    <t>1080-17</t>
  </si>
  <si>
    <t>1090-14</t>
  </si>
  <si>
    <t>1090-17</t>
  </si>
  <si>
    <t>9565-1</t>
  </si>
  <si>
    <t>9565-2</t>
  </si>
  <si>
    <t>0575-1</t>
  </si>
  <si>
    <t>0575-2</t>
  </si>
  <si>
    <t>6773-1</t>
  </si>
  <si>
    <t>6773-2</t>
  </si>
  <si>
    <t>8052-1</t>
  </si>
  <si>
    <t>8052-2</t>
  </si>
  <si>
    <t>8052-3</t>
  </si>
  <si>
    <t>6486-1</t>
  </si>
  <si>
    <t>6486-2</t>
  </si>
  <si>
    <t>6487-1</t>
  </si>
  <si>
    <t>6487-2</t>
  </si>
  <si>
    <t>6488-1</t>
  </si>
  <si>
    <t>6488-2</t>
  </si>
  <si>
    <t>6489-1</t>
  </si>
  <si>
    <t>6489-2</t>
  </si>
  <si>
    <t>6492-1</t>
  </si>
  <si>
    <t>6492-2</t>
  </si>
  <si>
    <t>6492-r</t>
  </si>
  <si>
    <t>6493-1</t>
  </si>
  <si>
    <t>6493-2</t>
  </si>
  <si>
    <t>6493-r</t>
  </si>
  <si>
    <t>6494-1</t>
  </si>
  <si>
    <t>6494-2</t>
  </si>
  <si>
    <t>6494-r</t>
  </si>
  <si>
    <t>6495-1</t>
  </si>
  <si>
    <t>6495-2</t>
  </si>
  <si>
    <t>6495-r</t>
  </si>
  <si>
    <t>1657-phá</t>
  </si>
  <si>
    <t>1657-1</t>
  </si>
  <si>
    <t>1657-2</t>
  </si>
  <si>
    <t>1660-phá</t>
  </si>
  <si>
    <t>1660-1</t>
  </si>
  <si>
    <t>1660-2</t>
  </si>
  <si>
    <t>0598-1</t>
  </si>
  <si>
    <t>0598-2</t>
  </si>
  <si>
    <t>5770-1</t>
  </si>
  <si>
    <t>5770-2</t>
  </si>
  <si>
    <t>9149-1</t>
  </si>
  <si>
    <t>9149-2</t>
  </si>
  <si>
    <t>6491-1</t>
  </si>
  <si>
    <t>6491-2</t>
  </si>
  <si>
    <t>6485-1</t>
  </si>
  <si>
    <t>6485-2</t>
  </si>
  <si>
    <t>7630-1</t>
  </si>
  <si>
    <t>7630-2</t>
  </si>
  <si>
    <t>9477-2</t>
  </si>
  <si>
    <t>9477-1</t>
  </si>
  <si>
    <t>4563-1</t>
  </si>
  <si>
    <t>4563-2</t>
  </si>
  <si>
    <t>9968-1</t>
  </si>
  <si>
    <t>9968-2</t>
  </si>
  <si>
    <t>9740-1</t>
  </si>
  <si>
    <t>9740-2</t>
  </si>
  <si>
    <t>7133-1</t>
  </si>
  <si>
    <t>7133-2</t>
  </si>
  <si>
    <t>123-1</t>
  </si>
  <si>
    <t>123-2</t>
  </si>
  <si>
    <t>125-1</t>
  </si>
  <si>
    <t>9276-20</t>
  </si>
  <si>
    <t>9276-15</t>
  </si>
  <si>
    <t>9276-2</t>
  </si>
  <si>
    <t>6E/2</t>
  </si>
  <si>
    <t>PK-1</t>
  </si>
  <si>
    <t>PK-2</t>
  </si>
  <si>
    <t>16D-1</t>
  </si>
  <si>
    <t>16D-2</t>
  </si>
  <si>
    <t>16D-20</t>
  </si>
  <si>
    <t>16H-2</t>
  </si>
  <si>
    <t>9276-7</t>
  </si>
  <si>
    <t>16H-12</t>
  </si>
  <si>
    <t>16M-1</t>
  </si>
  <si>
    <t>16M-2</t>
  </si>
  <si>
    <t>16M-20</t>
  </si>
  <si>
    <t>2SS-27</t>
  </si>
  <si>
    <t>2SS-20</t>
  </si>
  <si>
    <t>2SS-28</t>
  </si>
  <si>
    <t>2SS-12</t>
  </si>
  <si>
    <t>8UM-1</t>
  </si>
  <si>
    <t>8UM-2</t>
  </si>
  <si>
    <t>8UM-12</t>
  </si>
  <si>
    <t>8UM-20</t>
  </si>
  <si>
    <t>8UY-1</t>
  </si>
  <si>
    <t>8UY-2</t>
  </si>
  <si>
    <t>8W6-1</t>
  </si>
  <si>
    <t>8W6-2</t>
  </si>
  <si>
    <t>8W6-20</t>
  </si>
  <si>
    <t>79C-19</t>
  </si>
  <si>
    <t>79C-20</t>
  </si>
  <si>
    <t>79C-2</t>
  </si>
  <si>
    <t>DK1-1</t>
  </si>
  <si>
    <t>DK1-2</t>
  </si>
  <si>
    <t>4001-1</t>
  </si>
  <si>
    <t>4001-2</t>
  </si>
  <si>
    <t>5004-1</t>
  </si>
  <si>
    <t>5004-2</t>
  </si>
  <si>
    <t>8011-1</t>
  </si>
  <si>
    <t>8011-2</t>
  </si>
  <si>
    <t>2402-1</t>
  </si>
  <si>
    <t>2402-2</t>
  </si>
  <si>
    <t>9906-1</t>
  </si>
  <si>
    <t>9906-2</t>
  </si>
  <si>
    <t>6900-1</t>
  </si>
  <si>
    <t>6900-2</t>
  </si>
  <si>
    <t>125-2</t>
  </si>
  <si>
    <t>6001-2</t>
  </si>
  <si>
    <t>8um-25</t>
  </si>
  <si>
    <t>5243-1</t>
  </si>
  <si>
    <t>9276-28</t>
  </si>
  <si>
    <t>6004-1</t>
  </si>
  <si>
    <t>6004-2</t>
  </si>
  <si>
    <t>0603-1</t>
  </si>
  <si>
    <t>0603-2</t>
  </si>
  <si>
    <t>8w6-10</t>
  </si>
  <si>
    <t>TB-N</t>
  </si>
  <si>
    <t>ch9276</t>
  </si>
  <si>
    <t>9902-1</t>
  </si>
  <si>
    <t>9902-2</t>
  </si>
  <si>
    <t>5120-1</t>
  </si>
  <si>
    <t>5120-2</t>
  </si>
  <si>
    <t>9024-1</t>
  </si>
  <si>
    <t>9024-2</t>
  </si>
  <si>
    <t>8UY-20</t>
  </si>
  <si>
    <t>D02N3C-27</t>
  </si>
  <si>
    <t>D02N3F-27</t>
  </si>
  <si>
    <t>5140-1</t>
  </si>
  <si>
    <t>5140-2</t>
  </si>
  <si>
    <t>4305-1</t>
  </si>
  <si>
    <t>4305-2</t>
  </si>
  <si>
    <t>sato-tb</t>
  </si>
  <si>
    <t>D02N3C-20</t>
  </si>
  <si>
    <t>D02N3F-20</t>
  </si>
  <si>
    <t>D02N3C-2</t>
  </si>
  <si>
    <t>D02N3F-1</t>
  </si>
  <si>
    <t>D02N3C-1</t>
  </si>
  <si>
    <t>D02N3F-2</t>
  </si>
  <si>
    <t>9500-1</t>
  </si>
  <si>
    <t>9500-2</t>
  </si>
  <si>
    <t>tb-sato</t>
  </si>
  <si>
    <t>ĐO</t>
  </si>
  <si>
    <t>9740-7</t>
  </si>
  <si>
    <t>2801-8</t>
  </si>
  <si>
    <t>6262-8</t>
  </si>
  <si>
    <t>7133-8</t>
  </si>
  <si>
    <t>0575-6</t>
  </si>
  <si>
    <t>0598-8</t>
  </si>
  <si>
    <t>4563-8</t>
  </si>
  <si>
    <t>1657-LƯU</t>
  </si>
  <si>
    <t>1660-LƯU</t>
  </si>
  <si>
    <t>3880-8</t>
  </si>
  <si>
    <t>5770-7</t>
  </si>
  <si>
    <t>6270-8</t>
  </si>
  <si>
    <t>8052-LƯU</t>
  </si>
  <si>
    <t>9477-8</t>
  </si>
  <si>
    <t>s7630</t>
  </si>
  <si>
    <t>s6773</t>
  </si>
  <si>
    <t>s9565</t>
  </si>
  <si>
    <t>S1657</t>
  </si>
  <si>
    <t>s1660</t>
  </si>
  <si>
    <t>s9149</t>
  </si>
  <si>
    <t>NẮN+LD</t>
  </si>
  <si>
    <t>NẮN</t>
  </si>
  <si>
    <t>NẮNK</t>
  </si>
  <si>
    <t>nắn 7630</t>
  </si>
  <si>
    <t>nắn 6773</t>
  </si>
  <si>
    <t>NẮN 9565</t>
  </si>
  <si>
    <t>0977-6</t>
  </si>
  <si>
    <t>5770-r4</t>
  </si>
  <si>
    <t>5770-r7</t>
  </si>
  <si>
    <t>5770-r19</t>
  </si>
  <si>
    <t>5770-r20</t>
  </si>
  <si>
    <t>5770-r21</t>
  </si>
  <si>
    <t>5770-r22</t>
  </si>
  <si>
    <t>2801-r4</t>
  </si>
  <si>
    <t>2801-r7</t>
  </si>
  <si>
    <t>9740-r19</t>
  </si>
  <si>
    <t>6270-r7</t>
  </si>
  <si>
    <t>9477-r7</t>
  </si>
  <si>
    <t>TB0575</t>
  </si>
  <si>
    <t>tb0977</t>
  </si>
  <si>
    <t>rh ej</t>
  </si>
  <si>
    <t>rh df</t>
  </si>
  <si>
    <t>rh pk</t>
  </si>
  <si>
    <t>tb8484</t>
  </si>
  <si>
    <t>tb8485</t>
  </si>
  <si>
    <t>tb1080</t>
  </si>
  <si>
    <t>tb1090</t>
  </si>
  <si>
    <t>tb8234</t>
  </si>
  <si>
    <t>tb8235</t>
  </si>
  <si>
    <t>tb5092</t>
  </si>
  <si>
    <t>127-2</t>
  </si>
  <si>
    <t>8um-l</t>
  </si>
  <si>
    <t>127-4</t>
  </si>
  <si>
    <t>9116-12</t>
  </si>
  <si>
    <t>127-1</t>
  </si>
  <si>
    <t>79c</t>
  </si>
  <si>
    <t>dk1</t>
  </si>
  <si>
    <t>dk1-l</t>
  </si>
  <si>
    <t>79c-1</t>
  </si>
  <si>
    <t>CH2SS</t>
  </si>
  <si>
    <t>n127</t>
  </si>
  <si>
    <t>ld27u8</t>
  </si>
  <si>
    <t>n4258</t>
  </si>
  <si>
    <t>9140-4</t>
  </si>
  <si>
    <t>tppkct</t>
  </si>
  <si>
    <t>KCT</t>
  </si>
  <si>
    <t>NKCT</t>
  </si>
  <si>
    <t>aql2ss</t>
  </si>
  <si>
    <t>TPP9276</t>
  </si>
  <si>
    <t>TPP127</t>
  </si>
  <si>
    <t>TPP4408</t>
  </si>
  <si>
    <t>ND027U8</t>
  </si>
  <si>
    <t>TPP9116</t>
  </si>
  <si>
    <t>4258-1</t>
  </si>
  <si>
    <t>ld027u8</t>
  </si>
  <si>
    <t>ld9116</t>
  </si>
  <si>
    <t>tpp4258</t>
  </si>
  <si>
    <t>TPPD02N23</t>
  </si>
  <si>
    <t>ND02N23</t>
  </si>
  <si>
    <t>2168-100</t>
  </si>
  <si>
    <t>2801-r21</t>
  </si>
  <si>
    <t>LD EJ</t>
  </si>
  <si>
    <t>LD DF</t>
  </si>
  <si>
    <t>tb5091</t>
  </si>
  <si>
    <t>s1657-3đ</t>
  </si>
  <si>
    <t>s1660-3đ</t>
  </si>
  <si>
    <t>s8052</t>
  </si>
  <si>
    <t>1657-lưu</t>
  </si>
  <si>
    <t>1660-lưu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</si>
</sst>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2"/>
      <name val="Times New Roman"/>
      <family val="1"/>
    </font>
    <font>
      <sz val="10"/>
      <color theme="1"/>
      <name val="Arial"/>
      <family val="2"/>
    </font>
    <font>
      <sz val="12"/>
      <color indexed="8"/>
      <name val="Times New Roman"/>
      <family val="1"/>
    </font>
    <font>
      <sz val="10"/>
      <name val="Arial"/>
      <family val="2"/>
    </font>
    <font>
      <sz val="12"/>
      <name val="ＭＳ Ｐゴシック"/>
      <charset val="128"/>
    </font>
    <font>
      <sz val="16"/>
      <color indexed="8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4"/>
      <name val="Times New Roman"/>
      <family val="1"/>
    </font>
    <font>
      <sz val="14"/>
      <color indexed="8"/>
      <name val="Times New Roman"/>
      <family val="1"/>
    </font>
    <font>
      <sz val="11"/>
      <name val="ＭＳ Ｐゴシック"/>
      <charset val="128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b/>
      <sz val="12"/>
      <name val="Times New Roman"/>
      <family val="1"/>
    </font>
    <font>
      <sz val="12"/>
      <name val="ＭＳ Ｐゴシック"/>
      <family val="3"/>
      <charset val="128"/>
    </font>
    <font>
      <sz val="11"/>
      <color theme="1"/>
      <name val="Arial"/>
      <family val="2"/>
    </font>
    <font>
      <sz val="8"/>
      <name val="Times New Roman"/>
      <family val="1"/>
    </font>
    <font>
      <b/>
      <sz val="12"/>
      <name val="Times New Roman"/>
      <family val="1"/>
      <charset val="163"/>
    </font>
    <font>
      <sz val="10"/>
      <name val="Times New Roman"/>
      <family val="1"/>
      <charset val="163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16"/>
      <name val="Times New Roman"/>
      <family val="1"/>
    </font>
    <font>
      <sz val="14"/>
      <color theme="1"/>
      <name val="Times New Roman"/>
      <family val="1"/>
    </font>
    <font>
      <b/>
      <u/>
      <sz val="12"/>
      <name val="Times New Roman"/>
      <family val="1"/>
    </font>
    <font>
      <i/>
      <sz val="14"/>
      <color theme="1"/>
      <name val="Times New Roman"/>
      <family val="1"/>
    </font>
    <font>
      <i/>
      <sz val="14"/>
      <color rgb="FFFF0000"/>
      <name val="Times New Roman"/>
      <family val="1"/>
    </font>
    <font>
      <b/>
      <sz val="14"/>
      <name val="Tahoma"/>
      <family val="2"/>
    </font>
    <font>
      <sz val="14"/>
      <name val="Tahoma"/>
      <family val="2"/>
    </font>
    <font>
      <b/>
      <sz val="11"/>
      <color indexed="8"/>
      <name val="Calibri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5DFC2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rgb="FFFFFF9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5" fillId="0" borderId="0"/>
    <xf numFmtId="0" fontId="6" fillId="0" borderId="0">
      <alignment vertical="center"/>
    </xf>
    <xf numFmtId="0" fontId="5" fillId="0" borderId="0"/>
    <xf numFmtId="0" fontId="14" fillId="0" borderId="0">
      <alignment vertical="center"/>
    </xf>
    <xf numFmtId="0" fontId="18" fillId="0" borderId="0">
      <alignment vertical="center"/>
    </xf>
    <xf numFmtId="0" fontId="19" fillId="0" borderId="0"/>
    <xf numFmtId="0" fontId="19" fillId="0" borderId="0"/>
  </cellStyleXfs>
  <cellXfs count="39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3" borderId="1" xfId="2" applyFont="1" applyFill="1" applyBorder="1" applyAlignment="1" applyProtection="1">
      <alignment horizontal="right" vertical="center"/>
      <protection locked="0"/>
    </xf>
    <xf numFmtId="0" fontId="2" fillId="0" borderId="1" xfId="0" applyFont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/>
    </xf>
    <xf numFmtId="0" fontId="12" fillId="8" borderId="3" xfId="0" quotePrefix="1" applyFont="1" applyFill="1" applyBorder="1" applyAlignment="1">
      <alignment horizontal="center" wrapText="1"/>
    </xf>
    <xf numFmtId="0" fontId="12" fillId="0" borderId="2" xfId="0" applyFont="1" applyBorder="1" applyAlignment="1">
      <alignment horizontal="left"/>
    </xf>
    <xf numFmtId="0" fontId="12" fillId="0" borderId="3" xfId="0" quotePrefix="1" applyFont="1" applyBorder="1" applyAlignment="1">
      <alignment horizontal="center" wrapText="1"/>
    </xf>
    <xf numFmtId="0" fontId="12" fillId="0" borderId="3" xfId="0" quotePrefix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13" fillId="3" borderId="4" xfId="4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/>
    </xf>
    <xf numFmtId="0" fontId="2" fillId="3" borderId="1" xfId="3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0" fontId="13" fillId="4" borderId="4" xfId="4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8" fillId="10" borderId="5" xfId="0" applyFont="1" applyFill="1" applyBorder="1" applyAlignment="1">
      <alignment horizontal="left" vertical="center"/>
    </xf>
    <xf numFmtId="0" fontId="2" fillId="11" borderId="1" xfId="3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quotePrefix="1" applyFont="1" applyFill="1" applyBorder="1" applyAlignment="1">
      <alignment horizontal="center" vertical="center" wrapText="1"/>
    </xf>
    <xf numFmtId="0" fontId="11" fillId="11" borderId="1" xfId="2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4" quotePrefix="1" applyFont="1" applyBorder="1" applyAlignment="1">
      <alignment horizontal="center"/>
    </xf>
    <xf numFmtId="0" fontId="2" fillId="9" borderId="1" xfId="3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vertical="center"/>
    </xf>
    <xf numFmtId="0" fontId="17" fillId="10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right" vertical="center"/>
    </xf>
    <xf numFmtId="0" fontId="2" fillId="9" borderId="1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1" fillId="0" borderId="1" xfId="5" quotePrefix="1" applyFont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3" borderId="3" xfId="3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0" fillId="0" borderId="7" xfId="6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top"/>
    </xf>
    <xf numFmtId="0" fontId="10" fillId="0" borderId="7" xfId="6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3" borderId="1" xfId="3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10" fillId="0" borderId="7" xfId="6" applyFont="1" applyBorder="1" applyAlignment="1">
      <alignment horizontal="left" vertical="center"/>
    </xf>
    <xf numFmtId="0" fontId="2" fillId="0" borderId="1" xfId="0" applyFont="1" applyBorder="1" applyAlignment="1" applyProtection="1">
      <alignment vertical="center"/>
      <protection locked="0"/>
    </xf>
    <xf numFmtId="0" fontId="2" fillId="9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9" borderId="1" xfId="3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3" borderId="1" xfId="3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1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17" fillId="9" borderId="2" xfId="0" applyFont="1" applyFill="1" applyBorder="1"/>
    <xf numFmtId="0" fontId="15" fillId="0" borderId="0" xfId="0" applyFont="1" applyAlignment="1">
      <alignment vertical="center"/>
    </xf>
    <xf numFmtId="0" fontId="17" fillId="9" borderId="2" xfId="0" applyFont="1" applyFill="1" applyBorder="1" applyAlignment="1">
      <alignment horizontal="left"/>
    </xf>
    <xf numFmtId="0" fontId="15" fillId="0" borderId="0" xfId="0" applyFont="1" applyAlignment="1">
      <alignment horizontal="right" vertical="center"/>
    </xf>
    <xf numFmtId="0" fontId="21" fillId="9" borderId="1" xfId="0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17" fillId="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2" fillId="0" borderId="0" xfId="2" applyFont="1">
      <alignment vertical="center"/>
    </xf>
    <xf numFmtId="0" fontId="2" fillId="0" borderId="0" xfId="2" applyFont="1" applyAlignment="1" applyProtection="1">
      <alignment horizontal="center" vertical="center"/>
      <protection locked="0"/>
    </xf>
    <xf numFmtId="0" fontId="25" fillId="0" borderId="0" xfId="1" applyFont="1"/>
    <xf numFmtId="0" fontId="26" fillId="0" borderId="0" xfId="1" applyFont="1"/>
    <xf numFmtId="0" fontId="12" fillId="0" borderId="0" xfId="1" applyFont="1"/>
    <xf numFmtId="0" fontId="8" fillId="13" borderId="0" xfId="2" applyFont="1" applyFill="1" applyAlignment="1" applyProtection="1">
      <alignment horizontal="center" vertical="center"/>
      <protection locked="0"/>
    </xf>
    <xf numFmtId="0" fontId="12" fillId="13" borderId="0" xfId="2" applyFont="1" applyFill="1" applyProtection="1">
      <alignment vertical="center"/>
      <protection locked="0"/>
    </xf>
    <xf numFmtId="0" fontId="12" fillId="13" borderId="0" xfId="1" applyFont="1" applyFill="1"/>
    <xf numFmtId="0" fontId="8" fillId="0" borderId="9" xfId="1" applyFont="1" applyBorder="1" applyAlignment="1">
      <alignment horizontal="center" vertical="center"/>
    </xf>
    <xf numFmtId="0" fontId="8" fillId="14" borderId="10" xfId="1" applyFont="1" applyFill="1" applyBorder="1" applyAlignment="1">
      <alignment horizontal="center" vertical="center"/>
    </xf>
    <xf numFmtId="0" fontId="8" fillId="14" borderId="11" xfId="1" applyFont="1" applyFill="1" applyBorder="1" applyAlignment="1">
      <alignment horizontal="center" vertical="center"/>
    </xf>
    <xf numFmtId="0" fontId="8" fillId="15" borderId="11" xfId="1" applyFont="1" applyFill="1" applyBorder="1" applyAlignment="1">
      <alignment horizontal="center" vertical="center"/>
    </xf>
    <xf numFmtId="0" fontId="8" fillId="14" borderId="12" xfId="1" applyFont="1" applyFill="1" applyBorder="1" applyAlignment="1">
      <alignment horizontal="center" vertical="center"/>
    </xf>
    <xf numFmtId="0" fontId="12" fillId="14" borderId="0" xfId="1" applyFont="1" applyFill="1"/>
    <xf numFmtId="0" fontId="12" fillId="12" borderId="14" xfId="1" applyFont="1" applyFill="1" applyBorder="1" applyAlignment="1">
      <alignment horizontal="center" vertical="center"/>
    </xf>
    <xf numFmtId="0" fontId="12" fillId="12" borderId="11" xfId="1" applyFont="1" applyFill="1" applyBorder="1" applyAlignment="1">
      <alignment horizontal="center" vertical="center"/>
    </xf>
    <xf numFmtId="0" fontId="12" fillId="16" borderId="11" xfId="1" applyFont="1" applyFill="1" applyBorder="1" applyAlignment="1">
      <alignment horizontal="center" vertical="center"/>
    </xf>
    <xf numFmtId="0" fontId="12" fillId="17" borderId="11" xfId="1" applyFont="1" applyFill="1" applyBorder="1"/>
    <xf numFmtId="0" fontId="12" fillId="9" borderId="11" xfId="1" applyFont="1" applyFill="1" applyBorder="1"/>
    <xf numFmtId="0" fontId="12" fillId="18" borderId="11" xfId="1" applyFont="1" applyFill="1" applyBorder="1"/>
    <xf numFmtId="0" fontId="12" fillId="16" borderId="11" xfId="1" applyFont="1" applyFill="1" applyBorder="1"/>
    <xf numFmtId="0" fontId="12" fillId="18" borderId="11" xfId="1" applyFont="1" applyFill="1" applyBorder="1" applyAlignment="1">
      <alignment horizontal="center" vertical="center"/>
    </xf>
    <xf numFmtId="0" fontId="12" fillId="16" borderId="12" xfId="1" applyFont="1" applyFill="1" applyBorder="1"/>
    <xf numFmtId="0" fontId="12" fillId="16" borderId="0" xfId="1" applyFont="1" applyFill="1"/>
    <xf numFmtId="0" fontId="12" fillId="16" borderId="14" xfId="1" applyFont="1" applyFill="1" applyBorder="1" applyAlignment="1">
      <alignment horizontal="center" vertical="center"/>
    </xf>
    <xf numFmtId="0" fontId="12" fillId="19" borderId="14" xfId="1" applyFont="1" applyFill="1" applyBorder="1" applyAlignment="1">
      <alignment horizontal="center" vertical="center"/>
    </xf>
    <xf numFmtId="0" fontId="12" fillId="19" borderId="11" xfId="1" applyFont="1" applyFill="1" applyBorder="1" applyAlignment="1">
      <alignment horizontal="center" vertical="center"/>
    </xf>
    <xf numFmtId="0" fontId="12" fillId="19" borderId="11" xfId="1" applyFont="1" applyFill="1" applyBorder="1"/>
    <xf numFmtId="0" fontId="12" fillId="19" borderId="11" xfId="1" applyFont="1" applyFill="1" applyBorder="1" applyAlignment="1">
      <alignment horizontal="left"/>
    </xf>
    <xf numFmtId="0" fontId="12" fillId="2" borderId="11" xfId="1" applyFont="1" applyFill="1" applyBorder="1" applyAlignment="1">
      <alignment horizontal="center" vertical="center"/>
    </xf>
    <xf numFmtId="0" fontId="12" fillId="17" borderId="11" xfId="1" applyFont="1" applyFill="1" applyBorder="1" applyAlignment="1">
      <alignment horizontal="center" vertical="center"/>
    </xf>
    <xf numFmtId="0" fontId="12" fillId="17" borderId="11" xfId="1" applyFont="1" applyFill="1" applyBorder="1" applyAlignment="1">
      <alignment horizontal="left"/>
    </xf>
    <xf numFmtId="0" fontId="2" fillId="17" borderId="1" xfId="2" applyFont="1" applyFill="1" applyBorder="1" applyProtection="1">
      <alignment vertical="center"/>
      <protection locked="0"/>
    </xf>
    <xf numFmtId="0" fontId="12" fillId="20" borderId="0" xfId="1" applyFont="1" applyFill="1"/>
    <xf numFmtId="0" fontId="12" fillId="21" borderId="14" xfId="1" applyFont="1" applyFill="1" applyBorder="1" applyAlignment="1">
      <alignment horizontal="center" vertical="center"/>
    </xf>
    <xf numFmtId="0" fontId="12" fillId="21" borderId="11" xfId="1" applyFont="1" applyFill="1" applyBorder="1" applyAlignment="1">
      <alignment horizontal="center" vertical="center"/>
    </xf>
    <xf numFmtId="0" fontId="12" fillId="21" borderId="11" xfId="1" applyFont="1" applyFill="1" applyBorder="1"/>
    <xf numFmtId="0" fontId="12" fillId="21" borderId="11" xfId="1" applyFont="1" applyFill="1" applyBorder="1" applyAlignment="1">
      <alignment horizontal="left"/>
    </xf>
    <xf numFmtId="0" fontId="12" fillId="21" borderId="12" xfId="1" applyFont="1" applyFill="1" applyBorder="1"/>
    <xf numFmtId="0" fontId="12" fillId="21" borderId="0" xfId="1" applyFont="1" applyFill="1"/>
    <xf numFmtId="0" fontId="12" fillId="12" borderId="14" xfId="1" applyFont="1" applyFill="1" applyBorder="1"/>
    <xf numFmtId="0" fontId="12" fillId="12" borderId="11" xfId="1" applyFont="1" applyFill="1" applyBorder="1"/>
    <xf numFmtId="0" fontId="12" fillId="12" borderId="11" xfId="1" applyFont="1" applyFill="1" applyBorder="1" applyAlignment="1">
      <alignment horizontal="left"/>
    </xf>
    <xf numFmtId="0" fontId="12" fillId="12" borderId="12" xfId="1" applyFont="1" applyFill="1" applyBorder="1"/>
    <xf numFmtId="0" fontId="12" fillId="12" borderId="0" xfId="1" applyFont="1" applyFill="1"/>
    <xf numFmtId="0" fontId="12" fillId="0" borderId="14" xfId="1" applyFont="1" applyBorder="1"/>
    <xf numFmtId="0" fontId="12" fillId="0" borderId="11" xfId="1" applyFont="1" applyBorder="1"/>
    <xf numFmtId="0" fontId="12" fillId="0" borderId="11" xfId="1" applyFont="1" applyBorder="1" applyAlignment="1">
      <alignment horizontal="left"/>
    </xf>
    <xf numFmtId="0" fontId="12" fillId="0" borderId="12" xfId="1" applyFont="1" applyBorder="1"/>
    <xf numFmtId="0" fontId="12" fillId="15" borderId="0" xfId="1" applyFont="1" applyFill="1"/>
    <xf numFmtId="0" fontId="12" fillId="4" borderId="11" xfId="1" applyFont="1" applyFill="1" applyBorder="1"/>
    <xf numFmtId="0" fontId="12" fillId="20" borderId="11" xfId="1" applyFont="1" applyFill="1" applyBorder="1"/>
    <xf numFmtId="0" fontId="12" fillId="2" borderId="11" xfId="1" applyFont="1" applyFill="1" applyBorder="1"/>
    <xf numFmtId="0" fontId="12" fillId="4" borderId="11" xfId="1" applyFont="1" applyFill="1" applyBorder="1" applyAlignment="1">
      <alignment horizontal="left"/>
    </xf>
    <xf numFmtId="0" fontId="12" fillId="4" borderId="12" xfId="1" applyFont="1" applyFill="1" applyBorder="1"/>
    <xf numFmtId="0" fontId="12" fillId="22" borderId="0" xfId="1" applyFont="1" applyFill="1"/>
    <xf numFmtId="0" fontId="12" fillId="23" borderId="0" xfId="1" applyFont="1" applyFill="1"/>
    <xf numFmtId="0" fontId="12" fillId="23" borderId="14" xfId="1" applyFont="1" applyFill="1" applyBorder="1"/>
    <xf numFmtId="0" fontId="12" fillId="23" borderId="11" xfId="1" applyFont="1" applyFill="1" applyBorder="1"/>
    <xf numFmtId="0" fontId="12" fillId="23" borderId="11" xfId="1" applyFont="1" applyFill="1" applyBorder="1" applyAlignment="1">
      <alignment horizontal="left"/>
    </xf>
    <xf numFmtId="0" fontId="12" fillId="23" borderId="12" xfId="1" applyFont="1" applyFill="1" applyBorder="1"/>
    <xf numFmtId="0" fontId="8" fillId="0" borderId="13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15" fillId="0" borderId="0" xfId="1" applyFont="1"/>
    <xf numFmtId="0" fontId="2" fillId="13" borderId="0" xfId="5" applyFont="1" applyFill="1" applyProtection="1">
      <alignment vertical="center"/>
      <protection locked="0"/>
    </xf>
    <xf numFmtId="0" fontId="15" fillId="13" borderId="0" xfId="1" applyFont="1" applyFill="1"/>
    <xf numFmtId="0" fontId="17" fillId="0" borderId="9" xfId="1" applyFont="1" applyBorder="1" applyAlignment="1">
      <alignment horizontal="center" vertical="center"/>
    </xf>
    <xf numFmtId="0" fontId="31" fillId="12" borderId="1" xfId="1" applyFont="1" applyFill="1" applyBorder="1" applyAlignment="1">
      <alignment vertical="center" wrapText="1"/>
    </xf>
    <xf numFmtId="0" fontId="31" fillId="18" borderId="1" xfId="1" applyFont="1" applyFill="1" applyBorder="1" applyAlignment="1">
      <alignment vertical="center" wrapText="1"/>
    </xf>
    <xf numFmtId="0" fontId="31" fillId="18" borderId="1" xfId="1" applyFont="1" applyFill="1" applyBorder="1" applyAlignment="1">
      <alignment vertical="center"/>
    </xf>
    <xf numFmtId="0" fontId="31" fillId="12" borderId="1" xfId="1" applyFont="1" applyFill="1" applyBorder="1" applyAlignment="1">
      <alignment vertical="center"/>
    </xf>
    <xf numFmtId="0" fontId="31" fillId="24" borderId="1" xfId="5" applyFont="1" applyFill="1" applyBorder="1" applyProtection="1">
      <alignment vertical="center"/>
      <protection locked="0"/>
    </xf>
    <xf numFmtId="0" fontId="31" fillId="24" borderId="1" xfId="5" quotePrefix="1" applyFont="1" applyFill="1" applyBorder="1" applyProtection="1">
      <alignment vertical="center"/>
      <protection locked="0"/>
    </xf>
    <xf numFmtId="0" fontId="31" fillId="0" borderId="1" xfId="5" applyFont="1" applyBorder="1" applyProtection="1">
      <alignment vertical="center"/>
      <protection locked="0"/>
    </xf>
    <xf numFmtId="0" fontId="31" fillId="0" borderId="1" xfId="5" applyFont="1" applyBorder="1" applyAlignment="1" applyProtection="1">
      <alignment horizontal="center" vertical="center" wrapText="1"/>
      <protection locked="0"/>
    </xf>
    <xf numFmtId="0" fontId="31" fillId="14" borderId="11" xfId="1" applyFont="1" applyFill="1" applyBorder="1" applyAlignment="1">
      <alignment horizontal="center" vertical="center"/>
    </xf>
    <xf numFmtId="0" fontId="31" fillId="14" borderId="12" xfId="1" applyFont="1" applyFill="1" applyBorder="1" applyAlignment="1">
      <alignment horizontal="center" vertical="center"/>
    </xf>
    <xf numFmtId="0" fontId="31" fillId="0" borderId="0" xfId="1" applyFont="1"/>
    <xf numFmtId="0" fontId="31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0" fontId="15" fillId="14" borderId="0" xfId="1" applyFont="1" applyFill="1"/>
    <xf numFmtId="0" fontId="15" fillId="3" borderId="0" xfId="1" applyFont="1" applyFill="1"/>
    <xf numFmtId="0" fontId="17" fillId="3" borderId="13" xfId="1" applyFont="1" applyFill="1" applyBorder="1" applyAlignment="1">
      <alignment horizontal="center" vertical="center" wrapText="1"/>
    </xf>
    <xf numFmtId="0" fontId="31" fillId="3" borderId="14" xfId="1" applyFont="1" applyFill="1" applyBorder="1"/>
    <xf numFmtId="0" fontId="31" fillId="3" borderId="11" xfId="1" applyFont="1" applyFill="1" applyBorder="1"/>
    <xf numFmtId="0" fontId="31" fillId="3" borderId="12" xfId="1" applyFont="1" applyFill="1" applyBorder="1"/>
    <xf numFmtId="0" fontId="31" fillId="3" borderId="0" xfId="1" applyFont="1" applyFill="1"/>
    <xf numFmtId="0" fontId="31" fillId="3" borderId="0" xfId="1" quotePrefix="1" applyFont="1" applyFill="1" applyAlignment="1">
      <alignment horizontal="left"/>
    </xf>
    <xf numFmtId="0" fontId="15" fillId="3" borderId="0" xfId="1" quotePrefix="1" applyFont="1" applyFill="1" applyAlignment="1">
      <alignment horizontal="left"/>
    </xf>
    <xf numFmtId="0" fontId="17" fillId="3" borderId="15" xfId="1" applyFont="1" applyFill="1" applyBorder="1" applyAlignment="1">
      <alignment horizontal="center" vertical="center"/>
    </xf>
    <xf numFmtId="0" fontId="31" fillId="3" borderId="0" xfId="1" applyFont="1" applyFill="1" applyAlignment="1">
      <alignment horizontal="left"/>
    </xf>
    <xf numFmtId="0" fontId="15" fillId="3" borderId="0" xfId="1" applyFont="1" applyFill="1" applyAlignment="1">
      <alignment horizontal="left"/>
    </xf>
    <xf numFmtId="0" fontId="2" fillId="0" borderId="0" xfId="1" applyFont="1"/>
    <xf numFmtId="0" fontId="17" fillId="25" borderId="13" xfId="1" applyFont="1" applyFill="1" applyBorder="1" applyAlignment="1">
      <alignment horizontal="center" vertical="center"/>
    </xf>
    <xf numFmtId="0" fontId="31" fillId="25" borderId="11" xfId="1" applyFont="1" applyFill="1" applyBorder="1" applyAlignment="1">
      <alignment wrapText="1"/>
    </xf>
    <xf numFmtId="0" fontId="31" fillId="25" borderId="11" xfId="1" applyFont="1" applyFill="1" applyBorder="1"/>
    <xf numFmtId="0" fontId="31" fillId="25" borderId="14" xfId="1" applyFont="1" applyFill="1" applyBorder="1" applyAlignment="1">
      <alignment wrapText="1"/>
    </xf>
    <xf numFmtId="0" fontId="31" fillId="25" borderId="11" xfId="1" quotePrefix="1" applyFont="1" applyFill="1" applyBorder="1"/>
    <xf numFmtId="1" fontId="31" fillId="25" borderId="11" xfId="1" quotePrefix="1" applyNumberFormat="1" applyFont="1" applyFill="1" applyBorder="1"/>
    <xf numFmtId="0" fontId="31" fillId="25" borderId="11" xfId="1" quotePrefix="1" applyFont="1" applyFill="1" applyBorder="1" applyAlignment="1">
      <alignment wrapText="1"/>
    </xf>
    <xf numFmtId="0" fontId="31" fillId="25" borderId="11" xfId="1" applyFont="1" applyFill="1" applyBorder="1" applyAlignment="1">
      <alignment horizontal="left"/>
    </xf>
    <xf numFmtId="0" fontId="31" fillId="25" borderId="12" xfId="1" applyFont="1" applyFill="1" applyBorder="1"/>
    <xf numFmtId="0" fontId="2" fillId="20" borderId="0" xfId="1" applyFont="1" applyFill="1"/>
    <xf numFmtId="0" fontId="17" fillId="25" borderId="15" xfId="1" applyFont="1" applyFill="1" applyBorder="1" applyAlignment="1">
      <alignment horizontal="center" vertical="center"/>
    </xf>
    <xf numFmtId="0" fontId="31" fillId="25" borderId="14" xfId="1" applyFont="1" applyFill="1" applyBorder="1"/>
    <xf numFmtId="0" fontId="31" fillId="0" borderId="0" xfId="1" quotePrefix="1" applyFont="1" applyAlignment="1">
      <alignment horizontal="left"/>
    </xf>
    <xf numFmtId="0" fontId="15" fillId="0" borderId="0" xfId="1" quotePrefix="1" applyFont="1" applyAlignment="1">
      <alignment horizontal="left"/>
    </xf>
    <xf numFmtId="0" fontId="15" fillId="20" borderId="0" xfId="1" applyFont="1" applyFill="1"/>
    <xf numFmtId="0" fontId="17" fillId="0" borderId="13" xfId="1" applyFont="1" applyBorder="1" applyAlignment="1">
      <alignment horizontal="center" vertical="center"/>
    </xf>
    <xf numFmtId="0" fontId="31" fillId="21" borderId="14" xfId="1" applyFont="1" applyFill="1" applyBorder="1"/>
    <xf numFmtId="0" fontId="31" fillId="21" borderId="11" xfId="1" applyFont="1" applyFill="1" applyBorder="1"/>
    <xf numFmtId="0" fontId="31" fillId="21" borderId="11" xfId="1" applyFont="1" applyFill="1" applyBorder="1" applyAlignment="1">
      <alignment horizontal="left"/>
    </xf>
    <xf numFmtId="0" fontId="31" fillId="21" borderId="11" xfId="1" quotePrefix="1" applyFont="1" applyFill="1" applyBorder="1"/>
    <xf numFmtId="0" fontId="31" fillId="21" borderId="12" xfId="1" applyFont="1" applyFill="1" applyBorder="1"/>
    <xf numFmtId="0" fontId="15" fillId="21" borderId="0" xfId="1" applyFont="1" applyFill="1"/>
    <xf numFmtId="0" fontId="17" fillId="0" borderId="15" xfId="1" applyFont="1" applyBorder="1" applyAlignment="1">
      <alignment horizontal="center" vertical="center"/>
    </xf>
    <xf numFmtId="0" fontId="31" fillId="4" borderId="11" xfId="1" applyFont="1" applyFill="1" applyBorder="1"/>
    <xf numFmtId="0" fontId="31" fillId="4" borderId="11" xfId="1" applyFont="1" applyFill="1" applyBorder="1" applyAlignment="1">
      <alignment horizontal="left"/>
    </xf>
    <xf numFmtId="0" fontId="31" fillId="4" borderId="12" xfId="1" applyFont="1" applyFill="1" applyBorder="1"/>
    <xf numFmtId="0" fontId="31" fillId="4" borderId="0" xfId="1" applyFont="1" applyFill="1"/>
    <xf numFmtId="0" fontId="31" fillId="4" borderId="0" xfId="1" applyFont="1" applyFill="1" applyAlignment="1">
      <alignment horizontal="left"/>
    </xf>
    <xf numFmtId="0" fontId="15" fillId="4" borderId="0" xfId="1" applyFont="1" applyFill="1" applyAlignment="1">
      <alignment horizontal="left"/>
    </xf>
    <xf numFmtId="0" fontId="15" fillId="4" borderId="0" xfId="1" applyFont="1" applyFill="1"/>
    <xf numFmtId="0" fontId="17" fillId="3" borderId="15" xfId="1" applyFont="1" applyFill="1" applyBorder="1" applyAlignment="1">
      <alignment horizontal="center" vertical="center" wrapText="1"/>
    </xf>
    <xf numFmtId="0" fontId="31" fillId="26" borderId="14" xfId="1" applyFont="1" applyFill="1" applyBorder="1"/>
    <xf numFmtId="0" fontId="31" fillId="26" borderId="11" xfId="1" applyFont="1" applyFill="1" applyBorder="1"/>
    <xf numFmtId="0" fontId="31" fillId="26" borderId="11" xfId="1" applyFont="1" applyFill="1" applyBorder="1" applyAlignment="1">
      <alignment horizontal="left"/>
    </xf>
    <xf numFmtId="0" fontId="31" fillId="26" borderId="12" xfId="1" applyFont="1" applyFill="1" applyBorder="1"/>
    <xf numFmtId="0" fontId="31" fillId="26" borderId="0" xfId="1" applyFont="1" applyFill="1"/>
    <xf numFmtId="0" fontId="31" fillId="26" borderId="0" xfId="1" applyFont="1" applyFill="1" applyAlignment="1">
      <alignment horizontal="left"/>
    </xf>
    <xf numFmtId="0" fontId="15" fillId="26" borderId="0" xfId="1" applyFont="1" applyFill="1" applyAlignment="1">
      <alignment horizontal="left"/>
    </xf>
    <xf numFmtId="0" fontId="15" fillId="26" borderId="0" xfId="1" applyFont="1" applyFill="1"/>
    <xf numFmtId="0" fontId="12" fillId="26" borderId="0" xfId="1" applyFont="1" applyFill="1" applyAlignment="1">
      <alignment horizontal="left"/>
    </xf>
    <xf numFmtId="0" fontId="12" fillId="26" borderId="0" xfId="1" applyFont="1" applyFill="1"/>
    <xf numFmtId="0" fontId="31" fillId="3" borderId="11" xfId="1" applyFont="1" applyFill="1" applyBorder="1" applyAlignment="1">
      <alignment horizontal="left"/>
    </xf>
    <xf numFmtId="0" fontId="15" fillId="22" borderId="0" xfId="1" applyFont="1" applyFill="1"/>
    <xf numFmtId="0" fontId="17" fillId="0" borderId="13" xfId="1" applyFont="1" applyBorder="1" applyAlignment="1">
      <alignment horizontal="center" vertical="center" wrapText="1"/>
    </xf>
    <xf numFmtId="0" fontId="31" fillId="0" borderId="14" xfId="1" applyFont="1" applyBorder="1"/>
    <xf numFmtId="0" fontId="31" fillId="0" borderId="11" xfId="1" applyFont="1" applyBorder="1"/>
    <xf numFmtId="0" fontId="31" fillId="0" borderId="11" xfId="1" applyFont="1" applyBorder="1" applyAlignment="1">
      <alignment horizontal="left"/>
    </xf>
    <xf numFmtId="0" fontId="31" fillId="0" borderId="12" xfId="1" applyFont="1" applyBorder="1"/>
    <xf numFmtId="0" fontId="17" fillId="0" borderId="15" xfId="1" applyFont="1" applyBorder="1" applyAlignment="1">
      <alignment horizontal="center" vertical="center" wrapText="1"/>
    </xf>
    <xf numFmtId="0" fontId="31" fillId="0" borderId="16" xfId="1" applyFont="1" applyBorder="1"/>
    <xf numFmtId="0" fontId="17" fillId="27" borderId="13" xfId="1" applyFont="1" applyFill="1" applyBorder="1" applyAlignment="1">
      <alignment horizontal="center" vertical="center" wrapText="1"/>
    </xf>
    <xf numFmtId="0" fontId="31" fillId="27" borderId="14" xfId="1" applyFont="1" applyFill="1" applyBorder="1"/>
    <xf numFmtId="0" fontId="31" fillId="27" borderId="11" xfId="1" applyFont="1" applyFill="1" applyBorder="1"/>
    <xf numFmtId="0" fontId="31" fillId="27" borderId="12" xfId="1" applyFont="1" applyFill="1" applyBorder="1"/>
    <xf numFmtId="0" fontId="15" fillId="28" borderId="0" xfId="1" applyFont="1" applyFill="1"/>
    <xf numFmtId="0" fontId="17" fillId="27" borderId="15" xfId="1" applyFont="1" applyFill="1" applyBorder="1" applyAlignment="1">
      <alignment horizontal="center" vertical="center"/>
    </xf>
    <xf numFmtId="1" fontId="31" fillId="27" borderId="14" xfId="1" applyNumberFormat="1" applyFont="1" applyFill="1" applyBorder="1"/>
    <xf numFmtId="1" fontId="31" fillId="27" borderId="11" xfId="1" applyNumberFormat="1" applyFont="1" applyFill="1" applyBorder="1"/>
    <xf numFmtId="1" fontId="31" fillId="27" borderId="12" xfId="1" applyNumberFormat="1" applyFont="1" applyFill="1" applyBorder="1"/>
    <xf numFmtId="0" fontId="31" fillId="29" borderId="11" xfId="1" applyFont="1" applyFill="1" applyBorder="1"/>
    <xf numFmtId="0" fontId="31" fillId="29" borderId="11" xfId="1" applyFont="1" applyFill="1" applyBorder="1" applyAlignment="1">
      <alignment horizontal="left"/>
    </xf>
    <xf numFmtId="0" fontId="31" fillId="29" borderId="17" xfId="1" applyFont="1" applyFill="1" applyBorder="1"/>
    <xf numFmtId="0" fontId="31" fillId="29" borderId="12" xfId="1" applyFont="1" applyFill="1" applyBorder="1"/>
    <xf numFmtId="0" fontId="32" fillId="0" borderId="0" xfId="7" applyFont="1"/>
    <xf numFmtId="0" fontId="8" fillId="30" borderId="18" xfId="7" applyFont="1" applyFill="1" applyBorder="1" applyAlignment="1">
      <alignment horizontal="center" vertical="center"/>
    </xf>
    <xf numFmtId="0" fontId="8" fillId="30" borderId="19" xfId="7" applyFont="1" applyFill="1" applyBorder="1" applyAlignment="1">
      <alignment horizontal="center" vertical="center"/>
    </xf>
    <xf numFmtId="0" fontId="8" fillId="30" borderId="20" xfId="7" applyFont="1" applyFill="1" applyBorder="1" applyAlignment="1">
      <alignment horizontal="center" vertical="center"/>
    </xf>
    <xf numFmtId="0" fontId="12" fillId="0" borderId="0" xfId="7" applyFont="1" applyAlignment="1" applyProtection="1">
      <alignment vertical="center"/>
      <protection locked="0"/>
    </xf>
    <xf numFmtId="0" fontId="8" fillId="30" borderId="21" xfId="7" applyFont="1" applyFill="1" applyBorder="1" applyAlignment="1">
      <alignment horizontal="center" vertical="center"/>
    </xf>
    <xf numFmtId="0" fontId="8" fillId="30" borderId="0" xfId="7" applyFont="1" applyFill="1" applyAlignment="1">
      <alignment horizontal="center" vertical="center"/>
    </xf>
    <xf numFmtId="0" fontId="8" fillId="30" borderId="22" xfId="7" applyFont="1" applyFill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8" fillId="30" borderId="23" xfId="7" applyFont="1" applyFill="1" applyBorder="1" applyAlignment="1">
      <alignment horizontal="center" vertical="center"/>
    </xf>
    <xf numFmtId="0" fontId="8" fillId="30" borderId="24" xfId="7" applyFont="1" applyFill="1" applyBorder="1" applyAlignment="1">
      <alignment horizontal="center" vertical="center"/>
    </xf>
    <xf numFmtId="0" fontId="8" fillId="30" borderId="25" xfId="7" applyFont="1" applyFill="1" applyBorder="1" applyAlignment="1">
      <alignment horizontal="center" vertical="center"/>
    </xf>
    <xf numFmtId="0" fontId="16" fillId="0" borderId="26" xfId="7" applyFont="1" applyBorder="1" applyAlignment="1">
      <alignment horizontal="center" vertical="center"/>
    </xf>
    <xf numFmtId="0" fontId="33" fillId="31" borderId="27" xfId="7" applyFont="1" applyFill="1" applyBorder="1" applyAlignment="1">
      <alignment horizontal="right" vertical="center"/>
    </xf>
    <xf numFmtId="0" fontId="33" fillId="29" borderId="28" xfId="7" applyFont="1" applyFill="1" applyBorder="1" applyAlignment="1">
      <alignment horizontal="right" vertical="center"/>
    </xf>
    <xf numFmtId="0" fontId="33" fillId="31" borderId="28" xfId="7" applyFont="1" applyFill="1" applyBorder="1" applyAlignment="1">
      <alignment horizontal="right" vertical="center"/>
    </xf>
    <xf numFmtId="0" fontId="33" fillId="29" borderId="28" xfId="7" applyFont="1" applyFill="1" applyBorder="1" applyAlignment="1">
      <alignment horizontal="right" vertical="center" wrapText="1"/>
    </xf>
    <xf numFmtId="0" fontId="33" fillId="31" borderId="28" xfId="7" applyFont="1" applyFill="1" applyBorder="1" applyAlignment="1">
      <alignment horizontal="right" vertical="center" wrapText="1"/>
    </xf>
    <xf numFmtId="0" fontId="33" fillId="31" borderId="1" xfId="7" applyFont="1" applyFill="1" applyBorder="1" applyAlignment="1">
      <alignment horizontal="right" vertical="center"/>
    </xf>
    <xf numFmtId="0" fontId="33" fillId="29" borderId="1" xfId="7" applyFont="1" applyFill="1" applyBorder="1" applyAlignment="1">
      <alignment horizontal="right" vertical="center"/>
    </xf>
    <xf numFmtId="0" fontId="33" fillId="31" borderId="0" xfId="7" applyFont="1" applyFill="1" applyAlignment="1">
      <alignment horizontal="right" vertical="center"/>
    </xf>
    <xf numFmtId="0" fontId="16" fillId="0" borderId="29" xfId="7" applyFont="1" applyBorder="1" applyAlignment="1">
      <alignment horizontal="center" vertical="center"/>
    </xf>
    <xf numFmtId="164" fontId="34" fillId="0" borderId="5" xfId="7" applyNumberFormat="1" applyFont="1" applyBorder="1"/>
    <xf numFmtId="164" fontId="34" fillId="0" borderId="1" xfId="7" applyNumberFormat="1" applyFont="1" applyBorder="1"/>
    <xf numFmtId="164" fontId="34" fillId="32" borderId="1" xfId="7" applyNumberFormat="1" applyFont="1" applyFill="1" applyBorder="1"/>
    <xf numFmtId="164" fontId="35" fillId="0" borderId="1" xfId="7" applyNumberFormat="1" applyFont="1" applyBorder="1"/>
    <xf numFmtId="164" fontId="34" fillId="0" borderId="30" xfId="7" applyNumberFormat="1" applyFont="1" applyBorder="1"/>
    <xf numFmtId="164" fontId="34" fillId="33" borderId="1" xfId="7" applyNumberFormat="1" applyFont="1" applyFill="1" applyBorder="1"/>
    <xf numFmtId="164" fontId="34" fillId="0" borderId="0" xfId="7" applyNumberFormat="1" applyFont="1"/>
    <xf numFmtId="0" fontId="33" fillId="4" borderId="5" xfId="7" applyFont="1" applyFill="1" applyBorder="1" applyAlignment="1">
      <alignment horizontal="right" vertical="center"/>
    </xf>
    <xf numFmtId="0" fontId="33" fillId="4" borderId="1" xfId="7" applyFont="1" applyFill="1" applyBorder="1" applyAlignment="1">
      <alignment horizontal="right" vertical="center"/>
    </xf>
    <xf numFmtId="0" fontId="16" fillId="0" borderId="31" xfId="7" applyFont="1" applyBorder="1" applyAlignment="1">
      <alignment horizontal="center" vertical="center"/>
    </xf>
    <xf numFmtId="164" fontId="34" fillId="32" borderId="32" xfId="7" applyNumberFormat="1" applyFont="1" applyFill="1" applyBorder="1"/>
    <xf numFmtId="164" fontId="34" fillId="32" borderId="30" xfId="7" applyNumberFormat="1" applyFont="1" applyFill="1" applyBorder="1"/>
    <xf numFmtId="164" fontId="34" fillId="33" borderId="30" xfId="7" applyNumberFormat="1" applyFont="1" applyFill="1" applyBorder="1"/>
    <xf numFmtId="0" fontId="33" fillId="31" borderId="33" xfId="7" applyFont="1" applyFill="1" applyBorder="1" applyAlignment="1">
      <alignment horizontal="right" vertical="center"/>
    </xf>
    <xf numFmtId="2" fontId="34" fillId="2" borderId="5" xfId="7" applyNumberFormat="1" applyFont="1" applyFill="1" applyBorder="1"/>
    <xf numFmtId="2" fontId="34" fillId="34" borderId="5" xfId="7" applyNumberFormat="1" applyFont="1" applyFill="1" applyBorder="1"/>
    <xf numFmtId="2" fontId="34" fillId="35" borderId="1" xfId="7" applyNumberFormat="1" applyFont="1" applyFill="1" applyBorder="1"/>
    <xf numFmtId="2" fontId="34" fillId="4" borderId="1" xfId="7" applyNumberFormat="1" applyFont="1" applyFill="1" applyBorder="1"/>
    <xf numFmtId="2" fontId="34" fillId="36" borderId="1" xfId="7" applyNumberFormat="1" applyFont="1" applyFill="1" applyBorder="1"/>
    <xf numFmtId="2" fontId="34" fillId="2" borderId="1" xfId="7" applyNumberFormat="1" applyFont="1" applyFill="1" applyBorder="1"/>
    <xf numFmtId="2" fontId="34" fillId="0" borderId="1" xfId="7" applyNumberFormat="1" applyFont="1" applyBorder="1"/>
    <xf numFmtId="2" fontId="34" fillId="0" borderId="30" xfId="7" applyNumberFormat="1" applyFont="1" applyBorder="1"/>
    <xf numFmtId="2" fontId="34" fillId="0" borderId="34" xfId="7" applyNumberFormat="1" applyFont="1" applyBorder="1"/>
    <xf numFmtId="2" fontId="34" fillId="0" borderId="0" xfId="7" applyNumberFormat="1" applyFont="1"/>
    <xf numFmtId="0" fontId="33" fillId="31" borderId="2" xfId="7" applyFont="1" applyFill="1" applyBorder="1" applyAlignment="1">
      <alignment horizontal="right" vertical="center"/>
    </xf>
    <xf numFmtId="0" fontId="33" fillId="31" borderId="34" xfId="7" applyFont="1" applyFill="1" applyBorder="1" applyAlignment="1">
      <alignment horizontal="right" vertical="center"/>
    </xf>
    <xf numFmtId="2" fontId="34" fillId="0" borderId="32" xfId="7" applyNumberFormat="1" applyFont="1" applyBorder="1"/>
    <xf numFmtId="2" fontId="34" fillId="34" borderId="30" xfId="7" applyNumberFormat="1" applyFont="1" applyFill="1" applyBorder="1"/>
    <xf numFmtId="2" fontId="34" fillId="0" borderId="35" xfId="7" applyNumberFormat="1" applyFont="1" applyBorder="1"/>
    <xf numFmtId="164" fontId="32" fillId="0" borderId="0" xfId="7" applyNumberFormat="1" applyFont="1"/>
    <xf numFmtId="0" fontId="19" fillId="0" borderId="0" xfId="7"/>
    <xf numFmtId="0" fontId="17" fillId="30" borderId="18" xfId="7" applyFont="1" applyFill="1" applyBorder="1" applyAlignment="1">
      <alignment horizontal="center" vertical="center"/>
    </xf>
    <xf numFmtId="0" fontId="17" fillId="30" borderId="19" xfId="7" applyFont="1" applyFill="1" applyBorder="1" applyAlignment="1">
      <alignment horizontal="center" vertical="center"/>
    </xf>
    <xf numFmtId="0" fontId="17" fillId="30" borderId="20" xfId="7" applyFont="1" applyFill="1" applyBorder="1" applyAlignment="1">
      <alignment horizontal="center" vertical="center"/>
    </xf>
    <xf numFmtId="0" fontId="2" fillId="0" borderId="0" xfId="7" applyFont="1" applyAlignment="1" applyProtection="1">
      <alignment vertical="center"/>
      <protection locked="0"/>
    </xf>
    <xf numFmtId="0" fontId="17" fillId="30" borderId="21" xfId="7" applyFont="1" applyFill="1" applyBorder="1" applyAlignment="1">
      <alignment horizontal="center" vertical="center"/>
    </xf>
    <xf numFmtId="0" fontId="17" fillId="30" borderId="0" xfId="7" applyFont="1" applyFill="1" applyAlignment="1">
      <alignment horizontal="center" vertical="center"/>
    </xf>
    <xf numFmtId="0" fontId="17" fillId="30" borderId="22" xfId="7" applyFont="1" applyFill="1" applyBorder="1" applyAlignment="1">
      <alignment horizontal="center" vertical="center"/>
    </xf>
    <xf numFmtId="0" fontId="2" fillId="0" borderId="0" xfId="7" applyFont="1" applyAlignment="1">
      <alignment vertical="center"/>
    </xf>
    <xf numFmtId="0" fontId="17" fillId="30" borderId="23" xfId="7" applyFont="1" applyFill="1" applyBorder="1" applyAlignment="1">
      <alignment horizontal="center" vertical="center"/>
    </xf>
    <xf numFmtId="0" fontId="17" fillId="30" borderId="24" xfId="7" applyFont="1" applyFill="1" applyBorder="1" applyAlignment="1">
      <alignment horizontal="center" vertical="center"/>
    </xf>
    <xf numFmtId="0" fontId="17" fillId="30" borderId="25" xfId="7" applyFont="1" applyFill="1" applyBorder="1" applyAlignment="1">
      <alignment horizontal="center" vertical="center"/>
    </xf>
    <xf numFmtId="0" fontId="19" fillId="0" borderId="36" xfId="7" applyBorder="1"/>
    <xf numFmtId="0" fontId="38" fillId="0" borderId="26" xfId="7" applyFont="1" applyBorder="1" applyAlignment="1">
      <alignment horizontal="center" vertical="center"/>
    </xf>
    <xf numFmtId="0" fontId="19" fillId="0" borderId="5" xfId="7" applyBorder="1"/>
    <xf numFmtId="0" fontId="19" fillId="0" borderId="1" xfId="7" applyBorder="1"/>
    <xf numFmtId="0" fontId="38" fillId="0" borderId="29" xfId="7" applyFont="1" applyBorder="1" applyAlignment="1">
      <alignment horizontal="center" vertical="center"/>
    </xf>
    <xf numFmtId="0" fontId="19" fillId="37" borderId="1" xfId="7" applyFill="1" applyBorder="1"/>
    <xf numFmtId="0" fontId="19" fillId="0" borderId="6" xfId="7" applyBorder="1"/>
    <xf numFmtId="0" fontId="19" fillId="11" borderId="5" xfId="7" applyFill="1" applyBorder="1"/>
    <xf numFmtId="0" fontId="19" fillId="11" borderId="1" xfId="7" applyFill="1" applyBorder="1"/>
    <xf numFmtId="11" fontId="19" fillId="11" borderId="1" xfId="7" applyNumberFormat="1" applyFill="1" applyBorder="1"/>
    <xf numFmtId="0" fontId="39" fillId="11" borderId="1" xfId="7" applyFont="1" applyFill="1" applyBorder="1"/>
    <xf numFmtId="0" fontId="38" fillId="0" borderId="31" xfId="7" applyFont="1" applyBorder="1" applyAlignment="1">
      <alignment horizontal="center" vertical="center"/>
    </xf>
    <xf numFmtId="0" fontId="19" fillId="11" borderId="6" xfId="7" applyFill="1" applyBorder="1"/>
    <xf numFmtId="0" fontId="19" fillId="0" borderId="3" xfId="7" applyBorder="1"/>
    <xf numFmtId="0" fontId="19" fillId="0" borderId="2" xfId="7" applyBorder="1"/>
    <xf numFmtId="0" fontId="19" fillId="3" borderId="1" xfId="7" applyFill="1" applyBorder="1"/>
    <xf numFmtId="0" fontId="19" fillId="3" borderId="2" xfId="7" applyFill="1" applyBorder="1"/>
    <xf numFmtId="0" fontId="19" fillId="11" borderId="2" xfId="7" applyFill="1" applyBorder="1"/>
  </cellXfs>
  <cellStyles count="8">
    <cellStyle name="Normal" xfId="0" builtinId="0"/>
    <cellStyle name="Normal 2" xfId="6" xr:uid="{4236534F-4C28-4BFF-991F-D6EA0D0426BF}"/>
    <cellStyle name="Normal 2 2" xfId="1" xr:uid="{97715B28-B948-4BC7-BEC6-ACFA56C35CD5}"/>
    <cellStyle name="Normal 2 2 2" xfId="4" xr:uid="{553E3965-B84D-4688-9932-44BC0B93E048}"/>
    <cellStyle name="Normal 3" xfId="5" xr:uid="{736F83C2-C031-42EA-BA7E-3600FE95C7D4}"/>
    <cellStyle name="Normal 3 2" xfId="2" xr:uid="{B9321343-D436-452E-AAAA-BF79D401145C}"/>
    <cellStyle name="Normal 5" xfId="7" xr:uid="{4B54DC62-9F0B-4F05-ACF7-0CCC0B96CBD9}"/>
    <cellStyle name="Normal_Sheet1_CH'CÔNG2007" xfId="3" xr:uid="{D40BE842-9E0A-40A0-A873-DC3CE52E25CE}"/>
  </cellStyles>
  <dxfs count="245"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%20m&#7851;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nhập"/>
      <sheetName val="CÁN"/>
      <sheetName val="EP"/>
      <sheetName val="XLBV"/>
      <sheetName val="Cắt lồng"/>
      <sheetName val="TT Mài"/>
      <sheetName val="TT Đo"/>
      <sheetName val="TT Kiểm 1"/>
      <sheetName val="TT Kiểm 2"/>
      <sheetName val="sx3"/>
      <sheetName val="Yêu cầu"/>
      <sheetName val="ĐỊNH MỨC sx1"/>
      <sheetName val="Định mức XLBV"/>
      <sheetName val="Gia công"/>
      <sheetName val="mài đo"/>
      <sheetName val="Định mức kiểm 1"/>
      <sheetName val="Kiểm 2"/>
      <sheetName val="Nhân sự"/>
      <sheetName val="MSP"/>
      <sheetName val="Scan"/>
      <sheetName val="Má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F02E-0F20-43D2-B457-1F3D191FA533}">
  <dimension ref="A1:DF62"/>
  <sheetViews>
    <sheetView tabSelected="1" workbookViewId="0">
      <selection activeCell="K17" sqref="K17"/>
    </sheetView>
  </sheetViews>
  <sheetFormatPr defaultColWidth="11.1796875" defaultRowHeight="14"/>
  <cols>
    <col min="1" max="6" width="11.1796875" style="363"/>
    <col min="7" max="7" width="11.54296875" style="363" customWidth="1"/>
    <col min="8" max="69" width="11.1796875" style="363"/>
    <col min="70" max="70" width="13.36328125" style="363" customWidth="1"/>
    <col min="71" max="16384" width="11.1796875" style="363"/>
  </cols>
  <sheetData>
    <row r="1" spans="1:110" ht="15.5">
      <c r="B1" s="364" t="s">
        <v>1532</v>
      </c>
      <c r="C1" s="365"/>
      <c r="D1" s="365"/>
      <c r="E1" s="365"/>
      <c r="F1" s="365"/>
      <c r="G1" s="366"/>
      <c r="H1" s="367"/>
      <c r="I1" s="367"/>
      <c r="J1" s="367"/>
      <c r="AA1" s="367"/>
      <c r="AB1" s="367"/>
      <c r="AC1" s="367"/>
      <c r="AD1" s="367"/>
    </row>
    <row r="2" spans="1:110" ht="15.5">
      <c r="B2" s="368"/>
      <c r="C2" s="369"/>
      <c r="D2" s="369"/>
      <c r="E2" s="369"/>
      <c r="F2" s="369"/>
      <c r="G2" s="370"/>
      <c r="H2" s="367"/>
      <c r="I2" s="367"/>
      <c r="J2" s="367"/>
      <c r="K2" s="371"/>
      <c r="L2" s="371"/>
      <c r="M2" s="371"/>
      <c r="U2" s="371"/>
      <c r="V2" s="371"/>
      <c r="W2" s="371"/>
      <c r="X2" s="367"/>
      <c r="Y2" s="367"/>
      <c r="Z2" s="367"/>
      <c r="AA2" s="367"/>
      <c r="AB2" s="367"/>
      <c r="AC2" s="367"/>
      <c r="AD2" s="367"/>
    </row>
    <row r="3" spans="1:110" ht="14.5" thickBot="1">
      <c r="B3" s="372"/>
      <c r="C3" s="373"/>
      <c r="D3" s="373"/>
      <c r="E3" s="373"/>
      <c r="F3" s="373"/>
      <c r="G3" s="374"/>
    </row>
    <row r="4" spans="1:110" ht="14.5" thickBot="1">
      <c r="AO4" s="363" t="s">
        <v>1533</v>
      </c>
      <c r="AQ4" s="375" t="s">
        <v>1534</v>
      </c>
      <c r="AR4" s="375"/>
      <c r="AS4" s="363" t="s">
        <v>1534</v>
      </c>
      <c r="AU4" s="363" t="s">
        <v>1535</v>
      </c>
      <c r="AW4" s="363" t="s">
        <v>1534</v>
      </c>
      <c r="AZ4" s="363" t="s">
        <v>1536</v>
      </c>
      <c r="BC4" s="363" t="s">
        <v>1537</v>
      </c>
      <c r="BF4" s="375"/>
      <c r="BG4" s="375" t="s">
        <v>1537</v>
      </c>
      <c r="BI4" s="375"/>
      <c r="BJ4" s="375"/>
      <c r="BL4" s="375"/>
      <c r="BM4" s="375"/>
    </row>
    <row r="5" spans="1:110" ht="31.5" customHeight="1">
      <c r="A5" s="376" t="s">
        <v>1538</v>
      </c>
      <c r="B5" s="377">
        <v>9740</v>
      </c>
      <c r="C5" s="378">
        <v>2801</v>
      </c>
      <c r="D5" s="378">
        <v>6262</v>
      </c>
      <c r="E5" s="378">
        <v>7133</v>
      </c>
      <c r="F5" s="378">
        <v>9149</v>
      </c>
      <c r="G5" s="378">
        <v>598</v>
      </c>
      <c r="H5" s="378">
        <v>7630</v>
      </c>
      <c r="I5" s="378">
        <v>4563</v>
      </c>
      <c r="J5" s="378">
        <v>8484</v>
      </c>
      <c r="K5" s="378">
        <v>8485</v>
      </c>
      <c r="L5" s="378">
        <v>3880</v>
      </c>
      <c r="M5" s="378">
        <v>1080</v>
      </c>
      <c r="N5" s="378" t="s">
        <v>1539</v>
      </c>
      <c r="O5" s="378">
        <v>1090</v>
      </c>
      <c r="P5" s="378" t="s">
        <v>1540</v>
      </c>
      <c r="Q5" s="378" t="s">
        <v>1541</v>
      </c>
      <c r="R5" s="378" t="s">
        <v>1542</v>
      </c>
      <c r="S5" s="378" t="s">
        <v>1543</v>
      </c>
      <c r="T5" s="378" t="s">
        <v>1544</v>
      </c>
      <c r="U5" s="378" t="s">
        <v>1545</v>
      </c>
      <c r="V5" s="378" t="s">
        <v>1546</v>
      </c>
      <c r="W5" s="378">
        <v>5770</v>
      </c>
      <c r="X5" s="378"/>
      <c r="Y5" s="378">
        <v>8234</v>
      </c>
      <c r="Z5" s="378">
        <v>8235</v>
      </c>
      <c r="AA5" s="378">
        <v>6270</v>
      </c>
      <c r="AB5" s="378">
        <v>5091</v>
      </c>
      <c r="AC5" s="378">
        <v>5092</v>
      </c>
      <c r="AD5" s="378">
        <v>9477</v>
      </c>
      <c r="AE5" s="378" t="s">
        <v>1547</v>
      </c>
      <c r="AF5" s="378" t="s">
        <v>1548</v>
      </c>
      <c r="AG5" s="378" t="s">
        <v>1549</v>
      </c>
      <c r="AH5" s="378" t="s">
        <v>1550</v>
      </c>
      <c r="AI5" s="378" t="s">
        <v>1551</v>
      </c>
      <c r="AJ5" s="378" t="s">
        <v>1552</v>
      </c>
      <c r="AK5" s="378" t="s">
        <v>1553</v>
      </c>
      <c r="AL5" s="378" t="s">
        <v>1554</v>
      </c>
      <c r="AM5" s="378" t="s">
        <v>1555</v>
      </c>
      <c r="AN5" s="378"/>
      <c r="AO5" s="378" t="s">
        <v>1556</v>
      </c>
      <c r="AP5" s="378" t="s">
        <v>1557</v>
      </c>
      <c r="AQ5" s="378" t="s">
        <v>1558</v>
      </c>
      <c r="AR5" s="378" t="s">
        <v>1559</v>
      </c>
      <c r="AS5" s="378" t="s">
        <v>1560</v>
      </c>
      <c r="AT5" s="378" t="s">
        <v>1561</v>
      </c>
      <c r="AU5" s="378" t="s">
        <v>1562</v>
      </c>
      <c r="AV5" s="378" t="s">
        <v>1563</v>
      </c>
      <c r="AW5" s="378" t="s">
        <v>1419</v>
      </c>
      <c r="AX5" s="378" t="s">
        <v>1422</v>
      </c>
      <c r="AY5" s="378" t="s">
        <v>1564</v>
      </c>
      <c r="AZ5" s="378" t="s">
        <v>1565</v>
      </c>
      <c r="BA5" s="378" t="s">
        <v>1566</v>
      </c>
      <c r="BB5" s="378" t="s">
        <v>1567</v>
      </c>
      <c r="BC5" s="378" t="s">
        <v>1568</v>
      </c>
      <c r="BD5" s="378" t="s">
        <v>1569</v>
      </c>
      <c r="BE5" s="378" t="s">
        <v>1570</v>
      </c>
      <c r="BF5" s="378" t="s">
        <v>1571</v>
      </c>
      <c r="BG5" s="378" t="s">
        <v>1572</v>
      </c>
      <c r="BH5" s="378" t="s">
        <v>1573</v>
      </c>
      <c r="BI5" s="378" t="s">
        <v>1574</v>
      </c>
      <c r="BJ5" s="378" t="s">
        <v>1575</v>
      </c>
      <c r="BK5" s="378" t="s">
        <v>1576</v>
      </c>
      <c r="BL5" s="378" t="s">
        <v>1577</v>
      </c>
      <c r="BM5" s="378" t="s">
        <v>1578</v>
      </c>
      <c r="BN5" s="378" t="s">
        <v>1579</v>
      </c>
      <c r="BO5" s="378" t="s">
        <v>1580</v>
      </c>
      <c r="BP5" s="378" t="s">
        <v>1581</v>
      </c>
      <c r="BQ5" s="378" t="s">
        <v>1582</v>
      </c>
      <c r="BR5" s="378" t="s">
        <v>1583</v>
      </c>
      <c r="BS5" s="378" t="s">
        <v>1584</v>
      </c>
      <c r="BT5" s="378" t="s">
        <v>1585</v>
      </c>
      <c r="BU5" s="378" t="s">
        <v>1586</v>
      </c>
      <c r="BV5" s="378" t="s">
        <v>1587</v>
      </c>
      <c r="BW5" s="378" t="s">
        <v>1588</v>
      </c>
      <c r="BX5" s="378" t="s">
        <v>1589</v>
      </c>
      <c r="BY5" s="378" t="s">
        <v>1590</v>
      </c>
      <c r="BZ5" s="378" t="s">
        <v>1591</v>
      </c>
      <c r="CA5" s="378" t="s">
        <v>1592</v>
      </c>
      <c r="CB5" s="378" t="s">
        <v>1593</v>
      </c>
      <c r="CC5" s="378" t="s">
        <v>1594</v>
      </c>
      <c r="CD5" s="378" t="s">
        <v>1595</v>
      </c>
      <c r="CE5" s="378" t="s">
        <v>1596</v>
      </c>
      <c r="CF5" s="378" t="s">
        <v>1597</v>
      </c>
      <c r="CG5" s="378">
        <v>9968</v>
      </c>
      <c r="CH5" s="378" t="s">
        <v>1598</v>
      </c>
      <c r="CI5" s="378" t="s">
        <v>1599</v>
      </c>
      <c r="CJ5" s="378"/>
      <c r="CK5" s="378">
        <v>977</v>
      </c>
      <c r="CL5" s="378">
        <v>575</v>
      </c>
      <c r="CM5" s="378">
        <v>6328</v>
      </c>
      <c r="CN5" s="378">
        <v>6330</v>
      </c>
      <c r="CO5" s="378" t="s">
        <v>1600</v>
      </c>
      <c r="CP5" s="378" t="s">
        <v>1601</v>
      </c>
      <c r="CQ5" s="378" t="s">
        <v>1602</v>
      </c>
      <c r="CR5" s="378" t="s">
        <v>1603</v>
      </c>
      <c r="CS5" s="378"/>
      <c r="CT5" s="378"/>
      <c r="CU5" s="378"/>
      <c r="CV5" s="378"/>
      <c r="CW5" s="378"/>
      <c r="CX5" s="378"/>
      <c r="CY5" s="378"/>
      <c r="CZ5" s="378"/>
      <c r="DA5" s="378"/>
      <c r="DB5" s="378"/>
      <c r="DC5" s="378"/>
      <c r="DD5" s="378"/>
      <c r="DE5" s="378"/>
      <c r="DF5" s="378"/>
    </row>
    <row r="6" spans="1:110" ht="31.5" customHeight="1">
      <c r="A6" s="379"/>
      <c r="B6" s="377">
        <v>175</v>
      </c>
      <c r="C6" s="378">
        <v>160</v>
      </c>
      <c r="D6" s="378">
        <v>180</v>
      </c>
      <c r="E6" s="378">
        <v>180</v>
      </c>
      <c r="F6" s="378">
        <v>185</v>
      </c>
      <c r="G6" s="378">
        <v>175</v>
      </c>
      <c r="H6" s="378">
        <v>70</v>
      </c>
      <c r="I6" s="378">
        <v>180</v>
      </c>
      <c r="J6" s="378">
        <v>125</v>
      </c>
      <c r="K6" s="378">
        <v>125</v>
      </c>
      <c r="L6" s="378">
        <v>180</v>
      </c>
      <c r="M6" s="378">
        <v>120</v>
      </c>
      <c r="N6" s="378">
        <v>180</v>
      </c>
      <c r="O6" s="378">
        <v>125</v>
      </c>
      <c r="P6" s="378">
        <v>180</v>
      </c>
      <c r="Q6" s="378">
        <v>195</v>
      </c>
      <c r="R6" s="378">
        <v>190</v>
      </c>
      <c r="S6" s="378">
        <v>120</v>
      </c>
      <c r="T6" s="378">
        <v>120</v>
      </c>
      <c r="U6" s="378">
        <v>120</v>
      </c>
      <c r="V6" s="378">
        <v>120</v>
      </c>
      <c r="W6" s="378">
        <v>180</v>
      </c>
      <c r="X6" s="378"/>
      <c r="Y6" s="380">
        <v>125</v>
      </c>
      <c r="Z6" s="378">
        <v>125</v>
      </c>
      <c r="AA6" s="378">
        <v>180</v>
      </c>
      <c r="AB6" s="378">
        <v>85</v>
      </c>
      <c r="AC6" s="378">
        <v>85</v>
      </c>
      <c r="AD6" s="378">
        <v>180</v>
      </c>
      <c r="AE6" s="378">
        <v>170</v>
      </c>
      <c r="AF6" s="378">
        <v>170</v>
      </c>
      <c r="AG6" s="378">
        <v>200</v>
      </c>
      <c r="AH6" s="378">
        <v>145</v>
      </c>
      <c r="AI6" s="378">
        <v>170</v>
      </c>
      <c r="AJ6" s="378">
        <v>170</v>
      </c>
      <c r="AK6" s="378">
        <v>110</v>
      </c>
      <c r="AL6" s="378">
        <v>110</v>
      </c>
      <c r="AM6" s="378">
        <v>110</v>
      </c>
      <c r="AN6" s="378"/>
      <c r="AO6" s="378">
        <v>3920</v>
      </c>
      <c r="AP6" s="378">
        <v>2800</v>
      </c>
      <c r="AQ6" s="380">
        <v>1440</v>
      </c>
      <c r="AR6" s="380">
        <v>1320</v>
      </c>
      <c r="AS6" s="378">
        <v>1260</v>
      </c>
      <c r="AT6" s="378">
        <v>1200</v>
      </c>
      <c r="AU6" s="380">
        <v>840</v>
      </c>
      <c r="AV6" s="380">
        <v>770</v>
      </c>
      <c r="AW6" s="378">
        <f>164*12</f>
        <v>1968</v>
      </c>
      <c r="AX6" s="378">
        <v>1440</v>
      </c>
      <c r="AY6" s="378">
        <v>2520</v>
      </c>
      <c r="AZ6" s="378">
        <v>1800</v>
      </c>
      <c r="BA6" s="378">
        <v>1800</v>
      </c>
      <c r="BB6" s="378">
        <v>2800</v>
      </c>
      <c r="BC6" s="378">
        <v>2000</v>
      </c>
      <c r="BD6" s="378">
        <v>2000</v>
      </c>
      <c r="BE6" s="378">
        <v>2800</v>
      </c>
      <c r="BF6" s="380">
        <v>2000</v>
      </c>
      <c r="BG6" s="380">
        <v>2000</v>
      </c>
      <c r="BH6" s="378">
        <v>2520</v>
      </c>
      <c r="BI6" s="378">
        <v>1800</v>
      </c>
      <c r="BJ6" s="380">
        <v>1800</v>
      </c>
      <c r="BK6" s="378">
        <v>110</v>
      </c>
      <c r="BL6" s="378">
        <v>85</v>
      </c>
      <c r="BM6" s="380">
        <v>85</v>
      </c>
      <c r="BN6" s="378">
        <v>110</v>
      </c>
      <c r="BO6" s="378">
        <v>85</v>
      </c>
      <c r="BP6" s="380">
        <v>85</v>
      </c>
      <c r="BQ6" s="378">
        <v>210</v>
      </c>
      <c r="BR6" s="378">
        <v>200</v>
      </c>
      <c r="BS6" s="380">
        <v>210</v>
      </c>
      <c r="BT6" s="378">
        <v>200</v>
      </c>
      <c r="BU6" s="378">
        <v>240</v>
      </c>
      <c r="BV6" s="378">
        <v>200</v>
      </c>
      <c r="BW6" s="378">
        <v>12000</v>
      </c>
      <c r="BX6" s="380">
        <v>10000</v>
      </c>
      <c r="BY6" s="378">
        <f>120*7</f>
        <v>840</v>
      </c>
      <c r="BZ6" s="378">
        <f>100*7</f>
        <v>700</v>
      </c>
      <c r="CA6" s="381">
        <v>150</v>
      </c>
      <c r="CB6" s="381">
        <v>150</v>
      </c>
      <c r="CC6" s="378">
        <v>200</v>
      </c>
      <c r="CD6" s="378">
        <v>210</v>
      </c>
      <c r="CE6" s="378">
        <v>210</v>
      </c>
      <c r="CF6" s="378">
        <v>200</v>
      </c>
      <c r="CG6" s="378">
        <v>180</v>
      </c>
      <c r="CH6" s="378">
        <v>210</v>
      </c>
      <c r="CI6" s="378">
        <v>200</v>
      </c>
      <c r="CJ6" s="378"/>
      <c r="CK6" s="378">
        <v>90</v>
      </c>
      <c r="CL6" s="378">
        <v>90</v>
      </c>
      <c r="CM6" s="378">
        <v>51</v>
      </c>
      <c r="CN6" s="378">
        <v>51</v>
      </c>
      <c r="CO6" s="378">
        <v>210</v>
      </c>
      <c r="CP6" s="378">
        <v>200</v>
      </c>
      <c r="CQ6" s="378">
        <v>210</v>
      </c>
      <c r="CR6" s="378">
        <v>200</v>
      </c>
      <c r="CS6" s="378"/>
      <c r="CT6" s="378"/>
      <c r="CU6" s="378"/>
      <c r="CV6" s="378"/>
      <c r="CW6" s="378"/>
      <c r="CX6" s="378"/>
      <c r="CY6" s="378"/>
      <c r="CZ6" s="378"/>
      <c r="DA6" s="378"/>
      <c r="DB6" s="378"/>
      <c r="DC6" s="378"/>
      <c r="DD6" s="378"/>
      <c r="DE6" s="378"/>
      <c r="DF6" s="378"/>
    </row>
    <row r="7" spans="1:110" ht="31.5" customHeight="1">
      <c r="A7" s="379"/>
      <c r="B7" s="382" t="s">
        <v>1604</v>
      </c>
      <c r="C7" s="383" t="s">
        <v>1605</v>
      </c>
      <c r="D7" s="383" t="s">
        <v>1606</v>
      </c>
      <c r="E7" s="383" t="s">
        <v>1607</v>
      </c>
      <c r="F7" s="383" t="s">
        <v>1608</v>
      </c>
      <c r="G7" s="384" t="s">
        <v>1609</v>
      </c>
      <c r="H7" s="383">
        <v>9276</v>
      </c>
      <c r="I7" s="384">
        <v>5.9999999999999998E-30</v>
      </c>
      <c r="J7" s="383" t="s">
        <v>1610</v>
      </c>
      <c r="K7" s="383" t="s">
        <v>1209</v>
      </c>
      <c r="L7" s="383" t="s">
        <v>1611</v>
      </c>
      <c r="M7" s="383" t="s">
        <v>1612</v>
      </c>
      <c r="N7" s="383" t="s">
        <v>1613</v>
      </c>
      <c r="O7" s="383" t="s">
        <v>1614</v>
      </c>
      <c r="P7" s="383" t="s">
        <v>1615</v>
      </c>
      <c r="Q7" s="383" t="s">
        <v>1616</v>
      </c>
      <c r="R7" s="383" t="s">
        <v>1023</v>
      </c>
      <c r="S7" s="383" t="s">
        <v>1617</v>
      </c>
      <c r="T7" s="383" t="s">
        <v>1618</v>
      </c>
      <c r="U7" s="383" t="s">
        <v>1619</v>
      </c>
      <c r="V7" s="383" t="s">
        <v>1620</v>
      </c>
      <c r="W7" s="383"/>
      <c r="X7" s="383" t="s">
        <v>1621</v>
      </c>
      <c r="Y7" s="383" t="s">
        <v>1622</v>
      </c>
      <c r="Z7" s="383" t="s">
        <v>1623</v>
      </c>
      <c r="AA7" s="383" t="s">
        <v>1624</v>
      </c>
      <c r="AB7" s="383" t="s">
        <v>1625</v>
      </c>
      <c r="AC7" s="383" t="s">
        <v>1626</v>
      </c>
      <c r="AD7" s="383" t="s">
        <v>1627</v>
      </c>
      <c r="AE7" s="383" t="s">
        <v>1628</v>
      </c>
      <c r="AF7" s="383" t="s">
        <v>1629</v>
      </c>
      <c r="AG7" s="383" t="s">
        <v>1630</v>
      </c>
      <c r="AH7" s="383" t="s">
        <v>1631</v>
      </c>
      <c r="AI7" s="383" t="s">
        <v>914</v>
      </c>
      <c r="AJ7" s="383" t="s">
        <v>1632</v>
      </c>
      <c r="AK7" s="383" t="s">
        <v>1633</v>
      </c>
      <c r="AL7" s="383" t="s">
        <v>1634</v>
      </c>
      <c r="AM7" s="383" t="s">
        <v>908</v>
      </c>
      <c r="AN7" s="383" t="s">
        <v>1635</v>
      </c>
      <c r="AO7" s="383" t="s">
        <v>1636</v>
      </c>
      <c r="AP7" s="383" t="s">
        <v>904</v>
      </c>
      <c r="AQ7" s="383" t="s">
        <v>1637</v>
      </c>
      <c r="AR7" s="383" t="s">
        <v>1638</v>
      </c>
      <c r="AS7" s="383" t="s">
        <v>1639</v>
      </c>
      <c r="AT7" s="383" t="s">
        <v>1640</v>
      </c>
      <c r="AU7" s="383" t="s">
        <v>1641</v>
      </c>
      <c r="AV7" s="383" t="s">
        <v>1642</v>
      </c>
      <c r="AW7" s="383" t="s">
        <v>1643</v>
      </c>
      <c r="AX7" s="383" t="s">
        <v>1644</v>
      </c>
      <c r="AY7" s="383">
        <v>4408</v>
      </c>
      <c r="AZ7" s="383" t="s">
        <v>1645</v>
      </c>
      <c r="BA7" s="383" t="s">
        <v>1646</v>
      </c>
      <c r="BB7" s="383" t="s">
        <v>1647</v>
      </c>
      <c r="BC7" s="383" t="s">
        <v>1648</v>
      </c>
      <c r="BD7" s="383" t="s">
        <v>1649</v>
      </c>
      <c r="BE7" s="383" t="s">
        <v>1650</v>
      </c>
      <c r="BF7" s="383" t="s">
        <v>1651</v>
      </c>
      <c r="BG7" s="383" t="s">
        <v>1652</v>
      </c>
      <c r="BH7" s="383" t="s">
        <v>1653</v>
      </c>
      <c r="BI7" s="383" t="s">
        <v>1654</v>
      </c>
      <c r="BJ7" s="383" t="s">
        <v>1655</v>
      </c>
      <c r="BK7" s="383" t="s">
        <v>1656</v>
      </c>
      <c r="BL7" s="383" t="s">
        <v>1657</v>
      </c>
      <c r="BM7" s="383" t="s">
        <v>1658</v>
      </c>
      <c r="BN7" s="383" t="s">
        <v>907</v>
      </c>
      <c r="BO7" s="383" t="s">
        <v>1659</v>
      </c>
      <c r="BP7" s="383" t="s">
        <v>1660</v>
      </c>
      <c r="BQ7" s="383" t="s">
        <v>1661</v>
      </c>
      <c r="BR7" s="383">
        <v>5243</v>
      </c>
      <c r="BS7" s="383" t="s">
        <v>1147</v>
      </c>
      <c r="BT7" s="383" t="s">
        <v>1662</v>
      </c>
      <c r="BU7" s="383" t="s">
        <v>1663</v>
      </c>
      <c r="BV7" s="383" t="s">
        <v>1664</v>
      </c>
      <c r="BW7" s="383" t="s">
        <v>1665</v>
      </c>
      <c r="BX7" s="383">
        <v>9295</v>
      </c>
      <c r="BY7" s="383" t="s">
        <v>1666</v>
      </c>
      <c r="BZ7" s="383" t="s">
        <v>1667</v>
      </c>
      <c r="CA7" s="383">
        <v>2421</v>
      </c>
      <c r="CB7" s="383">
        <v>2431</v>
      </c>
      <c r="CC7" s="383">
        <v>3311</v>
      </c>
      <c r="CD7" s="383" t="s">
        <v>1668</v>
      </c>
      <c r="CE7" s="385" t="s">
        <v>1669</v>
      </c>
      <c r="CF7" s="383" t="s">
        <v>1670</v>
      </c>
      <c r="CG7" s="385" t="s">
        <v>1671</v>
      </c>
      <c r="CH7" s="385" t="s">
        <v>1672</v>
      </c>
      <c r="CI7" s="385" t="s">
        <v>1673</v>
      </c>
      <c r="CJ7" s="385" t="s">
        <v>1674</v>
      </c>
      <c r="CK7" s="385" t="s">
        <v>1675</v>
      </c>
      <c r="CL7" s="385" t="s">
        <v>1676</v>
      </c>
      <c r="CM7" s="383" t="s">
        <v>1677</v>
      </c>
      <c r="CN7" s="385" t="s">
        <v>1678</v>
      </c>
      <c r="CO7" s="385" t="s">
        <v>1679</v>
      </c>
      <c r="CP7" s="385" t="s">
        <v>1680</v>
      </c>
      <c r="CQ7" s="385" t="s">
        <v>1681</v>
      </c>
      <c r="CR7" s="385" t="s">
        <v>1682</v>
      </c>
      <c r="CS7" s="385" t="s">
        <v>1683</v>
      </c>
      <c r="CT7" s="385" t="s">
        <v>1684</v>
      </c>
      <c r="CU7" s="385" t="s">
        <v>1685</v>
      </c>
      <c r="CV7" s="383" t="s">
        <v>1686</v>
      </c>
      <c r="CW7" s="385"/>
      <c r="CX7" s="385"/>
      <c r="CY7" s="385"/>
      <c r="CZ7" s="385"/>
      <c r="DA7" s="385"/>
      <c r="DB7" s="385"/>
      <c r="DC7" s="385"/>
      <c r="DD7" s="385"/>
      <c r="DE7" s="385"/>
      <c r="DF7" s="385"/>
    </row>
    <row r="8" spans="1:110" ht="31.5" customHeight="1" thickBot="1">
      <c r="A8" s="386"/>
      <c r="B8" s="382">
        <v>250</v>
      </c>
      <c r="C8" s="383">
        <v>210</v>
      </c>
      <c r="D8" s="383">
        <v>220</v>
      </c>
      <c r="E8" s="383">
        <v>500</v>
      </c>
      <c r="F8" s="383">
        <v>350</v>
      </c>
      <c r="G8" s="383">
        <v>210</v>
      </c>
      <c r="H8" s="383">
        <v>260</v>
      </c>
      <c r="I8" s="383">
        <v>211</v>
      </c>
      <c r="J8" s="383">
        <v>210</v>
      </c>
      <c r="K8" s="383">
        <v>270</v>
      </c>
      <c r="L8" s="383">
        <v>266</v>
      </c>
      <c r="M8" s="383">
        <v>210</v>
      </c>
      <c r="N8" s="383">
        <v>266</v>
      </c>
      <c r="O8" s="383">
        <v>210</v>
      </c>
      <c r="P8" s="383">
        <v>350</v>
      </c>
      <c r="Q8" s="383">
        <v>210</v>
      </c>
      <c r="R8" s="383">
        <v>360</v>
      </c>
      <c r="S8" s="383">
        <v>300</v>
      </c>
      <c r="T8" s="383">
        <v>310</v>
      </c>
      <c r="U8" s="383">
        <v>250</v>
      </c>
      <c r="V8" s="383">
        <v>210</v>
      </c>
      <c r="W8" s="383"/>
      <c r="X8" s="383">
        <v>330</v>
      </c>
      <c r="Y8" s="383">
        <v>400</v>
      </c>
      <c r="Z8" s="383">
        <v>370</v>
      </c>
      <c r="AA8" s="383">
        <v>400</v>
      </c>
      <c r="AB8" s="383">
        <v>330</v>
      </c>
      <c r="AC8" s="383">
        <v>230</v>
      </c>
      <c r="AD8" s="383">
        <v>200</v>
      </c>
      <c r="AE8" s="383">
        <v>250</v>
      </c>
      <c r="AF8" s="383">
        <v>330</v>
      </c>
      <c r="AG8" s="383">
        <v>270</v>
      </c>
      <c r="AH8" s="383">
        <v>210</v>
      </c>
      <c r="AI8" s="383">
        <v>380</v>
      </c>
      <c r="AJ8" s="383">
        <v>230</v>
      </c>
      <c r="AK8" s="383">
        <v>200</v>
      </c>
      <c r="AL8" s="383">
        <v>330</v>
      </c>
      <c r="AM8" s="383">
        <f>171/0.9</f>
        <v>190</v>
      </c>
      <c r="AN8" s="383">
        <v>350</v>
      </c>
      <c r="AO8" s="383">
        <v>470</v>
      </c>
      <c r="AP8" s="383">
        <v>270</v>
      </c>
      <c r="AQ8" s="383">
        <v>210</v>
      </c>
      <c r="AR8" s="383">
        <v>250</v>
      </c>
      <c r="AS8" s="383">
        <v>210</v>
      </c>
      <c r="AT8" s="383">
        <v>120</v>
      </c>
      <c r="AU8" s="383">
        <v>120</v>
      </c>
      <c r="AV8" s="383">
        <v>120</v>
      </c>
      <c r="AW8" s="383">
        <v>120</v>
      </c>
      <c r="AX8" s="383">
        <v>120</v>
      </c>
      <c r="AY8" s="383">
        <v>120</v>
      </c>
      <c r="AZ8" s="383">
        <v>120</v>
      </c>
      <c r="BA8" s="383">
        <v>120</v>
      </c>
      <c r="BB8" s="383">
        <v>120</v>
      </c>
      <c r="BC8" s="383">
        <v>120</v>
      </c>
      <c r="BD8" s="383">
        <v>120</v>
      </c>
      <c r="BE8" s="383">
        <v>110</v>
      </c>
      <c r="BF8" s="383">
        <v>120</v>
      </c>
      <c r="BG8" s="383">
        <v>200</v>
      </c>
      <c r="BH8" s="383">
        <v>100</v>
      </c>
      <c r="BI8" s="383">
        <v>180</v>
      </c>
      <c r="BJ8" s="383">
        <v>180</v>
      </c>
      <c r="BK8" s="383">
        <v>420</v>
      </c>
      <c r="BL8" s="383">
        <v>120</v>
      </c>
      <c r="BM8" s="383">
        <v>120</v>
      </c>
      <c r="BN8" s="383">
        <v>130</v>
      </c>
      <c r="BO8" s="383">
        <v>100</v>
      </c>
      <c r="BP8" s="383">
        <v>100</v>
      </c>
      <c r="BQ8" s="383">
        <v>200</v>
      </c>
      <c r="BR8" s="383">
        <v>130</v>
      </c>
      <c r="BS8" s="383">
        <v>1200</v>
      </c>
      <c r="BT8" s="383">
        <v>2000</v>
      </c>
      <c r="BU8" s="383">
        <v>2000</v>
      </c>
      <c r="BV8" s="383">
        <v>120</v>
      </c>
      <c r="BW8" s="383">
        <v>120</v>
      </c>
      <c r="BX8" s="383">
        <v>130</v>
      </c>
      <c r="BY8" s="387">
        <v>120</v>
      </c>
      <c r="BZ8" s="387">
        <v>120</v>
      </c>
      <c r="CA8" s="383">
        <v>120</v>
      </c>
      <c r="CB8" s="387">
        <v>120</v>
      </c>
      <c r="CC8" s="383">
        <v>120</v>
      </c>
      <c r="CD8" s="383">
        <v>110</v>
      </c>
      <c r="CE8" s="383">
        <v>120</v>
      </c>
      <c r="CF8" s="383">
        <v>350</v>
      </c>
      <c r="CG8" s="383">
        <v>230</v>
      </c>
      <c r="CH8" s="383">
        <v>230</v>
      </c>
      <c r="CI8" s="383">
        <v>120</v>
      </c>
      <c r="CJ8" s="383">
        <v>120</v>
      </c>
      <c r="CK8" s="383">
        <v>120</v>
      </c>
      <c r="CL8" s="383">
        <v>120</v>
      </c>
      <c r="CM8" s="383">
        <v>800</v>
      </c>
      <c r="CN8" s="383">
        <v>320</v>
      </c>
      <c r="CO8" s="383">
        <v>320</v>
      </c>
      <c r="CP8" s="383">
        <v>210</v>
      </c>
      <c r="CQ8" s="383">
        <v>240</v>
      </c>
      <c r="CR8" s="383">
        <v>240</v>
      </c>
      <c r="CS8" s="383">
        <v>210</v>
      </c>
      <c r="CT8" s="383">
        <v>100</v>
      </c>
      <c r="CU8" s="383">
        <v>100</v>
      </c>
      <c r="CV8" s="383">
        <v>800</v>
      </c>
      <c r="CW8" s="383"/>
      <c r="CX8" s="383"/>
      <c r="CY8" s="383"/>
      <c r="CZ8" s="383"/>
      <c r="DA8" s="383"/>
      <c r="DB8" s="383"/>
      <c r="DC8" s="383"/>
      <c r="DD8" s="383"/>
      <c r="DE8" s="383"/>
      <c r="DF8" s="383"/>
    </row>
    <row r="9" spans="1:110" ht="31.5" customHeight="1">
      <c r="A9" s="376" t="s">
        <v>1687</v>
      </c>
      <c r="B9" s="377">
        <v>9740</v>
      </c>
      <c r="C9" s="378" t="s">
        <v>1688</v>
      </c>
      <c r="D9" s="378">
        <v>2801</v>
      </c>
      <c r="E9" s="378" t="s">
        <v>1689</v>
      </c>
      <c r="F9" s="378">
        <v>6262</v>
      </c>
      <c r="G9" s="378" t="s">
        <v>1690</v>
      </c>
      <c r="H9" s="378">
        <v>7133</v>
      </c>
      <c r="I9" s="378" t="s">
        <v>1691</v>
      </c>
      <c r="J9" s="378">
        <v>575</v>
      </c>
      <c r="K9" s="378" t="s">
        <v>1692</v>
      </c>
      <c r="L9" s="378">
        <v>9149</v>
      </c>
      <c r="M9" s="378">
        <v>598</v>
      </c>
      <c r="N9" s="378" t="s">
        <v>1693</v>
      </c>
      <c r="O9" s="378">
        <v>7630</v>
      </c>
      <c r="P9" s="378">
        <v>4563</v>
      </c>
      <c r="Q9" s="378" t="s">
        <v>1694</v>
      </c>
      <c r="R9" s="378">
        <v>8484</v>
      </c>
      <c r="S9" s="378">
        <v>8485</v>
      </c>
      <c r="T9" s="378">
        <v>1657</v>
      </c>
      <c r="U9" s="378" t="s">
        <v>1577</v>
      </c>
      <c r="V9" s="378" t="s">
        <v>1578</v>
      </c>
      <c r="W9" s="378">
        <v>1660</v>
      </c>
      <c r="X9" s="378" t="s">
        <v>1580</v>
      </c>
      <c r="Y9" s="378" t="s">
        <v>1581</v>
      </c>
      <c r="Z9" s="378" t="s">
        <v>1695</v>
      </c>
      <c r="AA9" s="378" t="s">
        <v>1696</v>
      </c>
      <c r="AB9" s="378">
        <v>3880</v>
      </c>
      <c r="AC9" s="378" t="s">
        <v>1697</v>
      </c>
      <c r="AD9" s="378">
        <v>1080</v>
      </c>
      <c r="AE9" s="378">
        <v>1090</v>
      </c>
      <c r="AF9" s="378">
        <v>5770</v>
      </c>
      <c r="AG9" s="378" t="s">
        <v>1698</v>
      </c>
      <c r="AH9" s="378">
        <v>9565</v>
      </c>
      <c r="AI9" s="378" t="s">
        <v>1547</v>
      </c>
      <c r="AJ9" s="378" t="s">
        <v>1548</v>
      </c>
      <c r="AK9" s="378">
        <v>8234</v>
      </c>
      <c r="AL9" s="378">
        <v>8235</v>
      </c>
      <c r="AM9" s="378">
        <v>6773</v>
      </c>
      <c r="AN9" s="378" t="s">
        <v>1551</v>
      </c>
      <c r="AO9" s="378" t="s">
        <v>1552</v>
      </c>
      <c r="AP9" s="378">
        <v>6270</v>
      </c>
      <c r="AQ9" s="378" t="s">
        <v>1699</v>
      </c>
      <c r="AR9" s="378">
        <v>9968</v>
      </c>
      <c r="AS9" s="378">
        <v>8052</v>
      </c>
      <c r="AT9" s="378" t="s">
        <v>1553</v>
      </c>
      <c r="AU9" s="378" t="s">
        <v>1554</v>
      </c>
      <c r="AV9" s="378" t="s">
        <v>1555</v>
      </c>
      <c r="AW9" s="378" t="s">
        <v>1700</v>
      </c>
      <c r="AX9" s="378">
        <v>5091</v>
      </c>
      <c r="AY9" s="378">
        <v>5092</v>
      </c>
      <c r="AZ9" s="378">
        <v>9477</v>
      </c>
      <c r="BA9" s="378" t="s">
        <v>1701</v>
      </c>
      <c r="BB9" s="378">
        <v>6485</v>
      </c>
      <c r="BC9" s="378">
        <v>6486</v>
      </c>
      <c r="BD9" s="378">
        <v>6487</v>
      </c>
      <c r="BE9" s="378">
        <v>6488</v>
      </c>
      <c r="BF9" s="378">
        <v>6489</v>
      </c>
      <c r="BG9" s="378">
        <v>6490</v>
      </c>
      <c r="BH9" s="378">
        <v>6491</v>
      </c>
      <c r="BI9" s="378">
        <v>6492</v>
      </c>
      <c r="BJ9" s="378">
        <v>6493</v>
      </c>
      <c r="BK9" s="378">
        <v>6494</v>
      </c>
      <c r="BL9" s="378">
        <v>6495</v>
      </c>
      <c r="BM9" s="378" t="s">
        <v>1702</v>
      </c>
      <c r="BN9" s="378" t="s">
        <v>1703</v>
      </c>
      <c r="BO9" s="378" t="s">
        <v>1704</v>
      </c>
      <c r="BP9" s="378" t="s">
        <v>1705</v>
      </c>
      <c r="BQ9" s="378" t="s">
        <v>1706</v>
      </c>
      <c r="BR9" s="378" t="s">
        <v>1707</v>
      </c>
      <c r="BS9" s="378" t="s">
        <v>1708</v>
      </c>
      <c r="BT9" s="378" t="s">
        <v>1709</v>
      </c>
      <c r="BU9" s="378" t="s">
        <v>1710</v>
      </c>
      <c r="BV9" s="378" t="s">
        <v>1711</v>
      </c>
      <c r="BW9" s="378" t="s">
        <v>1712</v>
      </c>
      <c r="BX9" s="378" t="s">
        <v>1713</v>
      </c>
      <c r="BY9" s="378" t="s">
        <v>1714</v>
      </c>
      <c r="BZ9" s="378">
        <v>977</v>
      </c>
      <c r="CA9" s="378" t="s">
        <v>1715</v>
      </c>
      <c r="CB9" s="378" t="s">
        <v>1716</v>
      </c>
      <c r="CC9" s="378" t="s">
        <v>1717</v>
      </c>
      <c r="CD9" s="378" t="s">
        <v>1718</v>
      </c>
      <c r="CE9" s="378" t="s">
        <v>1719</v>
      </c>
      <c r="CF9" s="388" t="s">
        <v>1720</v>
      </c>
      <c r="CG9" s="378" t="s">
        <v>1721</v>
      </c>
      <c r="CH9" s="378" t="s">
        <v>1722</v>
      </c>
      <c r="CI9" s="378" t="s">
        <v>1723</v>
      </c>
      <c r="CJ9" s="378" t="s">
        <v>1724</v>
      </c>
      <c r="CK9" s="378" t="s">
        <v>1725</v>
      </c>
      <c r="CL9" s="378" t="s">
        <v>1726</v>
      </c>
      <c r="CM9" s="378" t="s">
        <v>1093</v>
      </c>
      <c r="CN9" s="378" t="s">
        <v>1094</v>
      </c>
      <c r="CO9" s="378" t="s">
        <v>1095</v>
      </c>
      <c r="CP9" s="378" t="s">
        <v>1096</v>
      </c>
      <c r="CQ9" s="378" t="s">
        <v>1097</v>
      </c>
      <c r="CR9" s="378" t="s">
        <v>1099</v>
      </c>
      <c r="CS9" s="378" t="s">
        <v>1100</v>
      </c>
      <c r="CT9" s="378" t="s">
        <v>1101</v>
      </c>
      <c r="CU9" s="378" t="s">
        <v>1102</v>
      </c>
      <c r="CV9" s="378" t="s">
        <v>1727</v>
      </c>
      <c r="CW9" s="389" t="s">
        <v>1728</v>
      </c>
      <c r="CX9" s="389" t="s">
        <v>1729</v>
      </c>
      <c r="CY9" s="389" t="s">
        <v>1730</v>
      </c>
      <c r="CZ9" s="378" t="s">
        <v>1731</v>
      </c>
      <c r="DA9" s="390" t="s">
        <v>1732</v>
      </c>
      <c r="DB9" s="390" t="s">
        <v>1733</v>
      </c>
      <c r="DC9" s="390" t="s">
        <v>1734</v>
      </c>
      <c r="DD9" s="389" t="s">
        <v>1735</v>
      </c>
      <c r="DE9" s="389" t="s">
        <v>1736</v>
      </c>
      <c r="DF9" s="378" t="s">
        <v>1737</v>
      </c>
    </row>
    <row r="10" spans="1:110" ht="31.5" customHeight="1">
      <c r="A10" s="379"/>
      <c r="B10" s="377">
        <v>380</v>
      </c>
      <c r="C10" s="378">
        <v>260</v>
      </c>
      <c r="D10" s="378">
        <v>380</v>
      </c>
      <c r="E10" s="378">
        <v>250</v>
      </c>
      <c r="F10" s="378">
        <v>380</v>
      </c>
      <c r="G10" s="378">
        <v>250</v>
      </c>
      <c r="H10" s="378">
        <v>380</v>
      </c>
      <c r="I10" s="378">
        <v>250</v>
      </c>
      <c r="J10" s="378">
        <v>550</v>
      </c>
      <c r="K10" s="378">
        <v>280</v>
      </c>
      <c r="L10" s="378">
        <v>250</v>
      </c>
      <c r="M10" s="378">
        <v>380</v>
      </c>
      <c r="N10" s="378">
        <v>250</v>
      </c>
      <c r="O10" s="378">
        <v>150</v>
      </c>
      <c r="P10" s="378">
        <v>380</v>
      </c>
      <c r="Q10" s="378">
        <v>250</v>
      </c>
      <c r="R10" s="378">
        <v>850</v>
      </c>
      <c r="S10" s="378">
        <v>900</v>
      </c>
      <c r="T10" s="378">
        <v>80</v>
      </c>
      <c r="U10" s="378">
        <v>85</v>
      </c>
      <c r="V10" s="378">
        <v>85</v>
      </c>
      <c r="W10" s="378">
        <v>85</v>
      </c>
      <c r="X10" s="378">
        <v>85</v>
      </c>
      <c r="Y10" s="378">
        <v>85</v>
      </c>
      <c r="Z10" s="378">
        <v>23</v>
      </c>
      <c r="AA10" s="378">
        <v>23</v>
      </c>
      <c r="AB10" s="378">
        <v>380</v>
      </c>
      <c r="AC10" s="378">
        <v>250</v>
      </c>
      <c r="AD10" s="378">
        <v>800</v>
      </c>
      <c r="AE10" s="378">
        <v>850</v>
      </c>
      <c r="AF10" s="378">
        <v>380</v>
      </c>
      <c r="AG10" s="378">
        <v>260</v>
      </c>
      <c r="AH10" s="378">
        <v>160</v>
      </c>
      <c r="AI10" s="378">
        <v>300</v>
      </c>
      <c r="AJ10" s="378">
        <v>300</v>
      </c>
      <c r="AK10" s="378">
        <v>850</v>
      </c>
      <c r="AL10" s="378">
        <v>900</v>
      </c>
      <c r="AM10" s="378">
        <v>120</v>
      </c>
      <c r="AN10" s="378">
        <v>240</v>
      </c>
      <c r="AO10" s="378">
        <v>240</v>
      </c>
      <c r="AP10" s="378">
        <v>380</v>
      </c>
      <c r="AQ10" s="378">
        <v>250</v>
      </c>
      <c r="AR10" s="378">
        <v>380</v>
      </c>
      <c r="AS10" s="378">
        <v>80</v>
      </c>
      <c r="AT10" s="378">
        <v>120</v>
      </c>
      <c r="AU10" s="378">
        <v>120</v>
      </c>
      <c r="AV10" s="378">
        <v>120</v>
      </c>
      <c r="AW10" s="378">
        <v>60</v>
      </c>
      <c r="AX10" s="378">
        <v>280</v>
      </c>
      <c r="AY10" s="378">
        <v>90</v>
      </c>
      <c r="AZ10" s="378">
        <v>380</v>
      </c>
      <c r="BA10" s="378">
        <v>250</v>
      </c>
      <c r="BB10" s="378">
        <v>250</v>
      </c>
      <c r="BC10" s="378">
        <v>600</v>
      </c>
      <c r="BD10" s="378">
        <v>250</v>
      </c>
      <c r="BE10" s="378">
        <v>250</v>
      </c>
      <c r="BF10" s="378">
        <v>250</v>
      </c>
      <c r="BG10" s="378">
        <v>250</v>
      </c>
      <c r="BH10" s="378">
        <v>600</v>
      </c>
      <c r="BI10" s="378">
        <v>600</v>
      </c>
      <c r="BJ10" s="378">
        <v>600</v>
      </c>
      <c r="BK10" s="378">
        <v>600</v>
      </c>
      <c r="BL10" s="378">
        <v>600</v>
      </c>
      <c r="BM10" s="378">
        <v>800</v>
      </c>
      <c r="BN10" s="378">
        <v>800</v>
      </c>
      <c r="BO10" s="378">
        <v>800</v>
      </c>
      <c r="BP10" s="378">
        <v>500</v>
      </c>
      <c r="BQ10" s="378">
        <v>500</v>
      </c>
      <c r="BR10" s="378">
        <v>1000</v>
      </c>
      <c r="BS10" s="378">
        <v>250</v>
      </c>
      <c r="BT10" s="378">
        <v>300</v>
      </c>
      <c r="BU10" s="378">
        <v>80</v>
      </c>
      <c r="BV10" s="378">
        <v>185</v>
      </c>
      <c r="BW10" s="378">
        <v>185</v>
      </c>
      <c r="BX10" s="378">
        <v>185</v>
      </c>
      <c r="BY10" s="378">
        <v>280</v>
      </c>
      <c r="BZ10" s="378">
        <v>550</v>
      </c>
      <c r="CA10" s="378">
        <v>260</v>
      </c>
      <c r="CB10" s="378">
        <v>260</v>
      </c>
      <c r="CC10" s="378">
        <v>220</v>
      </c>
      <c r="CD10" s="378">
        <v>265</v>
      </c>
      <c r="CE10" s="378">
        <v>235</v>
      </c>
      <c r="CF10" s="388"/>
      <c r="CG10" s="391">
        <v>260</v>
      </c>
      <c r="CH10" s="391">
        <v>260</v>
      </c>
      <c r="CI10" s="391">
        <v>220</v>
      </c>
      <c r="CJ10" s="391">
        <v>260</v>
      </c>
      <c r="CK10" s="391">
        <v>260</v>
      </c>
      <c r="CL10" s="391">
        <v>600</v>
      </c>
      <c r="CM10" s="391">
        <v>13500</v>
      </c>
      <c r="CN10" s="391">
        <v>2700</v>
      </c>
      <c r="CO10" s="378">
        <v>2700</v>
      </c>
      <c r="CP10" s="378">
        <v>2700</v>
      </c>
      <c r="CQ10" s="378">
        <v>2700</v>
      </c>
      <c r="CR10" s="378">
        <v>9000</v>
      </c>
      <c r="CS10" s="378">
        <v>11000</v>
      </c>
      <c r="CT10" s="378">
        <v>9600</v>
      </c>
      <c r="CU10" s="378">
        <v>9600</v>
      </c>
      <c r="CV10" s="378">
        <v>600</v>
      </c>
      <c r="CW10" s="378">
        <v>720</v>
      </c>
      <c r="CX10" s="378">
        <v>500</v>
      </c>
      <c r="CY10" s="378">
        <v>720</v>
      </c>
      <c r="CZ10" s="378">
        <v>1500</v>
      </c>
      <c r="DA10" s="390">
        <v>1800</v>
      </c>
      <c r="DB10" s="390">
        <v>1200</v>
      </c>
      <c r="DC10" s="390">
        <v>1500</v>
      </c>
      <c r="DD10" s="378">
        <v>1800</v>
      </c>
      <c r="DE10" s="378">
        <v>1800</v>
      </c>
      <c r="DF10" s="378">
        <v>720</v>
      </c>
    </row>
    <row r="11" spans="1:110" ht="31.5" customHeight="1">
      <c r="A11" s="379"/>
      <c r="B11" s="382" t="s">
        <v>1738</v>
      </c>
      <c r="C11" s="383" t="s">
        <v>1739</v>
      </c>
      <c r="D11" s="383">
        <v>9140</v>
      </c>
      <c r="E11" s="383" t="s">
        <v>1740</v>
      </c>
      <c r="F11" s="383">
        <v>127</v>
      </c>
      <c r="G11" s="383">
        <v>5243</v>
      </c>
      <c r="H11" s="383">
        <v>125</v>
      </c>
      <c r="I11" s="383" t="s">
        <v>1032</v>
      </c>
      <c r="J11" s="383">
        <v>8014</v>
      </c>
      <c r="K11" s="383">
        <v>2173</v>
      </c>
      <c r="L11" s="383">
        <v>4258</v>
      </c>
      <c r="M11" s="383" t="s">
        <v>1024</v>
      </c>
      <c r="N11" s="383">
        <v>1404</v>
      </c>
      <c r="O11" s="383">
        <v>9276</v>
      </c>
      <c r="P11" s="383" t="s">
        <v>910</v>
      </c>
      <c r="Q11" s="383" t="s">
        <v>1014</v>
      </c>
      <c r="R11" s="383" t="s">
        <v>1041</v>
      </c>
      <c r="S11" s="383" t="s">
        <v>1741</v>
      </c>
      <c r="T11" s="383" t="s">
        <v>1742</v>
      </c>
      <c r="U11" s="383" t="s">
        <v>1156</v>
      </c>
      <c r="V11" s="383">
        <v>2168</v>
      </c>
      <c r="W11" s="383" t="s">
        <v>1013</v>
      </c>
      <c r="X11" s="383" t="s">
        <v>1209</v>
      </c>
      <c r="Y11" s="383">
        <v>123</v>
      </c>
      <c r="Z11" s="383" t="s">
        <v>1743</v>
      </c>
      <c r="AA11" s="383" t="s">
        <v>1744</v>
      </c>
      <c r="AB11" s="383" t="s">
        <v>1745</v>
      </c>
      <c r="AC11" s="383">
        <v>6001</v>
      </c>
      <c r="AD11" s="383">
        <v>6900</v>
      </c>
      <c r="AE11" s="383">
        <v>9906</v>
      </c>
      <c r="AF11" s="383">
        <v>8011</v>
      </c>
      <c r="AG11" s="383">
        <v>4001</v>
      </c>
      <c r="AH11" s="383">
        <v>2402</v>
      </c>
      <c r="AI11" s="383">
        <v>5004</v>
      </c>
      <c r="AJ11" s="383" t="s">
        <v>1026</v>
      </c>
      <c r="AK11" s="383" t="s">
        <v>1027</v>
      </c>
      <c r="AL11" s="383" t="s">
        <v>1023</v>
      </c>
      <c r="AM11" s="383" t="s">
        <v>1025</v>
      </c>
      <c r="AN11" s="383" t="s">
        <v>1015</v>
      </c>
      <c r="AO11" s="383" t="s">
        <v>1746</v>
      </c>
      <c r="AP11" s="383">
        <v>4408</v>
      </c>
      <c r="AQ11" s="383">
        <v>603</v>
      </c>
      <c r="AR11" s="383">
        <v>9255</v>
      </c>
      <c r="AS11" s="383" t="s">
        <v>1747</v>
      </c>
      <c r="AT11" s="383" t="s">
        <v>1748</v>
      </c>
      <c r="AU11" s="383" t="s">
        <v>1749</v>
      </c>
      <c r="AV11" s="383" t="s">
        <v>1147</v>
      </c>
      <c r="AW11" s="385" t="s">
        <v>1662</v>
      </c>
      <c r="AX11" s="383" t="s">
        <v>1750</v>
      </c>
      <c r="AY11" s="383">
        <v>9116</v>
      </c>
      <c r="AZ11" s="383">
        <v>6004</v>
      </c>
      <c r="BA11" s="383" t="s">
        <v>1139</v>
      </c>
      <c r="BB11" s="383" t="s">
        <v>1751</v>
      </c>
      <c r="BC11" s="383" t="s">
        <v>1752</v>
      </c>
      <c r="BD11" s="383" t="s">
        <v>1427</v>
      </c>
      <c r="BE11" s="383" t="s">
        <v>1753</v>
      </c>
      <c r="BF11" s="383" t="s">
        <v>1754</v>
      </c>
      <c r="BG11" s="383" t="s">
        <v>1755</v>
      </c>
      <c r="BH11" s="383" t="s">
        <v>1756</v>
      </c>
      <c r="BI11" s="383" t="s">
        <v>1757</v>
      </c>
      <c r="BJ11" s="383">
        <v>9295</v>
      </c>
      <c r="BK11" s="383">
        <v>9902</v>
      </c>
      <c r="BL11" s="383">
        <v>7236</v>
      </c>
      <c r="BM11" s="383">
        <v>9024</v>
      </c>
      <c r="BN11" s="383" t="s">
        <v>1758</v>
      </c>
      <c r="BO11" s="383" t="s">
        <v>1759</v>
      </c>
      <c r="BP11" s="383" t="s">
        <v>1760</v>
      </c>
      <c r="BQ11" s="392" t="s">
        <v>1761</v>
      </c>
      <c r="BR11" s="383" t="s">
        <v>1067</v>
      </c>
      <c r="BS11" s="383" t="s">
        <v>1065</v>
      </c>
      <c r="BT11" s="383" t="s">
        <v>1064</v>
      </c>
      <c r="BU11" s="383" t="s">
        <v>1762</v>
      </c>
      <c r="BV11" s="383" t="s">
        <v>1763</v>
      </c>
      <c r="BW11" s="383" t="s">
        <v>1063</v>
      </c>
      <c r="BX11" s="392">
        <v>5120</v>
      </c>
      <c r="BY11" s="383">
        <v>2421</v>
      </c>
      <c r="BZ11" s="383">
        <v>2431</v>
      </c>
      <c r="CA11" s="383">
        <v>3311</v>
      </c>
      <c r="CB11" s="385" t="s">
        <v>1010</v>
      </c>
      <c r="CC11" s="385" t="s">
        <v>1011</v>
      </c>
      <c r="CD11" s="383" t="s">
        <v>1764</v>
      </c>
      <c r="CE11" s="383">
        <v>5140</v>
      </c>
      <c r="CF11" s="392">
        <v>4305</v>
      </c>
      <c r="CG11" s="383" t="s">
        <v>1019</v>
      </c>
      <c r="CH11" s="383"/>
      <c r="CI11" s="383"/>
      <c r="CJ11" s="383" t="s">
        <v>1765</v>
      </c>
      <c r="CK11" s="383" t="s">
        <v>1766</v>
      </c>
      <c r="CL11" s="383" t="s">
        <v>1686</v>
      </c>
      <c r="CM11" s="383" t="s">
        <v>1767</v>
      </c>
      <c r="CN11" s="383"/>
      <c r="CO11" s="383" t="s">
        <v>1720</v>
      </c>
      <c r="CP11" s="383" t="s">
        <v>1768</v>
      </c>
      <c r="CQ11" s="383"/>
      <c r="CR11" s="383"/>
      <c r="CS11" s="383"/>
      <c r="CT11" s="383"/>
      <c r="CU11" s="383"/>
      <c r="CV11" s="383"/>
      <c r="CW11" s="392"/>
      <c r="CX11" s="392"/>
      <c r="CY11" s="392"/>
      <c r="CZ11" s="392"/>
      <c r="DA11" s="392" t="s">
        <v>1769</v>
      </c>
      <c r="DB11" s="392" t="s">
        <v>1770</v>
      </c>
      <c r="DC11" s="392" t="s">
        <v>1771</v>
      </c>
      <c r="DD11" s="392" t="s">
        <v>1772</v>
      </c>
      <c r="DE11" s="392" t="s">
        <v>1773</v>
      </c>
      <c r="DF11" s="392" t="s">
        <v>1774</v>
      </c>
    </row>
    <row r="12" spans="1:110" ht="31.5" customHeight="1" thickBot="1">
      <c r="A12" s="386"/>
      <c r="B12" s="382">
        <v>598</v>
      </c>
      <c r="C12" s="383">
        <v>1050</v>
      </c>
      <c r="D12" s="383">
        <v>10160</v>
      </c>
      <c r="E12" s="383">
        <v>500</v>
      </c>
      <c r="F12" s="383">
        <v>450</v>
      </c>
      <c r="G12" s="383">
        <v>10160</v>
      </c>
      <c r="H12" s="383">
        <v>470</v>
      </c>
      <c r="I12" s="383">
        <v>950</v>
      </c>
      <c r="J12" s="383">
        <v>10160</v>
      </c>
      <c r="K12" s="383">
        <v>10160</v>
      </c>
      <c r="L12" s="383">
        <f>1160/2</f>
        <v>580</v>
      </c>
      <c r="M12" s="383">
        <v>815</v>
      </c>
      <c r="N12" s="383">
        <v>10160</v>
      </c>
      <c r="O12" s="383">
        <v>950</v>
      </c>
      <c r="P12" s="383">
        <v>1100</v>
      </c>
      <c r="Q12" s="383">
        <v>10160</v>
      </c>
      <c r="R12" s="383">
        <v>500</v>
      </c>
      <c r="S12" s="383">
        <v>250</v>
      </c>
      <c r="T12" s="383">
        <v>1100</v>
      </c>
      <c r="U12" s="383">
        <v>10060</v>
      </c>
      <c r="V12" s="383">
        <v>10060</v>
      </c>
      <c r="W12" s="383">
        <v>580</v>
      </c>
      <c r="X12" s="383">
        <v>600</v>
      </c>
      <c r="Y12" s="383">
        <v>580</v>
      </c>
      <c r="Z12" s="383">
        <v>600</v>
      </c>
      <c r="AA12" s="383">
        <v>580</v>
      </c>
      <c r="AB12" s="383">
        <v>1000</v>
      </c>
      <c r="AC12" s="383">
        <v>250</v>
      </c>
      <c r="AD12" s="383">
        <v>550</v>
      </c>
      <c r="AE12" s="383">
        <v>550</v>
      </c>
      <c r="AF12" s="383">
        <v>550</v>
      </c>
      <c r="AG12" s="383">
        <v>550</v>
      </c>
      <c r="AH12" s="383">
        <v>550</v>
      </c>
      <c r="AI12" s="383">
        <v>550</v>
      </c>
      <c r="AJ12" s="383">
        <v>580</v>
      </c>
      <c r="AK12" s="383">
        <v>815</v>
      </c>
      <c r="AL12" s="383">
        <v>815</v>
      </c>
      <c r="AM12" s="383">
        <v>580</v>
      </c>
      <c r="AN12" s="383">
        <v>10160</v>
      </c>
      <c r="AO12" s="383">
        <v>1100</v>
      </c>
      <c r="AP12" s="383">
        <v>1100</v>
      </c>
      <c r="AQ12" s="383">
        <v>550</v>
      </c>
      <c r="AR12" s="383">
        <v>580</v>
      </c>
      <c r="AS12" s="383">
        <v>1100</v>
      </c>
      <c r="AT12" s="383">
        <v>150</v>
      </c>
      <c r="AU12" s="383">
        <v>1350</v>
      </c>
      <c r="AV12" s="383">
        <v>1200</v>
      </c>
      <c r="AW12" s="383">
        <v>2000</v>
      </c>
      <c r="AX12" s="383">
        <v>100</v>
      </c>
      <c r="AY12" s="383">
        <v>500</v>
      </c>
      <c r="AZ12" s="383">
        <v>350</v>
      </c>
      <c r="BA12" s="383">
        <v>750</v>
      </c>
      <c r="BB12" s="383">
        <v>350</v>
      </c>
      <c r="BC12" s="383">
        <v>600</v>
      </c>
      <c r="BD12" s="383">
        <v>10160</v>
      </c>
      <c r="BE12" s="383">
        <v>600</v>
      </c>
      <c r="BF12" s="383">
        <v>170</v>
      </c>
      <c r="BG12" s="383">
        <v>2000</v>
      </c>
      <c r="BH12" s="383">
        <v>1000</v>
      </c>
      <c r="BI12" s="383">
        <v>400</v>
      </c>
      <c r="BJ12" s="383">
        <v>10060</v>
      </c>
      <c r="BK12" s="383">
        <v>480</v>
      </c>
      <c r="BL12" s="383">
        <v>1160</v>
      </c>
      <c r="BM12" s="383">
        <v>500</v>
      </c>
      <c r="BN12" s="383">
        <v>1100</v>
      </c>
      <c r="BO12" s="383">
        <v>100</v>
      </c>
      <c r="BP12" s="383">
        <v>500</v>
      </c>
      <c r="BQ12" s="383">
        <v>1160</v>
      </c>
      <c r="BR12" s="383">
        <v>1300</v>
      </c>
      <c r="BS12" s="383">
        <v>1300</v>
      </c>
      <c r="BT12" s="383">
        <v>1300</v>
      </c>
      <c r="BU12" s="383">
        <v>1300</v>
      </c>
      <c r="BV12" s="383">
        <v>1000</v>
      </c>
      <c r="BW12" s="383">
        <v>1300</v>
      </c>
      <c r="BX12" s="383">
        <v>500</v>
      </c>
      <c r="BY12" s="383">
        <v>600</v>
      </c>
      <c r="BZ12" s="383">
        <v>1000</v>
      </c>
      <c r="CA12" s="383">
        <v>1000</v>
      </c>
      <c r="CB12" s="383">
        <v>580</v>
      </c>
      <c r="CC12" s="383">
        <v>580</v>
      </c>
      <c r="CD12" s="383">
        <v>100</v>
      </c>
      <c r="CE12" s="383">
        <v>500</v>
      </c>
      <c r="CF12" s="383">
        <v>500</v>
      </c>
      <c r="CG12" s="383">
        <v>580</v>
      </c>
      <c r="CH12" s="383"/>
      <c r="CI12" s="383"/>
      <c r="CJ12" s="383">
        <v>600</v>
      </c>
      <c r="CK12" s="383">
        <v>100</v>
      </c>
      <c r="CL12" s="383">
        <v>800</v>
      </c>
      <c r="CM12" s="383">
        <v>1000</v>
      </c>
      <c r="CN12" s="383"/>
      <c r="CO12" s="383">
        <v>200</v>
      </c>
      <c r="CP12" s="383">
        <v>235</v>
      </c>
      <c r="CQ12" s="383"/>
      <c r="CR12" s="383"/>
      <c r="CS12" s="383"/>
      <c r="CT12" s="383"/>
      <c r="CU12" s="383"/>
      <c r="CV12" s="383"/>
      <c r="CW12" s="383"/>
      <c r="CX12" s="383"/>
      <c r="CY12" s="383"/>
      <c r="CZ12" s="383"/>
      <c r="DA12" s="383">
        <v>1200</v>
      </c>
      <c r="DB12" s="383">
        <v>950</v>
      </c>
      <c r="DC12" s="383">
        <v>960</v>
      </c>
      <c r="DD12" s="383">
        <v>300</v>
      </c>
      <c r="DE12" s="383">
        <v>300</v>
      </c>
      <c r="DF12" s="383">
        <v>500</v>
      </c>
    </row>
    <row r="13" spans="1:110" ht="17.25" customHeight="1">
      <c r="A13" s="389"/>
      <c r="B13" s="378"/>
      <c r="C13" s="378"/>
      <c r="D13" s="378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</row>
    <row r="16" spans="1:110" ht="25.5" customHeight="1"/>
    <row r="17" spans="4:5" ht="25.5" customHeight="1"/>
    <row r="24" spans="4:5">
      <c r="D24" s="363" t="s">
        <v>1692</v>
      </c>
      <c r="E24" s="363">
        <v>11475</v>
      </c>
    </row>
    <row r="25" spans="4:5">
      <c r="D25" s="363">
        <v>598</v>
      </c>
      <c r="E25" s="363">
        <v>133849</v>
      </c>
    </row>
    <row r="26" spans="4:5">
      <c r="D26" s="363">
        <v>1080</v>
      </c>
      <c r="E26" s="363">
        <v>0</v>
      </c>
    </row>
    <row r="27" spans="4:5">
      <c r="D27" s="363">
        <v>1090</v>
      </c>
      <c r="E27" s="363">
        <v>0</v>
      </c>
    </row>
    <row r="28" spans="4:5">
      <c r="D28" s="363">
        <v>2801</v>
      </c>
      <c r="E28" s="363">
        <v>320</v>
      </c>
    </row>
    <row r="29" spans="4:5">
      <c r="D29" s="363">
        <v>3880</v>
      </c>
      <c r="E29" s="363">
        <v>3065</v>
      </c>
    </row>
    <row r="30" spans="4:5">
      <c r="D30" s="363">
        <v>4563</v>
      </c>
      <c r="E30" s="363">
        <v>9414</v>
      </c>
    </row>
    <row r="31" spans="4:5">
      <c r="D31" s="363">
        <v>5091</v>
      </c>
      <c r="E31" s="363">
        <v>7523</v>
      </c>
    </row>
    <row r="32" spans="4:5">
      <c r="D32" s="363">
        <v>5092</v>
      </c>
      <c r="E32" s="363">
        <v>11051</v>
      </c>
    </row>
    <row r="33" spans="4:5">
      <c r="D33" s="363">
        <v>5770</v>
      </c>
      <c r="E33" s="363">
        <v>162658</v>
      </c>
    </row>
    <row r="34" spans="4:5">
      <c r="D34" s="363">
        <v>6262</v>
      </c>
      <c r="E34" s="363">
        <v>10259</v>
      </c>
    </row>
    <row r="35" spans="4:5">
      <c r="D35" s="363">
        <v>6270</v>
      </c>
      <c r="E35" s="363">
        <v>33588</v>
      </c>
    </row>
    <row r="36" spans="4:5">
      <c r="D36" s="363">
        <v>6485</v>
      </c>
      <c r="E36" s="363">
        <v>287</v>
      </c>
    </row>
    <row r="37" spans="4:5">
      <c r="D37" s="363">
        <v>6486</v>
      </c>
      <c r="E37" s="363">
        <v>11051</v>
      </c>
    </row>
    <row r="38" spans="4:5">
      <c r="D38" s="363">
        <v>6487</v>
      </c>
      <c r="E38" s="363">
        <v>0</v>
      </c>
    </row>
    <row r="39" spans="4:5">
      <c r="D39" s="363">
        <v>6488</v>
      </c>
      <c r="E39" s="363">
        <v>162658</v>
      </c>
    </row>
    <row r="40" spans="4:5">
      <c r="D40" s="363">
        <v>6489</v>
      </c>
      <c r="E40" s="363">
        <v>0</v>
      </c>
    </row>
    <row r="41" spans="4:5">
      <c r="D41" s="363">
        <v>6490</v>
      </c>
      <c r="E41" s="363">
        <v>10259</v>
      </c>
    </row>
    <row r="42" spans="4:5">
      <c r="D42" s="363">
        <v>6491</v>
      </c>
      <c r="E42" s="363">
        <v>33588</v>
      </c>
    </row>
    <row r="43" spans="4:5">
      <c r="D43" s="363">
        <v>6492</v>
      </c>
      <c r="E43" s="363">
        <v>111840</v>
      </c>
    </row>
    <row r="44" spans="4:5">
      <c r="D44" s="363">
        <v>6493</v>
      </c>
      <c r="E44" s="363">
        <v>11051</v>
      </c>
    </row>
    <row r="45" spans="4:5">
      <c r="D45" s="363">
        <v>6494</v>
      </c>
      <c r="E45" s="363">
        <v>162658</v>
      </c>
    </row>
    <row r="46" spans="4:5">
      <c r="D46" s="363">
        <v>6495</v>
      </c>
      <c r="E46" s="363">
        <v>10259</v>
      </c>
    </row>
    <row r="47" spans="4:5">
      <c r="D47" s="363">
        <v>6773</v>
      </c>
      <c r="E47" s="363">
        <v>11051</v>
      </c>
    </row>
    <row r="48" spans="4:5">
      <c r="D48" s="363">
        <v>7133</v>
      </c>
      <c r="E48" s="363">
        <v>2780</v>
      </c>
    </row>
    <row r="49" spans="4:5">
      <c r="D49" s="363">
        <v>7630</v>
      </c>
      <c r="E49" s="363">
        <v>58902</v>
      </c>
    </row>
    <row r="50" spans="4:5">
      <c r="D50" s="363">
        <v>8052</v>
      </c>
      <c r="E50" s="363">
        <v>58902</v>
      </c>
    </row>
    <row r="51" spans="4:5">
      <c r="D51" s="363">
        <v>8234</v>
      </c>
      <c r="E51" s="363">
        <v>30596</v>
      </c>
    </row>
    <row r="52" spans="4:5">
      <c r="D52" s="363">
        <v>8235</v>
      </c>
      <c r="E52" s="363">
        <v>10259</v>
      </c>
    </row>
    <row r="53" spans="4:5">
      <c r="D53" s="363">
        <v>8484</v>
      </c>
      <c r="E53" s="363">
        <v>30851</v>
      </c>
    </row>
    <row r="54" spans="4:5">
      <c r="D54" s="363">
        <v>8485</v>
      </c>
      <c r="E54" s="363">
        <v>2762</v>
      </c>
    </row>
    <row r="55" spans="4:5">
      <c r="D55" s="363">
        <v>9149</v>
      </c>
      <c r="E55" s="363">
        <v>1050</v>
      </c>
    </row>
    <row r="56" spans="4:5">
      <c r="D56" s="363">
        <v>9477</v>
      </c>
      <c r="E56" s="363">
        <v>111840</v>
      </c>
    </row>
    <row r="57" spans="4:5">
      <c r="D57" s="363">
        <v>9565</v>
      </c>
      <c r="E57" s="363">
        <v>0</v>
      </c>
    </row>
    <row r="58" spans="4:5">
      <c r="D58" s="363">
        <v>9740</v>
      </c>
      <c r="E58" s="363">
        <v>30596</v>
      </c>
    </row>
    <row r="59" spans="4:5">
      <c r="D59" s="363">
        <v>9968</v>
      </c>
      <c r="E59" s="363">
        <v>11051</v>
      </c>
    </row>
    <row r="60" spans="4:5">
      <c r="D60" s="363" t="s">
        <v>1714</v>
      </c>
      <c r="E60" s="363">
        <v>0</v>
      </c>
    </row>
    <row r="61" spans="4:5">
      <c r="D61" s="363" t="s">
        <v>1775</v>
      </c>
      <c r="E61" s="363">
        <v>287</v>
      </c>
    </row>
    <row r="62" spans="4:5">
      <c r="D62" s="363" t="s">
        <v>1776</v>
      </c>
      <c r="E62" s="363">
        <v>0</v>
      </c>
    </row>
  </sheetData>
  <mergeCells count="3">
    <mergeCell ref="B1:G3"/>
    <mergeCell ref="A5:A8"/>
    <mergeCell ref="A9:A12"/>
  </mergeCells>
  <conditionalFormatting sqref="K1:K2">
    <cfRule type="cellIs" dxfId="0" priority="1" stopIfTrue="1" operator="between">
      <formula>0.82</formula>
      <formula>0.9</formula>
    </cfRule>
  </conditionalFormatting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9B76-EB4F-4701-A1D4-17CF99821491}">
  <dimension ref="A1:BY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6" sqref="H16"/>
    </sheetView>
  </sheetViews>
  <sheetFormatPr defaultColWidth="11.1796875" defaultRowHeight="18"/>
  <cols>
    <col min="1" max="1" width="7.81640625" style="311" customWidth="1"/>
    <col min="2" max="105" width="19.453125" style="311" customWidth="1"/>
    <col min="106" max="16384" width="11.1796875" style="311"/>
  </cols>
  <sheetData>
    <row r="1" spans="1:77">
      <c r="B1" s="312" t="s">
        <v>1375</v>
      </c>
      <c r="C1" s="313"/>
      <c r="D1" s="313"/>
      <c r="E1" s="313"/>
      <c r="F1" s="313"/>
      <c r="G1" s="314"/>
      <c r="H1" s="315"/>
      <c r="I1" s="315"/>
      <c r="J1" s="315"/>
      <c r="AA1" s="315"/>
      <c r="AB1" s="315"/>
      <c r="AC1" s="315"/>
      <c r="AD1" s="315"/>
    </row>
    <row r="2" spans="1:77">
      <c r="B2" s="316"/>
      <c r="C2" s="317"/>
      <c r="D2" s="317"/>
      <c r="E2" s="317"/>
      <c r="F2" s="317"/>
      <c r="G2" s="318"/>
      <c r="H2" s="315"/>
      <c r="I2" s="315"/>
      <c r="J2" s="315">
        <f>12*60</f>
        <v>720</v>
      </c>
      <c r="K2" s="319"/>
      <c r="L2" s="319">
        <f>10.75*60*60</f>
        <v>38700</v>
      </c>
      <c r="M2" s="319"/>
      <c r="U2" s="319"/>
      <c r="V2" s="319"/>
      <c r="W2" s="319"/>
      <c r="X2" s="315"/>
      <c r="Y2" s="315"/>
      <c r="Z2" s="315"/>
      <c r="AA2" s="315"/>
      <c r="AB2" s="315"/>
      <c r="AC2" s="315"/>
      <c r="AD2" s="315"/>
      <c r="AP2" s="311">
        <f>130/10.75</f>
        <v>12.093023255813954</v>
      </c>
      <c r="AQ2" s="311">
        <f>+AP2*33</f>
        <v>399.06976744186045</v>
      </c>
    </row>
    <row r="3" spans="1:77" ht="18.5" thickBot="1">
      <c r="B3" s="320"/>
      <c r="C3" s="321"/>
      <c r="D3" s="321"/>
      <c r="E3" s="321"/>
      <c r="F3" s="321"/>
      <c r="G3" s="322"/>
      <c r="L3" s="311">
        <f>+L2/J2</f>
        <v>53.75</v>
      </c>
    </row>
    <row r="5" spans="1:77" s="331" customFormat="1" ht="41.25" customHeight="1">
      <c r="A5" s="323" t="s">
        <v>1376</v>
      </c>
      <c r="B5" s="324" t="s">
        <v>1377</v>
      </c>
      <c r="C5" s="325" t="s">
        <v>1378</v>
      </c>
      <c r="D5" s="326" t="s">
        <v>1379</v>
      </c>
      <c r="E5" s="325">
        <v>7236</v>
      </c>
      <c r="F5" s="325" t="s">
        <v>1216</v>
      </c>
      <c r="G5" s="326" t="s">
        <v>1380</v>
      </c>
      <c r="H5" s="326">
        <v>6035</v>
      </c>
      <c r="I5" s="326">
        <v>2125</v>
      </c>
      <c r="J5" s="326" t="s">
        <v>1159</v>
      </c>
      <c r="K5" s="325">
        <v>245</v>
      </c>
      <c r="L5" s="325" t="s">
        <v>1381</v>
      </c>
      <c r="M5" s="325" t="s">
        <v>1382</v>
      </c>
      <c r="N5" s="325">
        <v>5091</v>
      </c>
      <c r="O5" s="325">
        <v>5092</v>
      </c>
      <c r="P5" s="325">
        <v>6489</v>
      </c>
      <c r="Q5" s="327">
        <v>6396</v>
      </c>
      <c r="R5" s="325" t="s">
        <v>1383</v>
      </c>
      <c r="S5" s="325" t="s">
        <v>1384</v>
      </c>
      <c r="T5" s="325" t="s">
        <v>1385</v>
      </c>
      <c r="U5" s="328" t="s">
        <v>1386</v>
      </c>
      <c r="V5" s="326" t="s">
        <v>1151</v>
      </c>
      <c r="W5" s="325" t="s">
        <v>1335</v>
      </c>
      <c r="X5" s="326" t="s">
        <v>1387</v>
      </c>
      <c r="Y5" s="326" t="s">
        <v>1158</v>
      </c>
      <c r="Z5" s="326">
        <v>9902</v>
      </c>
      <c r="AA5" s="326" t="s">
        <v>1388</v>
      </c>
      <c r="AB5" s="325">
        <v>8016</v>
      </c>
      <c r="AC5" s="325" t="s">
        <v>1389</v>
      </c>
      <c r="AD5" s="326">
        <v>5140</v>
      </c>
      <c r="AE5" s="326" t="s">
        <v>1259</v>
      </c>
      <c r="AF5" s="325" t="s">
        <v>1390</v>
      </c>
      <c r="AG5" s="325">
        <v>6773</v>
      </c>
      <c r="AH5" s="325" t="s">
        <v>1391</v>
      </c>
      <c r="AI5" s="325" t="s">
        <v>1392</v>
      </c>
      <c r="AJ5" s="325" t="s">
        <v>1393</v>
      </c>
      <c r="AK5" s="325" t="s">
        <v>1394</v>
      </c>
      <c r="AL5" s="325">
        <v>1090</v>
      </c>
      <c r="AM5" s="325">
        <v>6900</v>
      </c>
      <c r="AN5" s="325">
        <v>125</v>
      </c>
      <c r="AO5" s="326">
        <v>5120</v>
      </c>
      <c r="AP5" s="329">
        <v>4305</v>
      </c>
      <c r="AQ5" s="326" t="s">
        <v>1395</v>
      </c>
      <c r="AR5" s="325" t="s">
        <v>1396</v>
      </c>
      <c r="AS5" s="325">
        <v>2252</v>
      </c>
      <c r="AT5" s="325">
        <v>3031</v>
      </c>
      <c r="AU5" s="325" t="s">
        <v>1169</v>
      </c>
      <c r="AV5" s="326">
        <v>262606</v>
      </c>
      <c r="AW5" s="326">
        <v>262607</v>
      </c>
      <c r="AX5" s="326">
        <v>252911</v>
      </c>
      <c r="AY5" s="325">
        <v>2209</v>
      </c>
      <c r="AZ5" s="326">
        <v>2165</v>
      </c>
      <c r="BA5" s="325" t="s">
        <v>1397</v>
      </c>
      <c r="BB5" s="325" t="s">
        <v>1165</v>
      </c>
      <c r="BC5" s="325">
        <v>8234</v>
      </c>
      <c r="BD5" s="325">
        <v>8235</v>
      </c>
      <c r="BE5" s="325">
        <v>234</v>
      </c>
      <c r="BF5" s="325" t="s">
        <v>1398</v>
      </c>
      <c r="BG5" s="325" t="s">
        <v>1399</v>
      </c>
      <c r="BH5" s="325" t="s">
        <v>1400</v>
      </c>
      <c r="BI5" s="326" t="s">
        <v>1401</v>
      </c>
      <c r="BJ5" s="326" t="s">
        <v>1402</v>
      </c>
      <c r="BK5" s="326" t="s">
        <v>1403</v>
      </c>
      <c r="BL5" s="326">
        <v>6492</v>
      </c>
      <c r="BM5" s="326">
        <v>6003</v>
      </c>
      <c r="BN5" s="325">
        <v>9665</v>
      </c>
      <c r="BO5" s="329" t="s">
        <v>1404</v>
      </c>
      <c r="BP5" s="330" t="s">
        <v>1405</v>
      </c>
      <c r="BQ5" s="326">
        <v>6491</v>
      </c>
      <c r="BR5" s="329" t="s">
        <v>1406</v>
      </c>
      <c r="BS5" s="325" t="s">
        <v>1160</v>
      </c>
      <c r="BT5" s="326" t="s">
        <v>1407</v>
      </c>
      <c r="BU5" s="329"/>
      <c r="BV5" s="329"/>
      <c r="BW5" s="329"/>
      <c r="BX5" s="326"/>
      <c r="BY5" s="326"/>
    </row>
    <row r="6" spans="1:77" s="339" customFormat="1" ht="31.5" customHeight="1" thickBot="1">
      <c r="A6" s="332"/>
      <c r="B6" s="333">
        <f>5.1*121</f>
        <v>617.09999999999991</v>
      </c>
      <c r="C6" s="334">
        <f>5.6*100</f>
        <v>560</v>
      </c>
      <c r="D6" s="334">
        <f>7.4*50</f>
        <v>370</v>
      </c>
      <c r="E6" s="334">
        <f>6.31*169</f>
        <v>1066.3899999999999</v>
      </c>
      <c r="F6" s="334">
        <f>5.6*36</f>
        <v>201.6</v>
      </c>
      <c r="G6" s="334">
        <f>5.1*2</f>
        <v>10.199999999999999</v>
      </c>
      <c r="H6" s="334">
        <f>4.8*12</f>
        <v>57.599999999999994</v>
      </c>
      <c r="I6" s="334">
        <f>7.5*256</f>
        <v>1920</v>
      </c>
      <c r="J6" s="334">
        <f>5.2*144</f>
        <v>748.80000000000007</v>
      </c>
      <c r="K6" s="334">
        <f>5.2*25</f>
        <v>130</v>
      </c>
      <c r="L6" s="334">
        <f>5.2*121</f>
        <v>629.20000000000005</v>
      </c>
      <c r="M6" s="335">
        <f>6.04*25</f>
        <v>151</v>
      </c>
      <c r="N6" s="334">
        <f>4.8*100</f>
        <v>480</v>
      </c>
      <c r="O6" s="334">
        <f>4.8*100</f>
        <v>480</v>
      </c>
      <c r="P6" s="336">
        <f>4.84*64</f>
        <v>309.76</v>
      </c>
      <c r="Q6" s="335">
        <f>5.12*140</f>
        <v>716.80000000000007</v>
      </c>
      <c r="R6" s="334">
        <f>5.2*48</f>
        <v>249.60000000000002</v>
      </c>
      <c r="S6" s="335">
        <f>6.04*48</f>
        <v>289.92</v>
      </c>
      <c r="T6" s="335">
        <f>6.14*169</f>
        <v>1037.6599999999999</v>
      </c>
      <c r="U6" s="334">
        <v>7.2727272727272698</v>
      </c>
      <c r="V6" s="334">
        <f>7.4*50</f>
        <v>370</v>
      </c>
      <c r="W6" s="336">
        <f>5.6*144</f>
        <v>806.4</v>
      </c>
      <c r="X6" s="334">
        <f>5.91*2</f>
        <v>11.82</v>
      </c>
      <c r="Y6" s="334">
        <f>4.2*52</f>
        <v>218.4</v>
      </c>
      <c r="Z6" s="334">
        <f>16*4.7</f>
        <v>75.2</v>
      </c>
      <c r="AA6" s="334">
        <f>5.6*100</f>
        <v>560</v>
      </c>
      <c r="AB6" s="334">
        <f>5.1*142</f>
        <v>724.19999999999993</v>
      </c>
      <c r="AC6" s="334">
        <f>5.33*144</f>
        <v>767.52</v>
      </c>
      <c r="AD6" s="334">
        <f>20*4.8</f>
        <v>96</v>
      </c>
      <c r="AE6" s="334">
        <v>600</v>
      </c>
      <c r="AF6" s="334">
        <f>5.5*361</f>
        <v>1985.5</v>
      </c>
      <c r="AG6" s="334">
        <f>6*169</f>
        <v>1014</v>
      </c>
      <c r="AH6" s="334">
        <f>5.3*127</f>
        <v>673.1</v>
      </c>
      <c r="AI6" s="334">
        <f>4.9*100</f>
        <v>490.00000000000006</v>
      </c>
      <c r="AJ6" s="334">
        <f>4.6*100</f>
        <v>459.99999999999994</v>
      </c>
      <c r="AK6" s="334">
        <f>5.17*144</f>
        <v>744.48</v>
      </c>
      <c r="AL6" s="334">
        <f>4.83*256</f>
        <v>1236.48</v>
      </c>
      <c r="AM6" s="334">
        <f>4.75*12</f>
        <v>57</v>
      </c>
      <c r="AN6" s="334">
        <f>5.1*100</f>
        <v>509.99999999999994</v>
      </c>
      <c r="AO6" s="334">
        <f>4*36</f>
        <v>144</v>
      </c>
      <c r="AP6" s="337">
        <f>4.7*12</f>
        <v>56.400000000000006</v>
      </c>
      <c r="AQ6" s="334">
        <f>5*144</f>
        <v>720</v>
      </c>
      <c r="AR6" s="334">
        <f>4.66*225</f>
        <v>1048.5</v>
      </c>
      <c r="AS6" s="334">
        <f>5.44*48</f>
        <v>261.12</v>
      </c>
      <c r="AT6" s="334">
        <f>5.94*47</f>
        <v>279.18</v>
      </c>
      <c r="AU6" s="334">
        <f>5.11*144</f>
        <v>735.84</v>
      </c>
      <c r="AV6" s="334">
        <f>5*400</f>
        <v>2000</v>
      </c>
      <c r="AW6" s="334">
        <f>6.36*400</f>
        <v>2544</v>
      </c>
      <c r="AX6" s="334">
        <f>6.36*400</f>
        <v>2544</v>
      </c>
      <c r="AY6" s="335">
        <f>6.74*256</f>
        <v>1725.44</v>
      </c>
      <c r="AZ6" s="334">
        <f>6.5*256</f>
        <v>1664</v>
      </c>
      <c r="BA6" s="334">
        <f>5.33*144</f>
        <v>767.52</v>
      </c>
      <c r="BB6" s="334">
        <f>4.6*24</f>
        <v>110.39999999999999</v>
      </c>
      <c r="BC6" s="334">
        <f>5.53*225</f>
        <v>1244.25</v>
      </c>
      <c r="BD6" s="334">
        <f>5.18*225</f>
        <v>1165.5</v>
      </c>
      <c r="BE6" s="334">
        <f>5.44*25</f>
        <v>136</v>
      </c>
      <c r="BF6" s="334">
        <f>9*8</f>
        <v>72</v>
      </c>
      <c r="BG6" s="338">
        <f>10.2*96</f>
        <v>979.19999999999993</v>
      </c>
      <c r="BH6" s="334">
        <f>9.84*70</f>
        <v>688.8</v>
      </c>
      <c r="BI6" s="334">
        <f>5.6*15</f>
        <v>84</v>
      </c>
      <c r="BJ6" s="334">
        <f>5.6*225</f>
        <v>1260</v>
      </c>
      <c r="BK6" s="334">
        <f>5.6*120</f>
        <v>672</v>
      </c>
      <c r="BL6" s="334">
        <f>4.8*289</f>
        <v>1387.2</v>
      </c>
      <c r="BM6" s="334">
        <f>3.6*15</f>
        <v>54</v>
      </c>
      <c r="BN6" s="334">
        <f>5.24*120</f>
        <v>628.80000000000007</v>
      </c>
      <c r="BO6" s="337">
        <v>285</v>
      </c>
      <c r="BP6" s="337">
        <f>6*169</f>
        <v>1014</v>
      </c>
      <c r="BQ6" s="334">
        <f>4.8*289</f>
        <v>1387.2</v>
      </c>
      <c r="BR6" s="337">
        <v>900</v>
      </c>
      <c r="BS6" s="334">
        <f>5.6*25</f>
        <v>140</v>
      </c>
      <c r="BT6" s="334">
        <v>210</v>
      </c>
      <c r="BU6" s="337"/>
      <c r="BV6" s="337"/>
      <c r="BW6" s="337"/>
      <c r="BX6" s="334"/>
      <c r="BY6" s="334"/>
    </row>
    <row r="7" spans="1:77" s="331" customFormat="1" ht="31.5" customHeight="1">
      <c r="A7" s="332"/>
      <c r="B7" s="340" t="s">
        <v>1167</v>
      </c>
      <c r="C7" s="330" t="s">
        <v>1261</v>
      </c>
      <c r="D7" s="330" t="s">
        <v>1408</v>
      </c>
      <c r="E7" s="330" t="s">
        <v>1409</v>
      </c>
      <c r="F7" s="330" t="s">
        <v>1176</v>
      </c>
      <c r="G7" s="341" t="s">
        <v>1410</v>
      </c>
      <c r="H7" s="329">
        <v>6328</v>
      </c>
      <c r="I7" s="330">
        <v>9906</v>
      </c>
      <c r="J7" s="330">
        <v>40001</v>
      </c>
      <c r="K7" s="330">
        <v>2402</v>
      </c>
      <c r="L7" s="330">
        <v>603</v>
      </c>
      <c r="M7" s="341" t="s">
        <v>1163</v>
      </c>
      <c r="N7" s="330" t="s">
        <v>1411</v>
      </c>
      <c r="O7" s="329" t="s">
        <v>1372</v>
      </c>
      <c r="P7" s="329">
        <v>68</v>
      </c>
      <c r="Q7" s="330" t="s">
        <v>1412</v>
      </c>
      <c r="R7" s="330">
        <v>6270</v>
      </c>
      <c r="S7" s="330" t="s">
        <v>1413</v>
      </c>
      <c r="T7" s="330" t="s">
        <v>1414</v>
      </c>
      <c r="U7" s="330" t="s">
        <v>1415</v>
      </c>
      <c r="V7" s="330" t="s">
        <v>1416</v>
      </c>
      <c r="W7" s="330" t="s">
        <v>1417</v>
      </c>
      <c r="X7" s="330" t="s">
        <v>1418</v>
      </c>
      <c r="Y7" s="330" t="s">
        <v>1419</v>
      </c>
      <c r="Z7" s="329" t="s">
        <v>1420</v>
      </c>
      <c r="AA7" s="330">
        <v>8484</v>
      </c>
      <c r="AB7" s="330" t="s">
        <v>1421</v>
      </c>
      <c r="AC7" s="330">
        <v>6486</v>
      </c>
      <c r="AD7" s="330">
        <v>6495</v>
      </c>
      <c r="AE7" s="330">
        <v>6494</v>
      </c>
      <c r="AF7" s="330">
        <v>6485</v>
      </c>
      <c r="AG7" s="330">
        <v>6488</v>
      </c>
      <c r="AH7" s="330">
        <v>6487</v>
      </c>
      <c r="AI7" s="329">
        <v>3002</v>
      </c>
      <c r="AJ7" s="330">
        <v>161</v>
      </c>
      <c r="AK7" s="329">
        <v>911</v>
      </c>
      <c r="AL7" s="330" t="s">
        <v>1422</v>
      </c>
      <c r="AM7" s="330">
        <v>8052</v>
      </c>
      <c r="AN7" s="330">
        <v>1432</v>
      </c>
      <c r="AO7" s="330" t="s">
        <v>920</v>
      </c>
      <c r="AP7" s="330" t="s">
        <v>1423</v>
      </c>
      <c r="AQ7" s="329" t="s">
        <v>1424</v>
      </c>
      <c r="AR7" s="330" t="s">
        <v>1252</v>
      </c>
      <c r="AS7" s="330">
        <v>9295</v>
      </c>
      <c r="AT7" s="330" t="s">
        <v>1425</v>
      </c>
      <c r="AU7" s="330" t="s">
        <v>1426</v>
      </c>
      <c r="AV7" s="330">
        <v>6044</v>
      </c>
      <c r="AW7" s="329">
        <v>8500</v>
      </c>
      <c r="AX7" s="330">
        <v>1404</v>
      </c>
      <c r="AY7" s="330">
        <v>6493</v>
      </c>
      <c r="AZ7" s="330">
        <v>4408</v>
      </c>
      <c r="BA7" s="330">
        <v>9024</v>
      </c>
      <c r="BB7" s="330">
        <v>6004</v>
      </c>
      <c r="BC7" s="329" t="s">
        <v>1175</v>
      </c>
      <c r="BD7" s="330" t="s">
        <v>1427</v>
      </c>
      <c r="BE7" s="329" t="s">
        <v>1428</v>
      </c>
      <c r="BF7" s="330" t="s">
        <v>1429</v>
      </c>
      <c r="BG7" s="329">
        <v>559</v>
      </c>
      <c r="BH7" s="326" t="s">
        <v>1430</v>
      </c>
      <c r="BI7" s="326" t="s">
        <v>1431</v>
      </c>
      <c r="BJ7" s="329" t="s">
        <v>1432</v>
      </c>
      <c r="BK7" s="329" t="s">
        <v>1433</v>
      </c>
      <c r="BL7" s="329" t="s">
        <v>1434</v>
      </c>
      <c r="BM7" s="329" t="s">
        <v>1407</v>
      </c>
      <c r="BN7" s="329" t="s">
        <v>1435</v>
      </c>
      <c r="BO7" s="329" t="s">
        <v>1436</v>
      </c>
      <c r="BP7" s="329" t="s">
        <v>1437</v>
      </c>
      <c r="BQ7" s="329" t="s">
        <v>1438</v>
      </c>
      <c r="BR7" s="329" t="s">
        <v>1439</v>
      </c>
      <c r="BS7" s="329" t="s">
        <v>1440</v>
      </c>
      <c r="BT7" s="329"/>
      <c r="BU7" s="329"/>
      <c r="BV7" s="329"/>
      <c r="BW7" s="329"/>
      <c r="BX7" s="329"/>
      <c r="BY7" s="329"/>
    </row>
    <row r="8" spans="1:77" s="339" customFormat="1" ht="31.5" customHeight="1" thickBot="1">
      <c r="A8" s="342"/>
      <c r="B8" s="343">
        <f>5.54*80</f>
        <v>443.2</v>
      </c>
      <c r="C8" s="337">
        <f>5.1*144</f>
        <v>734.4</v>
      </c>
      <c r="D8" s="344">
        <f>5.1*144</f>
        <v>734.4</v>
      </c>
      <c r="E8" s="337">
        <f>5.1*144</f>
        <v>734.4</v>
      </c>
      <c r="F8" s="337">
        <f>3.67*6</f>
        <v>22.02</v>
      </c>
      <c r="G8" s="337">
        <f>4.8*6</f>
        <v>28.799999999999997</v>
      </c>
      <c r="H8" s="337">
        <v>500</v>
      </c>
      <c r="I8" s="344">
        <f>4.8*15</f>
        <v>72</v>
      </c>
      <c r="J8" s="337">
        <f>4.8*15</f>
        <v>72</v>
      </c>
      <c r="K8" s="337">
        <f>4.7*10</f>
        <v>47</v>
      </c>
      <c r="L8" s="337">
        <f>4.75*12</f>
        <v>57</v>
      </c>
      <c r="M8" s="337">
        <f>5.54*90</f>
        <v>498.6</v>
      </c>
      <c r="N8" s="337">
        <f>6*90</f>
        <v>540</v>
      </c>
      <c r="O8" s="337">
        <f>4*25</f>
        <v>100</v>
      </c>
      <c r="P8" s="337">
        <v>6.3636363636363598</v>
      </c>
      <c r="Q8" s="344">
        <f>6*90</f>
        <v>540</v>
      </c>
      <c r="R8" s="344">
        <f>5.54*256</f>
        <v>1418.24</v>
      </c>
      <c r="S8" s="337">
        <f>6*90</f>
        <v>540</v>
      </c>
      <c r="T8" s="345">
        <f>6*90</f>
        <v>540</v>
      </c>
      <c r="U8" s="345">
        <f>6*90</f>
        <v>540</v>
      </c>
      <c r="V8" s="337">
        <f>6*89</f>
        <v>534</v>
      </c>
      <c r="W8" s="337">
        <f>6*90</f>
        <v>540</v>
      </c>
      <c r="X8" s="337">
        <f>6*89</f>
        <v>534</v>
      </c>
      <c r="Y8" s="337">
        <f>4.9*81</f>
        <v>396.90000000000003</v>
      </c>
      <c r="Z8" s="337">
        <f>5.3*6</f>
        <v>31.799999999999997</v>
      </c>
      <c r="AA8" s="337">
        <f>169*5.1</f>
        <v>861.9</v>
      </c>
      <c r="AB8" s="337">
        <f>6.3*169</f>
        <v>1064.7</v>
      </c>
      <c r="AC8" s="337">
        <f>4.8*256</f>
        <v>1228.8</v>
      </c>
      <c r="AD8" s="337">
        <f>4.8*289</f>
        <v>1387.2</v>
      </c>
      <c r="AE8" s="337">
        <f>4.8*289</f>
        <v>1387.2</v>
      </c>
      <c r="AF8" s="337">
        <f>4.8*36</f>
        <v>172.79999999999998</v>
      </c>
      <c r="AG8" s="337">
        <f>4.83*64</f>
        <v>309.12</v>
      </c>
      <c r="AH8" s="337">
        <f>4.7*64</f>
        <v>300.8</v>
      </c>
      <c r="AI8" s="337">
        <f>38*5</f>
        <v>190</v>
      </c>
      <c r="AJ8" s="337">
        <f>5.12*90</f>
        <v>460.8</v>
      </c>
      <c r="AK8" s="337">
        <f>400*7</f>
        <v>2800</v>
      </c>
      <c r="AL8" s="337">
        <f>4.9*81</f>
        <v>396.90000000000003</v>
      </c>
      <c r="AM8" s="334">
        <f>6.14*169</f>
        <v>1037.6599999999999</v>
      </c>
      <c r="AN8" s="337">
        <f>6.11*169</f>
        <v>1032.5900000000001</v>
      </c>
      <c r="AO8" s="337">
        <f>5.11*256</f>
        <v>1308.1600000000001</v>
      </c>
      <c r="AP8" s="337">
        <f>4.62*225</f>
        <v>1039.5</v>
      </c>
      <c r="AQ8" s="337">
        <f>6.278*169</f>
        <v>1060.982</v>
      </c>
      <c r="AR8" s="337">
        <f>6.31*169</f>
        <v>1066.3899999999999</v>
      </c>
      <c r="AS8" s="337">
        <f>5.33*169</f>
        <v>900.77</v>
      </c>
      <c r="AT8" s="337">
        <f>6.3*169</f>
        <v>1064.7</v>
      </c>
      <c r="AU8" s="337">
        <f>6*90</f>
        <v>540</v>
      </c>
      <c r="AV8" s="337">
        <f>5.54*256</f>
        <v>1418.24</v>
      </c>
      <c r="AW8" s="337">
        <f>3.5*169</f>
        <v>591.5</v>
      </c>
      <c r="AX8" s="337">
        <f>6.1*121</f>
        <v>738.09999999999991</v>
      </c>
      <c r="AY8" s="337">
        <f>4.79*289</f>
        <v>1384.31</v>
      </c>
      <c r="AZ8" s="337">
        <f>5.83*121</f>
        <v>705.43000000000006</v>
      </c>
      <c r="BA8" s="337">
        <f>4.8*12</f>
        <v>57.599999999999994</v>
      </c>
      <c r="BB8" s="337">
        <f>4.7*16</f>
        <v>75.2</v>
      </c>
      <c r="BC8" s="337">
        <f>5.6*16</f>
        <v>89.6</v>
      </c>
      <c r="BD8" s="337">
        <f>5.12*225</f>
        <v>1152</v>
      </c>
      <c r="BE8" s="337">
        <v>22</v>
      </c>
      <c r="BF8" s="334">
        <f>5.33*144</f>
        <v>767.52</v>
      </c>
      <c r="BG8" s="337">
        <f>4.85*9</f>
        <v>43.65</v>
      </c>
      <c r="BH8" s="334">
        <v>80</v>
      </c>
      <c r="BI8" s="334">
        <v>200</v>
      </c>
      <c r="BJ8" s="337">
        <v>210</v>
      </c>
      <c r="BK8" s="337">
        <v>285</v>
      </c>
      <c r="BL8" s="337">
        <v>1360</v>
      </c>
      <c r="BM8" s="337">
        <v>200</v>
      </c>
      <c r="BN8" s="337">
        <v>400</v>
      </c>
      <c r="BO8" s="337">
        <v>600</v>
      </c>
      <c r="BP8" s="337">
        <v>150</v>
      </c>
      <c r="BQ8" s="337">
        <v>150</v>
      </c>
      <c r="BR8" s="337">
        <v>300</v>
      </c>
      <c r="BS8" s="337">
        <v>300</v>
      </c>
      <c r="BT8" s="337"/>
      <c r="BU8" s="337"/>
      <c r="BV8" s="337"/>
      <c r="BW8" s="337"/>
      <c r="BX8" s="337"/>
      <c r="BY8" s="337"/>
    </row>
    <row r="9" spans="1:77" s="331" customFormat="1" ht="31.5" customHeight="1">
      <c r="A9" s="323" t="s">
        <v>1441</v>
      </c>
      <c r="B9" s="324" t="s">
        <v>1442</v>
      </c>
      <c r="C9" s="326" t="s">
        <v>1443</v>
      </c>
      <c r="D9" s="326" t="s">
        <v>1444</v>
      </c>
      <c r="E9" s="326" t="s">
        <v>1445</v>
      </c>
      <c r="F9" s="326" t="s">
        <v>1446</v>
      </c>
      <c r="G9" s="326" t="s">
        <v>1447</v>
      </c>
      <c r="H9" s="326" t="s">
        <v>1448</v>
      </c>
      <c r="I9" s="326" t="s">
        <v>1449</v>
      </c>
      <c r="J9" s="326" t="s">
        <v>1450</v>
      </c>
      <c r="K9" s="326" t="s">
        <v>1451</v>
      </c>
      <c r="L9" s="326" t="s">
        <v>1452</v>
      </c>
      <c r="M9" s="326" t="s">
        <v>1453</v>
      </c>
      <c r="N9" s="326" t="s">
        <v>1454</v>
      </c>
      <c r="O9" s="326" t="s">
        <v>1455</v>
      </c>
      <c r="P9" s="326" t="s">
        <v>1456</v>
      </c>
      <c r="Q9" s="328" t="s">
        <v>1457</v>
      </c>
      <c r="R9" s="326" t="s">
        <v>1458</v>
      </c>
      <c r="S9" s="326" t="s">
        <v>1459</v>
      </c>
      <c r="T9" s="326" t="s">
        <v>1460</v>
      </c>
      <c r="U9" s="326" t="s">
        <v>1461</v>
      </c>
      <c r="V9" s="326" t="s">
        <v>1462</v>
      </c>
      <c r="W9" s="326" t="s">
        <v>1463</v>
      </c>
      <c r="X9" s="326" t="s">
        <v>1464</v>
      </c>
      <c r="Y9" s="326" t="s">
        <v>1465</v>
      </c>
      <c r="Z9" s="326" t="s">
        <v>1466</v>
      </c>
      <c r="AA9" s="326" t="s">
        <v>1467</v>
      </c>
      <c r="AB9" s="326" t="s">
        <v>1468</v>
      </c>
      <c r="AC9" s="326" t="s">
        <v>1469</v>
      </c>
      <c r="AD9" s="326" t="s">
        <v>1470</v>
      </c>
      <c r="AE9" s="326" t="s">
        <v>1471</v>
      </c>
      <c r="AF9" s="326" t="s">
        <v>1472</v>
      </c>
      <c r="AG9" s="326" t="s">
        <v>1473</v>
      </c>
      <c r="AH9" s="326" t="s">
        <v>1474</v>
      </c>
      <c r="AI9" s="326" t="s">
        <v>1219</v>
      </c>
      <c r="AJ9" s="326" t="s">
        <v>1475</v>
      </c>
      <c r="AK9" s="326" t="s">
        <v>1476</v>
      </c>
      <c r="AL9" s="326">
        <v>2402</v>
      </c>
      <c r="AM9" s="326" t="s">
        <v>1477</v>
      </c>
      <c r="AN9" s="326" t="s">
        <v>1165</v>
      </c>
      <c r="AO9" s="326" t="s">
        <v>1478</v>
      </c>
      <c r="AP9" s="326" t="s">
        <v>1479</v>
      </c>
      <c r="AQ9" s="326" t="s">
        <v>1480</v>
      </c>
      <c r="AR9" s="326" t="s">
        <v>1481</v>
      </c>
      <c r="AS9" s="326" t="s">
        <v>1482</v>
      </c>
      <c r="AT9" s="326" t="s">
        <v>1483</v>
      </c>
      <c r="AU9" s="326">
        <v>161</v>
      </c>
      <c r="AV9" s="326" t="s">
        <v>1484</v>
      </c>
      <c r="AW9" s="326" t="s">
        <v>1485</v>
      </c>
      <c r="AX9" s="326" t="s">
        <v>1486</v>
      </c>
      <c r="AY9" s="326" t="s">
        <v>1487</v>
      </c>
      <c r="AZ9" s="326" t="s">
        <v>1488</v>
      </c>
      <c r="BA9" s="326" t="s">
        <v>1489</v>
      </c>
      <c r="BB9" s="326" t="s">
        <v>1490</v>
      </c>
      <c r="BC9" s="326"/>
      <c r="BD9" s="326"/>
      <c r="BE9" s="326"/>
      <c r="BF9" s="326"/>
      <c r="BG9" s="326"/>
      <c r="BH9" s="326"/>
      <c r="BI9" s="326"/>
      <c r="BJ9" s="326"/>
      <c r="BK9" s="326"/>
      <c r="BL9" s="326"/>
      <c r="BM9" s="326"/>
      <c r="BN9" s="326"/>
      <c r="BO9" s="326"/>
      <c r="BP9" s="326"/>
      <c r="BQ9" s="326"/>
      <c r="BR9" s="326"/>
      <c r="BS9" s="326"/>
      <c r="BT9" s="326"/>
      <c r="BU9" s="326"/>
      <c r="BV9" s="326"/>
      <c r="BW9" s="326"/>
      <c r="BX9" s="326"/>
      <c r="BY9" s="346"/>
    </row>
    <row r="10" spans="1:77" s="356" customFormat="1" ht="31.5" customHeight="1" thickBot="1">
      <c r="A10" s="332"/>
      <c r="B10" s="347">
        <v>68.5</v>
      </c>
      <c r="C10" s="348">
        <v>80</v>
      </c>
      <c r="D10" s="348">
        <v>80</v>
      </c>
      <c r="E10" s="349">
        <v>53</v>
      </c>
      <c r="F10" s="350">
        <v>48</v>
      </c>
      <c r="G10" s="350">
        <v>53.5</v>
      </c>
      <c r="H10" s="351">
        <v>43</v>
      </c>
      <c r="I10" s="352">
        <v>68.5</v>
      </c>
      <c r="J10" s="352"/>
      <c r="K10" s="353">
        <v>40</v>
      </c>
      <c r="L10" s="353">
        <v>66</v>
      </c>
      <c r="M10" s="353">
        <v>66</v>
      </c>
      <c r="N10" s="353">
        <v>90</v>
      </c>
      <c r="O10" s="353">
        <v>91</v>
      </c>
      <c r="P10" s="353">
        <v>91</v>
      </c>
      <c r="Q10" s="353">
        <v>60</v>
      </c>
      <c r="R10" s="354"/>
      <c r="S10" s="354"/>
      <c r="T10" s="353"/>
      <c r="U10" s="353"/>
      <c r="V10" s="353"/>
      <c r="W10" s="353"/>
      <c r="X10" s="353"/>
      <c r="Y10" s="353"/>
      <c r="Z10" s="353"/>
      <c r="AA10" s="353"/>
      <c r="AB10" s="353"/>
      <c r="AC10" s="353">
        <v>10</v>
      </c>
      <c r="AD10" s="353"/>
      <c r="AE10" s="353"/>
      <c r="AF10" s="350">
        <v>52</v>
      </c>
      <c r="AG10" s="353"/>
      <c r="AH10" s="353"/>
      <c r="AI10" s="353"/>
      <c r="AJ10" s="353">
        <v>90</v>
      </c>
      <c r="AK10" s="353"/>
      <c r="AL10" s="353"/>
      <c r="AM10" s="353"/>
      <c r="AN10" s="353"/>
      <c r="AO10" s="353">
        <v>41</v>
      </c>
      <c r="AP10" s="353">
        <v>90</v>
      </c>
      <c r="AQ10" s="353"/>
      <c r="AR10" s="349">
        <v>48</v>
      </c>
      <c r="AS10" s="349">
        <v>48</v>
      </c>
      <c r="AT10" s="349">
        <v>48</v>
      </c>
      <c r="AU10" s="353"/>
      <c r="AV10" s="350">
        <v>35</v>
      </c>
      <c r="AW10" s="350">
        <v>53</v>
      </c>
      <c r="AX10" s="353">
        <v>1.25</v>
      </c>
      <c r="AY10" s="353">
        <v>7.5</v>
      </c>
      <c r="AZ10" s="353">
        <v>1.25</v>
      </c>
      <c r="BA10" s="353">
        <v>45</v>
      </c>
      <c r="BB10" s="353">
        <v>53</v>
      </c>
      <c r="BC10" s="353"/>
      <c r="BD10" s="353"/>
      <c r="BE10" s="353"/>
      <c r="BF10" s="353"/>
      <c r="BG10" s="353"/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53"/>
      <c r="BS10" s="353"/>
      <c r="BT10" s="353"/>
      <c r="BU10" s="353"/>
      <c r="BV10" s="353"/>
      <c r="BW10" s="353"/>
      <c r="BX10" s="353"/>
      <c r="BY10" s="355"/>
    </row>
    <row r="11" spans="1:77" s="331" customFormat="1" ht="31.5" customHeight="1">
      <c r="A11" s="332"/>
      <c r="B11" s="324" t="s">
        <v>1491</v>
      </c>
      <c r="C11" s="326" t="s">
        <v>1492</v>
      </c>
      <c r="D11" s="326" t="s">
        <v>1493</v>
      </c>
      <c r="E11" s="326" t="s">
        <v>1494</v>
      </c>
      <c r="F11" s="326" t="s">
        <v>1495</v>
      </c>
      <c r="G11" s="326" t="s">
        <v>1496</v>
      </c>
      <c r="H11" s="326" t="s">
        <v>1497</v>
      </c>
      <c r="I11" s="326" t="s">
        <v>1498</v>
      </c>
      <c r="J11" s="326" t="s">
        <v>1499</v>
      </c>
      <c r="K11" s="326" t="s">
        <v>1500</v>
      </c>
      <c r="L11" s="326" t="s">
        <v>1501</v>
      </c>
      <c r="M11" s="326" t="s">
        <v>1502</v>
      </c>
      <c r="N11" s="326" t="s">
        <v>1503</v>
      </c>
      <c r="O11" s="326" t="s">
        <v>1504</v>
      </c>
      <c r="P11" s="326" t="s">
        <v>1505</v>
      </c>
      <c r="Q11" s="326" t="s">
        <v>1506</v>
      </c>
      <c r="R11" s="357" t="s">
        <v>1507</v>
      </c>
      <c r="S11" s="357" t="s">
        <v>1508</v>
      </c>
      <c r="T11" s="326" t="s">
        <v>1509</v>
      </c>
      <c r="U11" s="326" t="s">
        <v>1510</v>
      </c>
      <c r="V11" s="326" t="s">
        <v>1511</v>
      </c>
      <c r="W11" s="326" t="s">
        <v>1512</v>
      </c>
      <c r="X11" s="326" t="s">
        <v>1513</v>
      </c>
      <c r="Y11" s="329" t="s">
        <v>1514</v>
      </c>
      <c r="Z11" s="329" t="s">
        <v>1515</v>
      </c>
      <c r="AA11" s="329" t="s">
        <v>1516</v>
      </c>
      <c r="AB11" s="329" t="s">
        <v>1517</v>
      </c>
      <c r="AC11" s="329" t="s">
        <v>1518</v>
      </c>
      <c r="AD11" s="329" t="s">
        <v>1519</v>
      </c>
      <c r="AE11" s="329" t="s">
        <v>1451</v>
      </c>
      <c r="AF11" s="329" t="s">
        <v>1520</v>
      </c>
      <c r="AG11" s="329" t="s">
        <v>1521</v>
      </c>
      <c r="AH11" s="329" t="s">
        <v>1522</v>
      </c>
      <c r="AI11" s="329" t="s">
        <v>1523</v>
      </c>
      <c r="AJ11" s="329" t="s">
        <v>1524</v>
      </c>
      <c r="AK11" s="329" t="s">
        <v>1525</v>
      </c>
      <c r="AL11" s="329" t="s">
        <v>1526</v>
      </c>
      <c r="AM11" s="329" t="s">
        <v>1527</v>
      </c>
      <c r="AN11" s="329" t="s">
        <v>1528</v>
      </c>
      <c r="AO11" s="329" t="s">
        <v>1529</v>
      </c>
      <c r="AP11" s="329" t="s">
        <v>1399</v>
      </c>
      <c r="AQ11" s="329" t="s">
        <v>1400</v>
      </c>
      <c r="AR11" s="329" t="s">
        <v>1398</v>
      </c>
      <c r="AS11" s="329" t="s">
        <v>1530</v>
      </c>
      <c r="AT11" s="329"/>
      <c r="AU11" s="329"/>
      <c r="AV11" s="329"/>
      <c r="AW11" s="329"/>
      <c r="AX11" s="329"/>
      <c r="AY11" s="329"/>
      <c r="AZ11" s="329"/>
      <c r="BA11" s="329"/>
      <c r="BB11" s="329"/>
      <c r="BC11" s="329"/>
      <c r="BD11" s="329"/>
      <c r="BE11" s="329"/>
      <c r="BF11" s="329"/>
      <c r="BG11" s="329"/>
      <c r="BH11" s="329"/>
      <c r="BI11" s="329"/>
      <c r="BJ11" s="329"/>
      <c r="BK11" s="329"/>
      <c r="BL11" s="329"/>
      <c r="BM11" s="329"/>
      <c r="BN11" s="329"/>
      <c r="BO11" s="329"/>
      <c r="BP11" s="329"/>
      <c r="BQ11" s="329"/>
      <c r="BR11" s="329"/>
      <c r="BS11" s="329"/>
      <c r="BT11" s="329"/>
      <c r="BU11" s="329"/>
      <c r="BV11" s="329"/>
      <c r="BW11" s="329"/>
      <c r="BX11" s="329"/>
      <c r="BY11" s="358"/>
    </row>
    <row r="12" spans="1:77" s="356" customFormat="1" ht="31.5" customHeight="1" thickBot="1">
      <c r="A12" s="342"/>
      <c r="B12" s="359"/>
      <c r="C12" s="354"/>
      <c r="D12" s="354"/>
      <c r="E12" s="354"/>
      <c r="F12" s="354"/>
      <c r="G12" s="354"/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60">
        <v>68.5</v>
      </c>
      <c r="T12" s="354"/>
      <c r="U12" s="354"/>
      <c r="V12" s="354"/>
      <c r="W12" s="354"/>
      <c r="X12" s="354"/>
      <c r="Y12" s="354">
        <v>58</v>
      </c>
      <c r="Z12" s="354"/>
      <c r="AA12" s="354">
        <v>41</v>
      </c>
      <c r="AB12" s="354">
        <v>20</v>
      </c>
      <c r="AC12" s="354"/>
      <c r="AD12" s="354"/>
      <c r="AE12" s="354"/>
      <c r="AF12" s="354"/>
      <c r="AG12" s="354"/>
      <c r="AH12" s="354"/>
      <c r="AI12" s="354"/>
      <c r="AJ12" s="354"/>
      <c r="AK12" s="354"/>
      <c r="AL12" s="354"/>
      <c r="AM12" s="354"/>
      <c r="AN12" s="354">
        <v>70</v>
      </c>
      <c r="AO12" s="354"/>
      <c r="AP12" s="354">
        <v>20</v>
      </c>
      <c r="AQ12" s="354">
        <v>20</v>
      </c>
      <c r="AR12" s="354">
        <v>20</v>
      </c>
      <c r="AS12" s="354">
        <v>41</v>
      </c>
      <c r="AT12" s="354"/>
      <c r="AU12" s="354"/>
      <c r="AV12" s="354"/>
      <c r="AW12" s="354"/>
      <c r="AX12" s="354"/>
      <c r="AY12" s="354"/>
      <c r="AZ12" s="354"/>
      <c r="BA12" s="354"/>
      <c r="BB12" s="354"/>
      <c r="BC12" s="354"/>
      <c r="BD12" s="354"/>
      <c r="BE12" s="354"/>
      <c r="BF12" s="354"/>
      <c r="BG12" s="354"/>
      <c r="BH12" s="354"/>
      <c r="BI12" s="354"/>
      <c r="BJ12" s="354"/>
      <c r="BK12" s="354"/>
      <c r="BL12" s="354"/>
      <c r="BM12" s="354"/>
      <c r="BN12" s="354"/>
      <c r="BO12" s="354"/>
      <c r="BP12" s="354"/>
      <c r="BQ12" s="354"/>
      <c r="BR12" s="354"/>
      <c r="BS12" s="354"/>
      <c r="BT12" s="354"/>
      <c r="BU12" s="354"/>
      <c r="BV12" s="354"/>
      <c r="BW12" s="354"/>
      <c r="BX12" s="354"/>
      <c r="BY12" s="361"/>
    </row>
    <row r="13" spans="1:77" ht="15" customHeight="1"/>
    <row r="15" spans="1:77">
      <c r="BB15" s="311">
        <f>5.25*10.83</f>
        <v>56.857500000000002</v>
      </c>
      <c r="BI15" s="311">
        <f>111/10.83</f>
        <v>10.249307479224377</v>
      </c>
    </row>
    <row r="19" spans="16:65">
      <c r="BJ19" s="311">
        <f>5.83*10.83</f>
        <v>63.1389</v>
      </c>
    </row>
    <row r="20" spans="16:65">
      <c r="BC20" s="362"/>
    </row>
    <row r="21" spans="16:65" ht="24" customHeight="1">
      <c r="BM21" s="311" t="s">
        <v>1531</v>
      </c>
    </row>
    <row r="22" spans="16:65" ht="56.25" customHeight="1"/>
    <row r="24" spans="16:65" ht="56.25" customHeight="1"/>
    <row r="28" spans="16:65">
      <c r="P28" s="311">
        <f>67/10.83</f>
        <v>6.1865189289011999</v>
      </c>
    </row>
  </sheetData>
  <mergeCells count="3">
    <mergeCell ref="B1:G3"/>
    <mergeCell ref="A5:A8"/>
    <mergeCell ref="A9:A12"/>
  </mergeCells>
  <conditionalFormatting sqref="K1:K2">
    <cfRule type="cellIs" dxfId="1" priority="1" stopIfTrue="1" operator="between">
      <formula>0.82</formula>
      <formula>0.9</formula>
    </cfRule>
  </conditionalFormatting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48DA-0014-4541-B193-512BF3459C07}">
  <dimension ref="A3:IW129"/>
  <sheetViews>
    <sheetView view="pageBreakPreview" zoomScale="60" zoomScaleNormal="57" workbookViewId="0">
      <pane xSplit="2" ySplit="4" topLeftCell="C16" activePane="bottomRight" state="frozen"/>
      <selection pane="topRight" activeCell="C1" sqref="C1"/>
      <selection pane="bottomLeft" activeCell="A5" sqref="A5"/>
      <selection pane="bottomRight" activeCell="N39" sqref="N39"/>
    </sheetView>
  </sheetViews>
  <sheetFormatPr defaultColWidth="10" defaultRowHeight="13"/>
  <cols>
    <col min="1" max="1" width="10" style="218"/>
    <col min="2" max="17" width="15.26953125" style="218" customWidth="1"/>
    <col min="18" max="18" width="17" style="218" customWidth="1"/>
    <col min="19" max="86" width="15.26953125" style="218" customWidth="1"/>
    <col min="87" max="90" width="10" style="218"/>
    <col min="91" max="91" width="18.81640625" style="218" customWidth="1"/>
    <col min="92" max="93" width="10" style="218"/>
    <col min="94" max="94" width="23.81640625" style="218" customWidth="1"/>
    <col min="95" max="96" width="10" style="218"/>
    <col min="97" max="97" width="25.54296875" style="218" customWidth="1"/>
    <col min="98" max="16384" width="10" style="218"/>
  </cols>
  <sheetData>
    <row r="3" spans="1:257" s="220" customFormat="1" ht="16" thickBot="1">
      <c r="A3" s="218"/>
      <c r="B3" s="218"/>
      <c r="C3" s="219">
        <v>1</v>
      </c>
      <c r="D3" s="220">
        <f>+C3+1</f>
        <v>2</v>
      </c>
      <c r="E3" s="220">
        <f t="shared" ref="E3:BK3" si="0">+D3+1</f>
        <v>3</v>
      </c>
      <c r="F3" s="220">
        <f t="shared" si="0"/>
        <v>4</v>
      </c>
      <c r="G3" s="220">
        <f t="shared" si="0"/>
        <v>5</v>
      </c>
      <c r="H3" s="220">
        <f t="shared" si="0"/>
        <v>6</v>
      </c>
      <c r="I3" s="220">
        <f t="shared" si="0"/>
        <v>7</v>
      </c>
      <c r="J3" s="220">
        <f t="shared" si="0"/>
        <v>8</v>
      </c>
      <c r="K3" s="220">
        <f t="shared" si="0"/>
        <v>9</v>
      </c>
      <c r="L3" s="220">
        <f t="shared" si="0"/>
        <v>10</v>
      </c>
      <c r="M3" s="220">
        <f t="shared" si="0"/>
        <v>11</v>
      </c>
      <c r="N3" s="220">
        <f t="shared" si="0"/>
        <v>12</v>
      </c>
      <c r="O3" s="220">
        <f t="shared" si="0"/>
        <v>13</v>
      </c>
      <c r="P3" s="220">
        <f t="shared" si="0"/>
        <v>14</v>
      </c>
      <c r="Q3" s="220">
        <f t="shared" si="0"/>
        <v>15</v>
      </c>
      <c r="R3" s="220">
        <f t="shared" si="0"/>
        <v>16</v>
      </c>
      <c r="S3" s="220">
        <f t="shared" si="0"/>
        <v>17</v>
      </c>
      <c r="T3" s="220">
        <f t="shared" si="0"/>
        <v>18</v>
      </c>
      <c r="U3" s="220">
        <f t="shared" si="0"/>
        <v>19</v>
      </c>
      <c r="V3" s="220">
        <f t="shared" si="0"/>
        <v>20</v>
      </c>
      <c r="W3" s="220">
        <f t="shared" si="0"/>
        <v>21</v>
      </c>
      <c r="X3" s="220">
        <f t="shared" si="0"/>
        <v>22</v>
      </c>
      <c r="Y3" s="220">
        <f t="shared" si="0"/>
        <v>23</v>
      </c>
      <c r="Z3" s="220">
        <f t="shared" si="0"/>
        <v>24</v>
      </c>
      <c r="AA3" s="220">
        <f t="shared" si="0"/>
        <v>25</v>
      </c>
      <c r="AB3" s="220">
        <f t="shared" si="0"/>
        <v>26</v>
      </c>
      <c r="AC3" s="220">
        <f t="shared" si="0"/>
        <v>27</v>
      </c>
      <c r="AD3" s="220">
        <f t="shared" si="0"/>
        <v>28</v>
      </c>
      <c r="AE3" s="220">
        <f t="shared" si="0"/>
        <v>29</v>
      </c>
      <c r="AF3" s="220">
        <f t="shared" si="0"/>
        <v>30</v>
      </c>
      <c r="AG3" s="220">
        <f t="shared" si="0"/>
        <v>31</v>
      </c>
      <c r="AH3" s="220">
        <f t="shared" si="0"/>
        <v>32</v>
      </c>
      <c r="AI3" s="220">
        <f t="shared" si="0"/>
        <v>33</v>
      </c>
      <c r="AJ3" s="220">
        <f t="shared" si="0"/>
        <v>34</v>
      </c>
      <c r="AK3" s="220">
        <f t="shared" si="0"/>
        <v>35</v>
      </c>
      <c r="AL3" s="220">
        <f t="shared" si="0"/>
        <v>36</v>
      </c>
      <c r="AM3" s="220">
        <f t="shared" si="0"/>
        <v>37</v>
      </c>
      <c r="AN3" s="220">
        <f t="shared" si="0"/>
        <v>38</v>
      </c>
      <c r="AO3" s="220">
        <f t="shared" si="0"/>
        <v>39</v>
      </c>
      <c r="AP3" s="220">
        <f t="shared" si="0"/>
        <v>40</v>
      </c>
      <c r="AQ3" s="220">
        <f t="shared" si="0"/>
        <v>41</v>
      </c>
      <c r="AR3" s="220">
        <f t="shared" si="0"/>
        <v>42</v>
      </c>
      <c r="AS3" s="220">
        <f t="shared" si="0"/>
        <v>43</v>
      </c>
      <c r="AT3" s="220">
        <f t="shared" si="0"/>
        <v>44</v>
      </c>
      <c r="AU3" s="220">
        <f t="shared" si="0"/>
        <v>45</v>
      </c>
      <c r="AV3" s="220">
        <f t="shared" si="0"/>
        <v>46</v>
      </c>
      <c r="AW3" s="220">
        <f t="shared" si="0"/>
        <v>47</v>
      </c>
      <c r="AX3" s="220">
        <f t="shared" si="0"/>
        <v>48</v>
      </c>
      <c r="AY3" s="220">
        <f t="shared" si="0"/>
        <v>49</v>
      </c>
      <c r="AZ3" s="220">
        <f t="shared" si="0"/>
        <v>50</v>
      </c>
      <c r="BA3" s="220">
        <f t="shared" si="0"/>
        <v>51</v>
      </c>
      <c r="BB3" s="220">
        <f t="shared" si="0"/>
        <v>52</v>
      </c>
      <c r="BC3" s="220">
        <f t="shared" si="0"/>
        <v>53</v>
      </c>
      <c r="BD3" s="220">
        <f t="shared" si="0"/>
        <v>54</v>
      </c>
      <c r="BE3" s="220">
        <f t="shared" si="0"/>
        <v>55</v>
      </c>
      <c r="BF3" s="220">
        <f t="shared" si="0"/>
        <v>56</v>
      </c>
      <c r="BG3" s="220">
        <f t="shared" si="0"/>
        <v>57</v>
      </c>
      <c r="BH3" s="220">
        <f t="shared" si="0"/>
        <v>58</v>
      </c>
      <c r="BI3" s="220">
        <f t="shared" si="0"/>
        <v>59</v>
      </c>
      <c r="BJ3" s="220">
        <f t="shared" si="0"/>
        <v>60</v>
      </c>
      <c r="BK3" s="220">
        <f t="shared" si="0"/>
        <v>61</v>
      </c>
      <c r="CI3" s="218"/>
      <c r="CJ3" s="218"/>
      <c r="CK3" s="218"/>
      <c r="CL3" s="218"/>
      <c r="CM3" s="218"/>
      <c r="CN3" s="218"/>
      <c r="CO3" s="218"/>
      <c r="CP3" s="218"/>
      <c r="CQ3" s="218"/>
      <c r="CR3" s="218"/>
      <c r="CS3" s="218"/>
      <c r="CT3" s="218"/>
      <c r="CU3" s="218"/>
      <c r="CV3" s="218"/>
      <c r="CW3" s="218"/>
      <c r="CX3" s="218"/>
      <c r="CY3" s="218"/>
      <c r="CZ3" s="218"/>
      <c r="DA3" s="218"/>
      <c r="DB3" s="218"/>
      <c r="DC3" s="218"/>
      <c r="DD3" s="218"/>
      <c r="DE3" s="218"/>
      <c r="DF3" s="218"/>
      <c r="DG3" s="218"/>
      <c r="DH3" s="218"/>
      <c r="DI3" s="218"/>
      <c r="DJ3" s="218"/>
      <c r="DK3" s="218"/>
      <c r="DL3" s="218"/>
      <c r="DM3" s="218"/>
      <c r="DN3" s="218"/>
      <c r="DO3" s="218"/>
      <c r="DP3" s="218"/>
      <c r="DQ3" s="218"/>
      <c r="DR3" s="218"/>
      <c r="DS3" s="218"/>
      <c r="DT3" s="218"/>
      <c r="DU3" s="218"/>
      <c r="DV3" s="218"/>
      <c r="DW3" s="218"/>
      <c r="DX3" s="218"/>
      <c r="DY3" s="218"/>
      <c r="DZ3" s="218"/>
      <c r="EA3" s="218"/>
      <c r="EB3" s="218"/>
      <c r="EC3" s="218"/>
      <c r="ED3" s="218"/>
      <c r="EE3" s="218"/>
      <c r="EF3" s="218"/>
      <c r="EG3" s="218"/>
      <c r="EH3" s="218"/>
      <c r="EI3" s="218"/>
      <c r="EJ3" s="218"/>
      <c r="EK3" s="218"/>
      <c r="EL3" s="218"/>
      <c r="EM3" s="218"/>
      <c r="EN3" s="218"/>
      <c r="EO3" s="218"/>
      <c r="EP3" s="218"/>
      <c r="EQ3" s="218"/>
      <c r="ER3" s="218"/>
      <c r="ES3" s="218"/>
      <c r="ET3" s="218"/>
      <c r="EU3" s="218"/>
      <c r="EV3" s="218"/>
      <c r="EW3" s="218"/>
      <c r="EX3" s="218"/>
      <c r="EY3" s="218"/>
      <c r="EZ3" s="218"/>
      <c r="FA3" s="218"/>
      <c r="FB3" s="218"/>
      <c r="FC3" s="218"/>
      <c r="FD3" s="218"/>
      <c r="FE3" s="218"/>
      <c r="FF3" s="218"/>
      <c r="FG3" s="218"/>
      <c r="FH3" s="218"/>
      <c r="FI3" s="218"/>
      <c r="FJ3" s="218"/>
      <c r="FK3" s="218"/>
      <c r="FL3" s="218"/>
      <c r="FM3" s="218"/>
      <c r="FN3" s="218"/>
      <c r="FO3" s="218"/>
      <c r="FP3" s="218"/>
      <c r="FQ3" s="218"/>
      <c r="FR3" s="218"/>
      <c r="FS3" s="218"/>
      <c r="FT3" s="218"/>
      <c r="FU3" s="218"/>
      <c r="FV3" s="218"/>
      <c r="FW3" s="218"/>
      <c r="FX3" s="218"/>
      <c r="FY3" s="218"/>
      <c r="FZ3" s="218"/>
      <c r="GA3" s="218"/>
      <c r="GB3" s="218"/>
      <c r="GC3" s="218"/>
      <c r="GD3" s="218"/>
      <c r="GE3" s="218"/>
      <c r="GF3" s="218"/>
      <c r="GG3" s="218"/>
      <c r="GH3" s="218"/>
      <c r="GI3" s="218"/>
      <c r="GJ3" s="218"/>
      <c r="GK3" s="218"/>
      <c r="GL3" s="218"/>
      <c r="GM3" s="218"/>
      <c r="GN3" s="218"/>
      <c r="GO3" s="218"/>
      <c r="GP3" s="218"/>
      <c r="GQ3" s="218"/>
      <c r="GR3" s="218"/>
      <c r="GS3" s="218"/>
      <c r="GT3" s="218"/>
      <c r="GU3" s="218"/>
      <c r="GV3" s="218"/>
      <c r="GW3" s="218"/>
      <c r="GX3" s="218"/>
      <c r="GY3" s="218"/>
      <c r="GZ3" s="218"/>
      <c r="HA3" s="218"/>
      <c r="HB3" s="218"/>
      <c r="HC3" s="218"/>
      <c r="HD3" s="218"/>
      <c r="HE3" s="218"/>
      <c r="HF3" s="218"/>
      <c r="HG3" s="218"/>
      <c r="HH3" s="218"/>
      <c r="HI3" s="218"/>
      <c r="HJ3" s="218"/>
      <c r="HK3" s="218"/>
      <c r="HL3" s="218"/>
      <c r="HM3" s="218"/>
      <c r="HN3" s="218"/>
      <c r="HO3" s="218"/>
      <c r="HP3" s="218"/>
      <c r="HQ3" s="218"/>
      <c r="HR3" s="218"/>
      <c r="HS3" s="218"/>
      <c r="HT3" s="218"/>
      <c r="HU3" s="218"/>
      <c r="HV3" s="218"/>
      <c r="HW3" s="218"/>
      <c r="HX3" s="218"/>
      <c r="HY3" s="218"/>
      <c r="HZ3" s="218"/>
      <c r="IA3" s="218"/>
      <c r="IB3" s="218"/>
      <c r="IC3" s="218"/>
      <c r="ID3" s="218"/>
      <c r="IE3" s="218"/>
      <c r="IF3" s="218"/>
      <c r="IG3" s="218"/>
      <c r="IH3" s="218"/>
      <c r="II3" s="218"/>
      <c r="IJ3" s="218"/>
      <c r="IK3" s="218"/>
      <c r="IL3" s="218"/>
      <c r="IM3" s="218"/>
      <c r="IN3" s="218"/>
      <c r="IO3" s="218"/>
      <c r="IP3" s="218"/>
      <c r="IQ3" s="218"/>
      <c r="IR3" s="218"/>
      <c r="IS3" s="218"/>
      <c r="IT3" s="218"/>
      <c r="IU3" s="218"/>
      <c r="IV3" s="218"/>
      <c r="IW3" s="218"/>
    </row>
    <row r="4" spans="1:257" s="235" customFormat="1" ht="40.5" customHeight="1" thickTop="1" thickBot="1">
      <c r="A4" s="218"/>
      <c r="B4" s="221" t="s">
        <v>1149</v>
      </c>
      <c r="C4" s="222" t="s">
        <v>1150</v>
      </c>
      <c r="D4" s="222" t="s">
        <v>1151</v>
      </c>
      <c r="E4" s="222">
        <v>2125</v>
      </c>
      <c r="F4" s="222">
        <v>2165</v>
      </c>
      <c r="G4" s="223">
        <v>6003</v>
      </c>
      <c r="H4" s="224">
        <v>9900</v>
      </c>
      <c r="I4" s="223" t="s">
        <v>1152</v>
      </c>
      <c r="J4" s="225">
        <v>9022</v>
      </c>
      <c r="K4" s="225" t="s">
        <v>1153</v>
      </c>
      <c r="L4" s="225" t="s">
        <v>1154</v>
      </c>
      <c r="M4" s="225" t="s">
        <v>1155</v>
      </c>
      <c r="N4" s="225">
        <v>3749</v>
      </c>
      <c r="O4" s="225">
        <v>911</v>
      </c>
      <c r="P4" s="225" t="s">
        <v>1156</v>
      </c>
      <c r="Q4" s="222" t="s">
        <v>1157</v>
      </c>
      <c r="R4" s="222">
        <v>6485</v>
      </c>
      <c r="S4" s="225">
        <v>6491</v>
      </c>
      <c r="T4" s="225">
        <v>1404</v>
      </c>
      <c r="U4" s="225">
        <v>5243</v>
      </c>
      <c r="V4" s="226" t="s">
        <v>1022</v>
      </c>
      <c r="W4" s="226" t="s">
        <v>1158</v>
      </c>
      <c r="X4" s="226" t="s">
        <v>1159</v>
      </c>
      <c r="Y4" s="226" t="s">
        <v>1160</v>
      </c>
      <c r="Z4" s="226">
        <v>3002</v>
      </c>
      <c r="AA4" s="226">
        <v>696</v>
      </c>
      <c r="AB4" s="226">
        <v>3031</v>
      </c>
      <c r="AC4" s="226">
        <v>9665</v>
      </c>
      <c r="AD4" s="226" t="s">
        <v>1161</v>
      </c>
      <c r="AE4" s="226" t="s">
        <v>1162</v>
      </c>
      <c r="AF4" s="226">
        <v>559</v>
      </c>
      <c r="AG4" s="226" t="s">
        <v>1163</v>
      </c>
      <c r="AH4" s="226" t="s">
        <v>1164</v>
      </c>
      <c r="AI4" s="226" t="s">
        <v>1165</v>
      </c>
      <c r="AJ4" s="227">
        <v>9023</v>
      </c>
      <c r="AK4" s="227">
        <v>6900</v>
      </c>
      <c r="AL4" s="226">
        <v>8500</v>
      </c>
      <c r="AM4" s="226">
        <v>9436</v>
      </c>
      <c r="AN4" s="226">
        <v>7236</v>
      </c>
      <c r="AO4" s="226">
        <v>6493</v>
      </c>
      <c r="AP4" s="226" t="s">
        <v>1166</v>
      </c>
      <c r="AQ4" s="226">
        <v>9906</v>
      </c>
      <c r="AR4" s="226" t="s">
        <v>1167</v>
      </c>
      <c r="AS4" s="226">
        <v>9295</v>
      </c>
      <c r="AT4" s="226" t="s">
        <v>1168</v>
      </c>
      <c r="AU4" s="226">
        <v>6492</v>
      </c>
      <c r="AV4" s="226">
        <v>4408</v>
      </c>
      <c r="AW4" s="226" t="s">
        <v>1169</v>
      </c>
      <c r="AX4" s="226" t="s">
        <v>1170</v>
      </c>
      <c r="AY4" s="226">
        <v>40001</v>
      </c>
      <c r="AZ4" s="226">
        <v>247</v>
      </c>
      <c r="BA4" s="226">
        <v>2252</v>
      </c>
      <c r="BB4" s="226">
        <v>3035</v>
      </c>
      <c r="BC4" s="226">
        <v>6004</v>
      </c>
      <c r="BD4" s="226">
        <v>2402</v>
      </c>
      <c r="BE4" s="226">
        <v>6494</v>
      </c>
      <c r="BF4" s="226">
        <v>6486</v>
      </c>
      <c r="BG4" s="226">
        <v>6487</v>
      </c>
      <c r="BH4" s="226" t="s">
        <v>1171</v>
      </c>
      <c r="BI4" s="226" t="s">
        <v>1172</v>
      </c>
      <c r="BJ4" s="228">
        <v>6495</v>
      </c>
      <c r="BK4" s="228">
        <v>2209</v>
      </c>
      <c r="BL4" s="228">
        <v>161</v>
      </c>
      <c r="BM4" s="228">
        <v>6489</v>
      </c>
      <c r="BN4" s="228">
        <v>6396</v>
      </c>
      <c r="BO4" s="228">
        <v>174</v>
      </c>
      <c r="BP4" s="228">
        <v>175</v>
      </c>
      <c r="BQ4" s="228">
        <v>6490</v>
      </c>
      <c r="BR4" s="228">
        <v>6488</v>
      </c>
      <c r="BS4" s="228" t="s">
        <v>1173</v>
      </c>
      <c r="BT4" s="228">
        <v>5092</v>
      </c>
      <c r="BU4" s="228">
        <v>5120</v>
      </c>
      <c r="BV4" s="229" t="s">
        <v>1174</v>
      </c>
      <c r="BW4" s="228" t="s">
        <v>1175</v>
      </c>
      <c r="BX4" s="230">
        <v>245</v>
      </c>
      <c r="BY4" s="230" t="s">
        <v>1176</v>
      </c>
      <c r="BZ4" s="230">
        <v>9902</v>
      </c>
      <c r="CA4" s="230">
        <v>3880</v>
      </c>
      <c r="CB4" s="230">
        <v>5140</v>
      </c>
      <c r="CC4" s="230" t="s">
        <v>1177</v>
      </c>
      <c r="CD4" s="230">
        <v>8016</v>
      </c>
      <c r="CE4" s="230">
        <v>4001</v>
      </c>
      <c r="CF4" s="230">
        <v>3901</v>
      </c>
      <c r="CG4" s="230" t="s">
        <v>1178</v>
      </c>
      <c r="CH4" s="231">
        <v>6035</v>
      </c>
      <c r="CI4" s="232"/>
      <c r="CJ4" s="232"/>
      <c r="CK4" s="232"/>
      <c r="CL4" s="233"/>
      <c r="CM4" s="233"/>
      <c r="CN4" s="233"/>
      <c r="CO4" s="233"/>
      <c r="CP4" s="233"/>
      <c r="CQ4" s="233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18"/>
      <c r="DG4" s="218"/>
      <c r="DH4" s="218"/>
      <c r="DI4" s="218"/>
      <c r="DJ4" s="218"/>
      <c r="DK4" s="218"/>
      <c r="DL4" s="218"/>
      <c r="DM4" s="218"/>
      <c r="DN4" s="218"/>
      <c r="DO4" s="218"/>
      <c r="DP4" s="218"/>
      <c r="DQ4" s="218"/>
      <c r="DR4" s="218"/>
      <c r="DS4" s="218"/>
      <c r="DT4" s="218"/>
      <c r="DU4" s="218"/>
      <c r="DV4" s="218"/>
      <c r="DW4" s="218"/>
      <c r="DX4" s="218"/>
      <c r="DY4" s="218"/>
      <c r="DZ4" s="218"/>
      <c r="EA4" s="218"/>
      <c r="EB4" s="218"/>
      <c r="EC4" s="218"/>
      <c r="ED4" s="218"/>
      <c r="EE4" s="218"/>
      <c r="EF4" s="218"/>
      <c r="EG4" s="218"/>
      <c r="EH4" s="218"/>
      <c r="EI4" s="218"/>
      <c r="EJ4" s="218"/>
      <c r="EK4" s="218"/>
      <c r="EL4" s="218"/>
      <c r="EM4" s="218"/>
      <c r="EN4" s="218"/>
      <c r="EO4" s="218"/>
      <c r="EP4" s="218"/>
      <c r="EQ4" s="218"/>
      <c r="ER4" s="218"/>
      <c r="ES4" s="218"/>
      <c r="ET4" s="218"/>
      <c r="EU4" s="218"/>
      <c r="EV4" s="218"/>
      <c r="EW4" s="218"/>
      <c r="EX4" s="218"/>
      <c r="EY4" s="218"/>
      <c r="EZ4" s="218"/>
      <c r="FA4" s="218"/>
      <c r="FB4" s="218"/>
      <c r="FC4" s="218"/>
      <c r="FD4" s="218"/>
      <c r="FE4" s="218"/>
      <c r="FF4" s="218"/>
      <c r="FG4" s="218"/>
      <c r="FH4" s="218"/>
      <c r="FI4" s="218"/>
      <c r="FJ4" s="218"/>
      <c r="FK4" s="218"/>
      <c r="FL4" s="218"/>
      <c r="FM4" s="218"/>
      <c r="FN4" s="218"/>
      <c r="FO4" s="218"/>
      <c r="FP4" s="218"/>
      <c r="FQ4" s="218"/>
      <c r="FR4" s="218"/>
      <c r="FS4" s="218"/>
      <c r="FT4" s="218"/>
      <c r="FU4" s="218"/>
      <c r="FV4" s="218"/>
      <c r="FW4" s="218"/>
      <c r="FX4" s="218"/>
      <c r="FY4" s="218"/>
      <c r="FZ4" s="218"/>
      <c r="GA4" s="218"/>
      <c r="GB4" s="218"/>
      <c r="GC4" s="218"/>
      <c r="GD4" s="218"/>
      <c r="GE4" s="218"/>
      <c r="GF4" s="218"/>
      <c r="GG4" s="218"/>
      <c r="GH4" s="218"/>
      <c r="GI4" s="218"/>
      <c r="GJ4" s="218"/>
      <c r="GK4" s="218"/>
      <c r="GL4" s="218"/>
      <c r="GM4" s="218"/>
      <c r="GN4" s="218"/>
      <c r="GO4" s="218"/>
      <c r="GP4" s="218"/>
      <c r="GQ4" s="218"/>
      <c r="GR4" s="218"/>
      <c r="GS4" s="218"/>
      <c r="GT4" s="218"/>
      <c r="GU4" s="218"/>
      <c r="GV4" s="218"/>
      <c r="GW4" s="218"/>
      <c r="GX4" s="218"/>
      <c r="GY4" s="218"/>
      <c r="GZ4" s="218"/>
      <c r="HA4" s="218"/>
      <c r="HB4" s="218"/>
      <c r="HC4" s="218"/>
      <c r="HD4" s="218"/>
      <c r="HE4" s="218"/>
      <c r="HF4" s="218"/>
      <c r="HG4" s="218"/>
      <c r="HH4" s="218"/>
      <c r="HI4" s="218"/>
      <c r="HJ4" s="218"/>
      <c r="HK4" s="218"/>
      <c r="HL4" s="218"/>
      <c r="HM4" s="218"/>
      <c r="HN4" s="218"/>
      <c r="HO4" s="218"/>
      <c r="HP4" s="218"/>
      <c r="HQ4" s="218"/>
      <c r="HR4" s="218"/>
      <c r="HS4" s="218"/>
      <c r="HT4" s="218"/>
      <c r="HU4" s="218"/>
      <c r="HV4" s="218"/>
      <c r="HW4" s="218"/>
      <c r="HX4" s="218"/>
      <c r="HY4" s="218"/>
      <c r="HZ4" s="218"/>
      <c r="IA4" s="218"/>
      <c r="IB4" s="218"/>
      <c r="IC4" s="218"/>
      <c r="ID4" s="218"/>
      <c r="IE4" s="218"/>
      <c r="IF4" s="218"/>
      <c r="IG4" s="218"/>
      <c r="IH4" s="218"/>
      <c r="II4" s="218"/>
      <c r="IJ4" s="218"/>
      <c r="IK4" s="218"/>
      <c r="IL4" s="218"/>
      <c r="IM4" s="218"/>
      <c r="IN4" s="218"/>
      <c r="IO4" s="218"/>
      <c r="IP4" s="218"/>
      <c r="IQ4" s="218"/>
      <c r="IR4" s="218"/>
      <c r="IS4" s="218"/>
      <c r="IT4" s="218"/>
      <c r="IU4" s="218"/>
      <c r="IV4" s="218"/>
      <c r="IW4" s="218"/>
    </row>
    <row r="5" spans="1:257" s="236" customFormat="1" ht="31.5" customHeight="1" thickTop="1" thickBot="1">
      <c r="B5" s="237" t="s">
        <v>759</v>
      </c>
      <c r="C5" s="238" t="s">
        <v>1179</v>
      </c>
      <c r="D5" s="239" t="s">
        <v>1180</v>
      </c>
      <c r="E5" s="239" t="s">
        <v>1181</v>
      </c>
      <c r="F5" s="239" t="s">
        <v>1182</v>
      </c>
      <c r="G5" s="239" t="s">
        <v>1183</v>
      </c>
      <c r="H5" s="239" t="s">
        <v>1184</v>
      </c>
      <c r="I5" s="239"/>
      <c r="J5" s="239" t="s">
        <v>1185</v>
      </c>
      <c r="K5" s="239" t="s">
        <v>1186</v>
      </c>
      <c r="L5" s="239" t="s">
        <v>1187</v>
      </c>
      <c r="M5" s="239" t="s">
        <v>1188</v>
      </c>
      <c r="N5" s="239" t="s">
        <v>1189</v>
      </c>
      <c r="O5" s="239" t="s">
        <v>1190</v>
      </c>
      <c r="P5" s="239" t="s">
        <v>1191</v>
      </c>
      <c r="Q5" s="239"/>
      <c r="R5" s="239"/>
      <c r="S5" s="239"/>
      <c r="T5" s="239"/>
      <c r="U5" s="239"/>
      <c r="V5" s="239"/>
      <c r="W5" s="239" t="s">
        <v>1192</v>
      </c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 t="s">
        <v>1193</v>
      </c>
      <c r="AK5" s="239" t="s">
        <v>1194</v>
      </c>
      <c r="AL5" s="239"/>
      <c r="AM5" s="239"/>
      <c r="AN5" s="239"/>
      <c r="AO5" s="239"/>
      <c r="AP5" s="239"/>
      <c r="AQ5" s="239" t="s">
        <v>1195</v>
      </c>
      <c r="AR5" s="239"/>
      <c r="AS5" s="239"/>
      <c r="AT5" s="239"/>
      <c r="AU5" s="239"/>
      <c r="AV5" s="239" t="s">
        <v>1196</v>
      </c>
      <c r="AW5" s="239"/>
      <c r="AX5" s="239"/>
      <c r="AY5" s="239" t="s">
        <v>1197</v>
      </c>
      <c r="AZ5" s="239"/>
      <c r="BA5" s="239"/>
      <c r="BB5" s="239"/>
      <c r="BC5" s="239" t="s">
        <v>1198</v>
      </c>
      <c r="BD5" s="239" t="s">
        <v>1199</v>
      </c>
      <c r="BE5" s="239"/>
      <c r="BF5" s="239"/>
      <c r="BG5" s="239"/>
      <c r="BH5" s="239"/>
      <c r="BI5" s="239"/>
      <c r="BJ5" s="239"/>
      <c r="BK5" s="239"/>
      <c r="BL5" s="239"/>
      <c r="BM5" s="239"/>
      <c r="BN5" s="239"/>
      <c r="BO5" s="239"/>
      <c r="BP5" s="239"/>
      <c r="BQ5" s="239"/>
      <c r="BR5" s="239"/>
      <c r="BS5" s="239" t="s">
        <v>1200</v>
      </c>
      <c r="BT5" s="239" t="s">
        <v>1201</v>
      </c>
      <c r="BU5" s="239" t="s">
        <v>1202</v>
      </c>
      <c r="BV5" s="239" t="s">
        <v>1203</v>
      </c>
      <c r="BW5" s="239" t="s">
        <v>1204</v>
      </c>
      <c r="BX5" s="239">
        <v>245</v>
      </c>
      <c r="BY5" s="239" t="s">
        <v>1205</v>
      </c>
      <c r="BZ5" s="239" t="s">
        <v>1206</v>
      </c>
      <c r="CA5" s="239"/>
      <c r="CB5" s="239"/>
      <c r="CC5" s="239"/>
      <c r="CD5" s="239"/>
      <c r="CE5" s="239" t="s">
        <v>1207</v>
      </c>
      <c r="CF5" s="239" t="s">
        <v>1208</v>
      </c>
      <c r="CG5" s="239"/>
      <c r="CH5" s="240">
        <v>6036</v>
      </c>
      <c r="CI5" s="241"/>
      <c r="CJ5" s="241"/>
      <c r="CK5" s="241"/>
      <c r="CL5" s="242"/>
      <c r="CM5" s="242"/>
      <c r="CN5" s="242"/>
      <c r="CO5" s="242"/>
      <c r="CP5" s="242"/>
      <c r="CQ5" s="242"/>
      <c r="CR5" s="243"/>
      <c r="CS5" s="243"/>
      <c r="CT5" s="243"/>
      <c r="CU5" s="243"/>
      <c r="CV5" s="243"/>
      <c r="CW5" s="243"/>
      <c r="CX5" s="243"/>
      <c r="CY5" s="243"/>
      <c r="CZ5" s="243"/>
      <c r="DA5" s="243"/>
      <c r="DB5" s="243"/>
      <c r="DC5" s="243"/>
      <c r="DD5" s="243"/>
      <c r="DE5" s="243"/>
    </row>
    <row r="6" spans="1:257" s="236" customFormat="1" ht="31.5" customHeight="1" thickTop="1" thickBot="1">
      <c r="B6" s="244"/>
      <c r="C6" s="238">
        <v>250</v>
      </c>
      <c r="D6" s="239">
        <v>230</v>
      </c>
      <c r="E6" s="239">
        <v>12000</v>
      </c>
      <c r="F6" s="239">
        <v>12000</v>
      </c>
      <c r="G6" s="239">
        <v>160</v>
      </c>
      <c r="H6" s="239">
        <v>160</v>
      </c>
      <c r="I6" s="239"/>
      <c r="J6" s="239">
        <v>160</v>
      </c>
      <c r="K6" s="239">
        <v>160</v>
      </c>
      <c r="L6" s="239">
        <v>160</v>
      </c>
      <c r="M6" s="239">
        <v>160</v>
      </c>
      <c r="N6" s="239">
        <v>160</v>
      </c>
      <c r="O6" s="239">
        <v>160</v>
      </c>
      <c r="P6" s="239">
        <v>160</v>
      </c>
      <c r="Q6" s="239"/>
      <c r="R6" s="239"/>
      <c r="S6" s="239"/>
      <c r="T6" s="239"/>
      <c r="U6" s="239"/>
      <c r="V6" s="239"/>
      <c r="W6" s="239">
        <v>160</v>
      </c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>
        <v>160</v>
      </c>
      <c r="AK6" s="239">
        <v>160</v>
      </c>
      <c r="AL6" s="239"/>
      <c r="AM6" s="239"/>
      <c r="AN6" s="239"/>
      <c r="AO6" s="239"/>
      <c r="AP6" s="239"/>
      <c r="AQ6" s="239">
        <v>160</v>
      </c>
      <c r="AR6" s="239"/>
      <c r="AS6" s="239"/>
      <c r="AT6" s="239"/>
      <c r="AU6" s="239"/>
      <c r="AV6" s="239">
        <v>160</v>
      </c>
      <c r="AW6" s="239"/>
      <c r="AX6" s="239"/>
      <c r="AY6" s="239">
        <v>160</v>
      </c>
      <c r="AZ6" s="239"/>
      <c r="BA6" s="239"/>
      <c r="BB6" s="239"/>
      <c r="BC6" s="239">
        <v>160</v>
      </c>
      <c r="BD6" s="239">
        <v>160</v>
      </c>
      <c r="BE6" s="239"/>
      <c r="BF6" s="239"/>
      <c r="BG6" s="239"/>
      <c r="BH6" s="239"/>
      <c r="BI6" s="239"/>
      <c r="BJ6" s="239"/>
      <c r="BK6" s="239"/>
      <c r="BL6" s="239"/>
      <c r="BM6" s="239"/>
      <c r="BN6" s="239"/>
      <c r="BO6" s="239"/>
      <c r="BP6" s="239"/>
      <c r="BQ6" s="239"/>
      <c r="BR6" s="239"/>
      <c r="BS6" s="239">
        <v>160</v>
      </c>
      <c r="BT6" s="239">
        <v>160</v>
      </c>
      <c r="BU6" s="239">
        <v>160</v>
      </c>
      <c r="BV6" s="239">
        <v>160</v>
      </c>
      <c r="BW6" s="239">
        <v>140</v>
      </c>
      <c r="BX6" s="239">
        <v>220</v>
      </c>
      <c r="BY6" s="239">
        <v>140</v>
      </c>
      <c r="BZ6" s="239">
        <v>160</v>
      </c>
      <c r="CA6" s="239"/>
      <c r="CB6" s="239"/>
      <c r="CC6" s="239"/>
      <c r="CD6" s="239"/>
      <c r="CE6" s="239">
        <v>80</v>
      </c>
      <c r="CF6" s="239">
        <v>150</v>
      </c>
      <c r="CG6" s="239"/>
      <c r="CH6" s="240">
        <v>300</v>
      </c>
      <c r="CI6" s="241"/>
      <c r="CJ6" s="241"/>
      <c r="CK6" s="241"/>
      <c r="CL6" s="245"/>
      <c r="CM6" s="245"/>
      <c r="CN6" s="245"/>
      <c r="CO6" s="245"/>
      <c r="CP6" s="245"/>
      <c r="CQ6" s="245"/>
      <c r="CR6" s="246"/>
      <c r="CS6" s="246"/>
      <c r="CT6" s="246"/>
      <c r="CU6" s="246"/>
      <c r="CV6" s="246"/>
      <c r="CW6" s="246"/>
      <c r="CX6" s="246"/>
      <c r="CY6" s="246"/>
      <c r="CZ6" s="246"/>
      <c r="DA6" s="246"/>
      <c r="DB6" s="246"/>
      <c r="DC6" s="246"/>
      <c r="DD6" s="246"/>
      <c r="DE6" s="246"/>
    </row>
    <row r="7" spans="1:257" s="257" customFormat="1" ht="31.5" customHeight="1" thickTop="1" thickBot="1">
      <c r="A7" s="247"/>
      <c r="B7" s="248" t="s">
        <v>895</v>
      </c>
      <c r="C7" s="249" t="s">
        <v>1150</v>
      </c>
      <c r="D7" s="249" t="s">
        <v>1151</v>
      </c>
      <c r="E7" s="250">
        <v>2125</v>
      </c>
      <c r="F7" s="250">
        <v>2165</v>
      </c>
      <c r="G7" s="251">
        <v>6003</v>
      </c>
      <c r="H7" s="249">
        <v>9900</v>
      </c>
      <c r="I7" s="249" t="s">
        <v>1152</v>
      </c>
      <c r="J7" s="250">
        <v>9024</v>
      </c>
      <c r="K7" s="250" t="s">
        <v>1153</v>
      </c>
      <c r="L7" s="252" t="s">
        <v>1154</v>
      </c>
      <c r="M7" s="252" t="s">
        <v>1155</v>
      </c>
      <c r="N7" s="250">
        <v>3749</v>
      </c>
      <c r="O7" s="253">
        <v>911</v>
      </c>
      <c r="P7" s="249" t="s">
        <v>1156</v>
      </c>
      <c r="Q7" s="254" t="s">
        <v>1157</v>
      </c>
      <c r="R7" s="249">
        <v>6485</v>
      </c>
      <c r="S7" s="252">
        <v>6491</v>
      </c>
      <c r="T7" s="250">
        <v>1404</v>
      </c>
      <c r="U7" s="250">
        <v>5243</v>
      </c>
      <c r="V7" s="252" t="s">
        <v>1209</v>
      </c>
      <c r="W7" s="250" t="s">
        <v>1158</v>
      </c>
      <c r="X7" s="250" t="s">
        <v>1159</v>
      </c>
      <c r="Y7" s="250" t="s">
        <v>1160</v>
      </c>
      <c r="Z7" s="250">
        <v>3002</v>
      </c>
      <c r="AA7" s="252" t="s">
        <v>1210</v>
      </c>
      <c r="AB7" s="250">
        <v>3031</v>
      </c>
      <c r="AC7" s="250">
        <v>9665</v>
      </c>
      <c r="AD7" s="252" t="s">
        <v>1161</v>
      </c>
      <c r="AE7" s="250" t="s">
        <v>1211</v>
      </c>
      <c r="AF7" s="250">
        <v>559</v>
      </c>
      <c r="AG7" s="250" t="s">
        <v>1163</v>
      </c>
      <c r="AH7" s="250" t="s">
        <v>1164</v>
      </c>
      <c r="AI7" s="250" t="s">
        <v>1165</v>
      </c>
      <c r="AJ7" s="255">
        <v>9023</v>
      </c>
      <c r="AK7" s="255">
        <v>6900</v>
      </c>
      <c r="AL7" s="255">
        <v>8500</v>
      </c>
      <c r="AM7" s="250">
        <v>9436</v>
      </c>
      <c r="AN7" s="250" t="s">
        <v>1212</v>
      </c>
      <c r="AO7" s="250">
        <v>6493</v>
      </c>
      <c r="AP7" s="249" t="s">
        <v>1166</v>
      </c>
      <c r="AQ7" s="250">
        <v>9906</v>
      </c>
      <c r="AR7" s="250" t="s">
        <v>1167</v>
      </c>
      <c r="AS7" s="250">
        <v>9295</v>
      </c>
      <c r="AT7" s="250" t="s">
        <v>1168</v>
      </c>
      <c r="AU7" s="250">
        <v>6492</v>
      </c>
      <c r="AV7" s="250">
        <v>4408</v>
      </c>
      <c r="AW7" s="250" t="s">
        <v>1169</v>
      </c>
      <c r="AX7" s="255" t="s">
        <v>1170</v>
      </c>
      <c r="AY7" s="255">
        <v>40001</v>
      </c>
      <c r="AZ7" s="250">
        <v>247</v>
      </c>
      <c r="BA7" s="250">
        <v>2252</v>
      </c>
      <c r="BB7" s="250">
        <v>3035</v>
      </c>
      <c r="BC7" s="250">
        <v>6004</v>
      </c>
      <c r="BD7" s="250">
        <v>2402</v>
      </c>
      <c r="BE7" s="255">
        <v>6494</v>
      </c>
      <c r="BF7" s="255">
        <v>6486</v>
      </c>
      <c r="BG7" s="250">
        <v>6487</v>
      </c>
      <c r="BH7" s="250" t="s">
        <v>1171</v>
      </c>
      <c r="BI7" s="250" t="s">
        <v>1172</v>
      </c>
      <c r="BJ7" s="250">
        <v>6495</v>
      </c>
      <c r="BK7" s="250">
        <v>2209</v>
      </c>
      <c r="BL7" s="252">
        <v>161</v>
      </c>
      <c r="BM7" s="250">
        <v>6489</v>
      </c>
      <c r="BN7" s="250">
        <v>6396</v>
      </c>
      <c r="BO7" s="250">
        <v>174</v>
      </c>
      <c r="BP7" s="250">
        <v>175</v>
      </c>
      <c r="BQ7" s="250">
        <v>6490</v>
      </c>
      <c r="BR7" s="250">
        <v>6488</v>
      </c>
      <c r="BS7" s="250" t="s">
        <v>1173</v>
      </c>
      <c r="BT7" s="256">
        <v>5092</v>
      </c>
      <c r="BU7" s="250">
        <v>5120</v>
      </c>
      <c r="BV7" s="250">
        <v>6270</v>
      </c>
      <c r="BW7" s="250" t="s">
        <v>1175</v>
      </c>
      <c r="BX7" s="250">
        <v>52675</v>
      </c>
      <c r="BY7" s="250" t="s">
        <v>1176</v>
      </c>
      <c r="BZ7" s="250">
        <v>9902</v>
      </c>
      <c r="CA7" s="250">
        <v>3880</v>
      </c>
      <c r="CB7" s="250">
        <v>5140</v>
      </c>
      <c r="CC7" s="250">
        <v>4305</v>
      </c>
      <c r="CD7" s="250" t="s">
        <v>1213</v>
      </c>
      <c r="CE7" s="250">
        <v>4001</v>
      </c>
      <c r="CF7" s="250">
        <v>3901</v>
      </c>
      <c r="CG7" s="250" t="s">
        <v>1178</v>
      </c>
      <c r="CH7" s="256">
        <v>6035</v>
      </c>
      <c r="CI7" s="232"/>
      <c r="CJ7" s="232"/>
      <c r="CK7" s="232"/>
      <c r="CL7" s="233"/>
      <c r="CM7" s="233"/>
      <c r="CN7" s="233"/>
      <c r="CO7" s="233"/>
      <c r="CP7" s="233"/>
      <c r="CQ7" s="233"/>
      <c r="CR7" s="234"/>
      <c r="CS7" s="234"/>
      <c r="CT7" s="234"/>
      <c r="CU7" s="234"/>
      <c r="CV7" s="234"/>
      <c r="CW7" s="234"/>
      <c r="CX7" s="234"/>
      <c r="CY7" s="234"/>
      <c r="CZ7" s="234"/>
      <c r="DA7" s="234"/>
      <c r="DB7" s="234"/>
      <c r="DC7" s="234"/>
      <c r="DD7" s="234"/>
      <c r="DE7" s="234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</row>
    <row r="8" spans="1:257" s="262" customFormat="1" ht="31.5" customHeight="1" thickTop="1" thickBot="1">
      <c r="A8" s="218"/>
      <c r="B8" s="258"/>
      <c r="C8" s="250">
        <v>400</v>
      </c>
      <c r="D8" s="250">
        <v>400</v>
      </c>
      <c r="E8" s="250">
        <v>15000</v>
      </c>
      <c r="F8" s="250">
        <v>4250</v>
      </c>
      <c r="G8" s="259">
        <v>85</v>
      </c>
      <c r="H8" s="250">
        <v>85</v>
      </c>
      <c r="I8" s="250">
        <v>350</v>
      </c>
      <c r="J8" s="250">
        <v>80</v>
      </c>
      <c r="K8" s="250">
        <v>100</v>
      </c>
      <c r="L8" s="250">
        <v>50</v>
      </c>
      <c r="M8" s="250">
        <v>160</v>
      </c>
      <c r="N8" s="250">
        <v>150</v>
      </c>
      <c r="O8" s="250">
        <v>8500</v>
      </c>
      <c r="P8" s="250">
        <v>500</v>
      </c>
      <c r="Q8" s="250">
        <v>400</v>
      </c>
      <c r="R8" s="250">
        <v>400</v>
      </c>
      <c r="S8" s="250">
        <v>400</v>
      </c>
      <c r="T8" s="250">
        <v>1000</v>
      </c>
      <c r="U8" s="250">
        <v>620</v>
      </c>
      <c r="V8" s="250">
        <v>450</v>
      </c>
      <c r="W8" s="250">
        <v>90</v>
      </c>
      <c r="X8" s="250">
        <v>300</v>
      </c>
      <c r="Y8" s="250">
        <v>300</v>
      </c>
      <c r="Z8" s="250">
        <v>500</v>
      </c>
      <c r="AA8" s="250">
        <v>930</v>
      </c>
      <c r="AB8" s="250">
        <v>500</v>
      </c>
      <c r="AC8" s="250">
        <v>400</v>
      </c>
      <c r="AD8" s="250">
        <v>500</v>
      </c>
      <c r="AE8" s="250">
        <v>850</v>
      </c>
      <c r="AF8" s="250">
        <v>300</v>
      </c>
      <c r="AG8" s="250">
        <v>320</v>
      </c>
      <c r="AH8" s="250">
        <v>250</v>
      </c>
      <c r="AI8" s="250">
        <v>250</v>
      </c>
      <c r="AJ8" s="255">
        <v>80</v>
      </c>
      <c r="AK8" s="255">
        <v>85</v>
      </c>
      <c r="AL8" s="255">
        <v>330</v>
      </c>
      <c r="AM8" s="250">
        <v>450</v>
      </c>
      <c r="AN8" s="250">
        <v>1000</v>
      </c>
      <c r="AO8" s="250">
        <v>400</v>
      </c>
      <c r="AP8" s="250">
        <v>1500</v>
      </c>
      <c r="AQ8" s="250">
        <v>75</v>
      </c>
      <c r="AR8" s="250">
        <v>280</v>
      </c>
      <c r="AS8" s="250">
        <v>1400</v>
      </c>
      <c r="AT8" s="250">
        <v>40</v>
      </c>
      <c r="AU8" s="250">
        <v>400</v>
      </c>
      <c r="AV8" s="250">
        <v>500</v>
      </c>
      <c r="AW8" s="250">
        <v>900</v>
      </c>
      <c r="AX8" s="255">
        <v>450</v>
      </c>
      <c r="AY8" s="255">
        <v>75</v>
      </c>
      <c r="AZ8" s="250">
        <v>250</v>
      </c>
      <c r="BA8" s="250">
        <v>520</v>
      </c>
      <c r="BB8" s="250">
        <v>520</v>
      </c>
      <c r="BC8" s="250">
        <v>85</v>
      </c>
      <c r="BD8" s="250">
        <v>85</v>
      </c>
      <c r="BE8" s="255">
        <v>400</v>
      </c>
      <c r="BF8" s="255">
        <v>300</v>
      </c>
      <c r="BG8" s="250">
        <v>300</v>
      </c>
      <c r="BH8" s="250">
        <v>350</v>
      </c>
      <c r="BI8" s="250">
        <v>450</v>
      </c>
      <c r="BJ8" s="250">
        <v>400</v>
      </c>
      <c r="BK8" s="250">
        <v>8500</v>
      </c>
      <c r="BL8" s="250">
        <v>170</v>
      </c>
      <c r="BM8" s="250">
        <v>400</v>
      </c>
      <c r="BN8" s="250">
        <v>400</v>
      </c>
      <c r="BO8" s="250">
        <v>300</v>
      </c>
      <c r="BP8" s="250">
        <v>290</v>
      </c>
      <c r="BQ8" s="250">
        <v>260</v>
      </c>
      <c r="BR8" s="250">
        <v>250</v>
      </c>
      <c r="BS8" s="250">
        <v>80</v>
      </c>
      <c r="BT8" s="256">
        <v>1000</v>
      </c>
      <c r="BU8" s="250">
        <v>90</v>
      </c>
      <c r="BV8" s="250">
        <v>2500</v>
      </c>
      <c r="BW8" s="250">
        <v>400</v>
      </c>
      <c r="BX8" s="250">
        <v>100</v>
      </c>
      <c r="BY8" s="250">
        <v>100</v>
      </c>
      <c r="BZ8" s="250">
        <v>85</v>
      </c>
      <c r="CA8" s="250">
        <v>2500</v>
      </c>
      <c r="CB8" s="250">
        <v>90</v>
      </c>
      <c r="CC8" s="250">
        <v>85</v>
      </c>
      <c r="CD8" s="250">
        <v>160</v>
      </c>
      <c r="CE8" s="250">
        <v>80</v>
      </c>
      <c r="CF8" s="250">
        <v>80</v>
      </c>
      <c r="CG8" s="250">
        <v>100</v>
      </c>
      <c r="CH8" s="256">
        <v>100</v>
      </c>
      <c r="CI8" s="232"/>
      <c r="CJ8" s="232"/>
      <c r="CK8" s="232"/>
      <c r="CL8" s="260"/>
      <c r="CM8" s="260"/>
      <c r="CN8" s="260"/>
      <c r="CO8" s="260"/>
      <c r="CP8" s="260"/>
      <c r="CQ8" s="260"/>
      <c r="CR8" s="261"/>
      <c r="CS8" s="261"/>
      <c r="CT8" s="261"/>
      <c r="CU8" s="261"/>
      <c r="CV8" s="261"/>
      <c r="CW8" s="261"/>
      <c r="CX8" s="261"/>
      <c r="CY8" s="261"/>
      <c r="CZ8" s="261"/>
      <c r="DA8" s="261"/>
      <c r="DB8" s="261"/>
      <c r="DC8" s="261"/>
      <c r="DD8" s="261"/>
      <c r="DE8" s="261"/>
      <c r="DF8" s="218"/>
      <c r="DG8" s="218"/>
      <c r="DH8" s="218"/>
      <c r="DI8" s="218"/>
      <c r="DJ8" s="218"/>
      <c r="DK8" s="218"/>
      <c r="DL8" s="218"/>
      <c r="DM8" s="218"/>
      <c r="DN8" s="218"/>
      <c r="DO8" s="218"/>
      <c r="DP8" s="218"/>
      <c r="DQ8" s="218"/>
      <c r="DR8" s="218"/>
      <c r="DS8" s="218"/>
      <c r="DT8" s="218"/>
      <c r="DU8" s="218"/>
      <c r="DV8" s="218"/>
      <c r="DW8" s="218"/>
      <c r="DX8" s="218"/>
      <c r="DY8" s="218"/>
      <c r="DZ8" s="218"/>
      <c r="EA8" s="218"/>
      <c r="EB8" s="218"/>
      <c r="EC8" s="218"/>
      <c r="ED8" s="218"/>
      <c r="EE8" s="218"/>
      <c r="EF8" s="218"/>
      <c r="EG8" s="218"/>
      <c r="EH8" s="218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8"/>
      <c r="EZ8" s="218"/>
      <c r="FA8" s="218"/>
      <c r="FB8" s="218"/>
      <c r="FC8" s="218"/>
      <c r="FD8" s="218"/>
      <c r="FE8" s="218"/>
      <c r="FF8" s="218"/>
      <c r="FG8" s="218"/>
      <c r="FH8" s="218"/>
      <c r="FI8" s="218"/>
      <c r="FJ8" s="218"/>
      <c r="FK8" s="218"/>
      <c r="FL8" s="218"/>
      <c r="FM8" s="218"/>
      <c r="FN8" s="218"/>
      <c r="FO8" s="218"/>
      <c r="FP8" s="218"/>
      <c r="FQ8" s="218"/>
      <c r="FR8" s="218"/>
      <c r="FS8" s="218"/>
      <c r="FT8" s="218"/>
      <c r="FU8" s="218"/>
      <c r="FV8" s="218"/>
      <c r="FW8" s="218"/>
      <c r="FX8" s="218"/>
      <c r="FY8" s="218"/>
      <c r="FZ8" s="218"/>
      <c r="GA8" s="218"/>
      <c r="GB8" s="218"/>
      <c r="GC8" s="218"/>
      <c r="GD8" s="218"/>
      <c r="GE8" s="218"/>
      <c r="GF8" s="218"/>
      <c r="GG8" s="218"/>
      <c r="GH8" s="218"/>
      <c r="GI8" s="218"/>
      <c r="GJ8" s="218"/>
      <c r="GK8" s="218"/>
      <c r="GL8" s="218"/>
      <c r="GM8" s="218"/>
      <c r="GN8" s="218"/>
      <c r="GO8" s="218"/>
      <c r="GP8" s="218"/>
      <c r="GQ8" s="218"/>
      <c r="GR8" s="218"/>
      <c r="GS8" s="218"/>
      <c r="GT8" s="218"/>
      <c r="GU8" s="218"/>
      <c r="GV8" s="218"/>
      <c r="GW8" s="218"/>
      <c r="GX8" s="218"/>
      <c r="GY8" s="218"/>
      <c r="GZ8" s="218"/>
      <c r="HA8" s="218"/>
      <c r="HB8" s="218"/>
      <c r="HC8" s="218"/>
      <c r="HD8" s="218"/>
      <c r="HE8" s="218"/>
      <c r="HF8" s="218"/>
      <c r="HG8" s="218"/>
      <c r="HH8" s="218"/>
      <c r="HI8" s="218"/>
      <c r="HJ8" s="218"/>
      <c r="HK8" s="218"/>
      <c r="HL8" s="218"/>
      <c r="HM8" s="218"/>
      <c r="HN8" s="218"/>
      <c r="HO8" s="218"/>
      <c r="HP8" s="218"/>
      <c r="HQ8" s="218"/>
      <c r="HR8" s="218"/>
      <c r="HS8" s="218"/>
      <c r="HT8" s="218"/>
      <c r="HU8" s="218"/>
      <c r="HV8" s="218"/>
      <c r="HW8" s="218"/>
      <c r="HX8" s="218"/>
      <c r="HY8" s="218"/>
      <c r="HZ8" s="218"/>
      <c r="IA8" s="218"/>
      <c r="IB8" s="218"/>
      <c r="IC8" s="218"/>
      <c r="ID8" s="218"/>
      <c r="IE8" s="218"/>
      <c r="IF8" s="218"/>
      <c r="IG8" s="218"/>
      <c r="IH8" s="218"/>
      <c r="II8" s="218"/>
      <c r="IJ8" s="218"/>
      <c r="IK8" s="218"/>
      <c r="IL8" s="218"/>
      <c r="IM8" s="218"/>
      <c r="IN8" s="218"/>
      <c r="IO8" s="218"/>
      <c r="IP8" s="218"/>
      <c r="IQ8" s="218"/>
      <c r="IR8" s="218"/>
      <c r="IS8" s="218"/>
      <c r="IT8" s="218"/>
      <c r="IU8" s="218"/>
      <c r="IV8" s="218"/>
      <c r="IW8" s="218"/>
    </row>
    <row r="9" spans="1:257" s="269" customFormat="1" ht="31.5" customHeight="1" thickTop="1" thickBot="1">
      <c r="A9" s="218"/>
      <c r="B9" s="263" t="s">
        <v>1214</v>
      </c>
      <c r="C9" s="264"/>
      <c r="D9" s="265"/>
      <c r="E9" s="265" t="s">
        <v>1215</v>
      </c>
      <c r="F9" s="265" t="s">
        <v>1216</v>
      </c>
      <c r="G9" s="265">
        <v>9500</v>
      </c>
      <c r="H9" s="265">
        <v>6044</v>
      </c>
      <c r="I9" s="265">
        <v>9300</v>
      </c>
      <c r="J9" s="265">
        <v>80000</v>
      </c>
      <c r="K9" s="265" t="s">
        <v>1217</v>
      </c>
      <c r="L9" s="252" t="s">
        <v>1218</v>
      </c>
      <c r="M9" s="265" t="s">
        <v>1219</v>
      </c>
      <c r="N9" s="265"/>
      <c r="O9" s="265"/>
      <c r="P9" s="265">
        <v>6100</v>
      </c>
      <c r="Q9" s="265">
        <v>1090</v>
      </c>
      <c r="R9" s="265">
        <v>5150</v>
      </c>
      <c r="S9" s="265" t="s">
        <v>1220</v>
      </c>
      <c r="T9" s="265"/>
      <c r="U9" s="265" t="s">
        <v>1221</v>
      </c>
      <c r="V9" s="265"/>
      <c r="W9" s="265">
        <v>8200</v>
      </c>
      <c r="X9" s="265">
        <v>1400</v>
      </c>
      <c r="Y9" s="265"/>
      <c r="Z9" s="265"/>
      <c r="AA9" s="265" t="s">
        <v>1222</v>
      </c>
      <c r="AB9" s="265" t="s">
        <v>1223</v>
      </c>
      <c r="AC9" s="265"/>
      <c r="AD9" s="265"/>
      <c r="AE9" s="266"/>
      <c r="AF9" s="266"/>
      <c r="AG9" s="265"/>
      <c r="AH9" s="265"/>
      <c r="AI9" s="265"/>
      <c r="AJ9" s="265"/>
      <c r="AK9" s="265"/>
      <c r="AL9" s="265"/>
      <c r="AM9" s="265"/>
      <c r="AN9" s="265"/>
      <c r="AO9" s="265" t="s">
        <v>1224</v>
      </c>
      <c r="AP9" s="265"/>
      <c r="AQ9" s="266"/>
      <c r="AR9" s="266"/>
      <c r="AS9" s="265"/>
      <c r="AT9" s="265"/>
      <c r="AU9" s="265" t="s">
        <v>1225</v>
      </c>
      <c r="AV9" s="265"/>
      <c r="AW9" s="265"/>
      <c r="AX9" s="265"/>
      <c r="AY9" s="266"/>
      <c r="AZ9" s="265"/>
      <c r="BA9" s="265" t="s">
        <v>1226</v>
      </c>
      <c r="BB9" s="265" t="s">
        <v>1227</v>
      </c>
      <c r="BC9" s="265"/>
      <c r="BD9" s="265"/>
      <c r="BE9" s="265" t="s">
        <v>1228</v>
      </c>
      <c r="BF9" s="266" t="s">
        <v>1229</v>
      </c>
      <c r="BG9" s="266" t="s">
        <v>1230</v>
      </c>
      <c r="BH9" s="266"/>
      <c r="BI9" s="266" t="s">
        <v>1231</v>
      </c>
      <c r="BJ9" s="266" t="s">
        <v>1232</v>
      </c>
      <c r="BK9" s="266" t="s">
        <v>1233</v>
      </c>
      <c r="BL9" s="265"/>
      <c r="BM9" s="265" t="s">
        <v>1234</v>
      </c>
      <c r="BN9" s="265" t="s">
        <v>1235</v>
      </c>
      <c r="BO9" s="265" t="s">
        <v>1236</v>
      </c>
      <c r="BP9" s="265" t="s">
        <v>1237</v>
      </c>
      <c r="BQ9" s="265" t="s">
        <v>1238</v>
      </c>
      <c r="BR9" s="265" t="s">
        <v>1239</v>
      </c>
      <c r="BS9" s="265"/>
      <c r="BT9" s="265">
        <v>6000</v>
      </c>
      <c r="BU9" s="265"/>
      <c r="BV9" s="265">
        <v>4100</v>
      </c>
      <c r="BW9" s="267">
        <v>5800</v>
      </c>
      <c r="BX9" s="265">
        <v>234</v>
      </c>
      <c r="BY9" s="265">
        <v>5600</v>
      </c>
      <c r="BZ9" s="265"/>
      <c r="CA9" s="265"/>
      <c r="CB9" s="265"/>
      <c r="CC9" s="265"/>
      <c r="CD9" s="265"/>
      <c r="CE9" s="265"/>
      <c r="CF9" s="265"/>
      <c r="CG9" s="265"/>
      <c r="CH9" s="268"/>
      <c r="CI9" s="232"/>
      <c r="CJ9" s="232"/>
      <c r="CK9" s="232"/>
      <c r="CL9" s="260"/>
      <c r="CM9" s="260"/>
      <c r="CN9" s="260"/>
      <c r="CO9" s="260"/>
      <c r="CP9" s="260"/>
      <c r="CQ9" s="260"/>
      <c r="CR9" s="261"/>
      <c r="CS9" s="261"/>
      <c r="CT9" s="261"/>
      <c r="CU9" s="261"/>
      <c r="CV9" s="261"/>
      <c r="CW9" s="261"/>
      <c r="CX9" s="261"/>
      <c r="CY9" s="261"/>
      <c r="CZ9" s="261"/>
      <c r="DA9" s="261"/>
      <c r="DB9" s="261"/>
      <c r="DC9" s="261"/>
      <c r="DD9" s="261"/>
      <c r="DE9" s="261"/>
      <c r="DF9" s="218"/>
      <c r="DG9" s="218"/>
      <c r="DH9" s="218"/>
      <c r="DI9" s="218"/>
      <c r="DJ9" s="218"/>
      <c r="DK9" s="218"/>
      <c r="DL9" s="218"/>
      <c r="DM9" s="218"/>
      <c r="DN9" s="218"/>
      <c r="DO9" s="218"/>
      <c r="DP9" s="218"/>
      <c r="DQ9" s="218"/>
      <c r="DR9" s="218"/>
      <c r="DS9" s="218"/>
      <c r="DT9" s="218"/>
      <c r="DU9" s="218"/>
      <c r="DV9" s="218"/>
      <c r="DW9" s="218"/>
      <c r="DX9" s="218"/>
      <c r="DY9" s="218"/>
      <c r="DZ9" s="218"/>
      <c r="EA9" s="218"/>
      <c r="EB9" s="218"/>
      <c r="EC9" s="218"/>
      <c r="ED9" s="218"/>
      <c r="EE9" s="218"/>
      <c r="EF9" s="218"/>
      <c r="EG9" s="218"/>
      <c r="EH9" s="218"/>
      <c r="EI9" s="218"/>
      <c r="EJ9" s="218"/>
      <c r="EK9" s="218"/>
      <c r="EL9" s="218"/>
      <c r="EM9" s="218"/>
      <c r="EN9" s="218"/>
      <c r="EO9" s="218"/>
      <c r="EP9" s="218"/>
      <c r="EQ9" s="218"/>
      <c r="ER9" s="218"/>
      <c r="ES9" s="218"/>
      <c r="ET9" s="218"/>
      <c r="EU9" s="218"/>
      <c r="EV9" s="218"/>
      <c r="EW9" s="218"/>
      <c r="EX9" s="218"/>
      <c r="EY9" s="218"/>
      <c r="EZ9" s="218"/>
      <c r="FA9" s="218"/>
      <c r="FB9" s="218"/>
      <c r="FC9" s="218"/>
      <c r="FD9" s="218"/>
      <c r="FE9" s="218"/>
      <c r="FF9" s="218"/>
      <c r="FG9" s="218"/>
      <c r="FH9" s="218"/>
      <c r="FI9" s="218"/>
      <c r="FJ9" s="218"/>
      <c r="FK9" s="218"/>
      <c r="FL9" s="218"/>
      <c r="FM9" s="218"/>
      <c r="FN9" s="218"/>
      <c r="FO9" s="218"/>
      <c r="FP9" s="218"/>
      <c r="FQ9" s="218"/>
      <c r="FR9" s="218"/>
      <c r="FS9" s="218"/>
      <c r="FT9" s="218"/>
      <c r="FU9" s="218"/>
      <c r="FV9" s="218"/>
      <c r="FW9" s="218"/>
      <c r="FX9" s="218"/>
      <c r="FY9" s="218"/>
      <c r="FZ9" s="218"/>
      <c r="GA9" s="218"/>
      <c r="GB9" s="218"/>
      <c r="GC9" s="218"/>
      <c r="GD9" s="218"/>
      <c r="GE9" s="218"/>
      <c r="GF9" s="218"/>
      <c r="GG9" s="218"/>
      <c r="GH9" s="218"/>
      <c r="GI9" s="218"/>
      <c r="GJ9" s="218"/>
      <c r="GK9" s="218"/>
      <c r="GL9" s="218"/>
      <c r="GM9" s="218"/>
      <c r="GN9" s="218"/>
      <c r="GO9" s="218"/>
      <c r="GP9" s="218"/>
      <c r="GQ9" s="218"/>
      <c r="GR9" s="218"/>
      <c r="GS9" s="218"/>
      <c r="GT9" s="218"/>
      <c r="GU9" s="218"/>
      <c r="GV9" s="218"/>
      <c r="GW9" s="218"/>
      <c r="GX9" s="218"/>
      <c r="GY9" s="218"/>
      <c r="GZ9" s="218"/>
      <c r="HA9" s="218"/>
      <c r="HB9" s="218"/>
      <c r="HC9" s="218"/>
      <c r="HD9" s="218"/>
      <c r="HE9" s="218"/>
      <c r="HF9" s="218"/>
      <c r="HG9" s="218"/>
      <c r="HH9" s="218"/>
      <c r="HI9" s="218"/>
      <c r="HJ9" s="218"/>
      <c r="HK9" s="218"/>
      <c r="HL9" s="218"/>
      <c r="HM9" s="218"/>
      <c r="HN9" s="218"/>
      <c r="HO9" s="218"/>
      <c r="HP9" s="218"/>
      <c r="HQ9" s="218"/>
      <c r="HR9" s="218"/>
      <c r="HS9" s="218"/>
      <c r="HT9" s="218"/>
      <c r="HU9" s="218"/>
      <c r="HV9" s="218"/>
      <c r="HW9" s="218"/>
      <c r="HX9" s="218"/>
      <c r="HY9" s="218"/>
      <c r="HZ9" s="218"/>
      <c r="IA9" s="218"/>
      <c r="IB9" s="218"/>
      <c r="IC9" s="218"/>
      <c r="ID9" s="218"/>
      <c r="IE9" s="218"/>
      <c r="IF9" s="218"/>
      <c r="IG9" s="218"/>
      <c r="IH9" s="218"/>
      <c r="II9" s="218"/>
      <c r="IJ9" s="218"/>
      <c r="IK9" s="218"/>
      <c r="IL9" s="218"/>
      <c r="IM9" s="218"/>
      <c r="IN9" s="218"/>
      <c r="IO9" s="218"/>
      <c r="IP9" s="218"/>
      <c r="IQ9" s="218"/>
      <c r="IR9" s="218"/>
      <c r="IS9" s="218"/>
      <c r="IT9" s="218"/>
      <c r="IU9" s="218"/>
      <c r="IV9" s="218"/>
      <c r="IW9" s="218"/>
    </row>
    <row r="10" spans="1:257" s="269" customFormat="1" ht="31.5" customHeight="1" thickTop="1" thickBot="1">
      <c r="A10" s="218"/>
      <c r="B10" s="270"/>
      <c r="C10" s="264"/>
      <c r="D10" s="265"/>
      <c r="E10" s="265">
        <v>14000</v>
      </c>
      <c r="F10" s="265">
        <v>350</v>
      </c>
      <c r="G10" s="265">
        <v>60</v>
      </c>
      <c r="H10" s="265">
        <v>2000</v>
      </c>
      <c r="I10" s="265">
        <v>80</v>
      </c>
      <c r="J10" s="265">
        <v>60</v>
      </c>
      <c r="K10" s="265">
        <v>80</v>
      </c>
      <c r="L10" s="250">
        <v>50</v>
      </c>
      <c r="M10" s="265">
        <v>300</v>
      </c>
      <c r="N10" s="265"/>
      <c r="O10" s="265"/>
      <c r="P10" s="265">
        <v>60</v>
      </c>
      <c r="Q10" s="265">
        <v>2000</v>
      </c>
      <c r="R10" s="265">
        <v>90</v>
      </c>
      <c r="S10" s="265">
        <v>650</v>
      </c>
      <c r="T10" s="265"/>
      <c r="U10" s="265">
        <v>1000</v>
      </c>
      <c r="V10" s="265"/>
      <c r="W10" s="265">
        <v>80</v>
      </c>
      <c r="X10" s="265">
        <v>1000</v>
      </c>
      <c r="Y10" s="265"/>
      <c r="Z10" s="265"/>
      <c r="AA10" s="265">
        <v>1500</v>
      </c>
      <c r="AB10" s="265">
        <v>600</v>
      </c>
      <c r="AC10" s="265"/>
      <c r="AD10" s="265"/>
      <c r="AE10" s="266"/>
      <c r="AF10" s="266"/>
      <c r="AG10" s="265"/>
      <c r="AH10" s="265"/>
      <c r="AI10" s="265"/>
      <c r="AJ10" s="265"/>
      <c r="AK10" s="265"/>
      <c r="AL10" s="265"/>
      <c r="AM10" s="265"/>
      <c r="AN10" s="265"/>
      <c r="AO10" s="265">
        <v>650</v>
      </c>
      <c r="AP10" s="265"/>
      <c r="AQ10" s="266"/>
      <c r="AR10" s="266"/>
      <c r="AS10" s="265"/>
      <c r="AT10" s="265"/>
      <c r="AU10" s="265">
        <v>650</v>
      </c>
      <c r="AV10" s="265"/>
      <c r="AW10" s="265"/>
      <c r="AX10" s="265"/>
      <c r="AY10" s="266"/>
      <c r="AZ10" s="265"/>
      <c r="BA10" s="265">
        <v>900</v>
      </c>
      <c r="BB10" s="265">
        <v>900</v>
      </c>
      <c r="BC10" s="265"/>
      <c r="BD10" s="265"/>
      <c r="BE10" s="265">
        <v>650</v>
      </c>
      <c r="BF10" s="266">
        <v>700</v>
      </c>
      <c r="BG10" s="266">
        <v>500</v>
      </c>
      <c r="BH10" s="266"/>
      <c r="BI10" s="266">
        <v>1000</v>
      </c>
      <c r="BJ10" s="266">
        <v>650</v>
      </c>
      <c r="BK10" s="266">
        <v>10000</v>
      </c>
      <c r="BL10" s="265"/>
      <c r="BM10" s="265">
        <v>500</v>
      </c>
      <c r="BN10" s="265">
        <v>700</v>
      </c>
      <c r="BO10" s="265">
        <v>800</v>
      </c>
      <c r="BP10" s="265">
        <v>700</v>
      </c>
      <c r="BQ10" s="265">
        <v>450</v>
      </c>
      <c r="BR10" s="265">
        <v>450</v>
      </c>
      <c r="BS10" s="265"/>
      <c r="BT10" s="265">
        <v>80</v>
      </c>
      <c r="BU10" s="265"/>
      <c r="BV10" s="265">
        <v>80</v>
      </c>
      <c r="BW10" s="265">
        <v>80</v>
      </c>
      <c r="BX10" s="265">
        <v>220</v>
      </c>
      <c r="BY10" s="265">
        <v>80</v>
      </c>
      <c r="BZ10" s="265"/>
      <c r="CA10" s="265"/>
      <c r="CB10" s="265"/>
      <c r="CC10" s="265"/>
      <c r="CD10" s="265"/>
      <c r="CE10" s="265"/>
      <c r="CF10" s="265"/>
      <c r="CG10" s="265"/>
      <c r="CH10" s="268"/>
      <c r="CI10" s="232"/>
      <c r="CJ10" s="232"/>
      <c r="CK10" s="232"/>
      <c r="CL10" s="233"/>
      <c r="CM10" s="233"/>
      <c r="CN10" s="233"/>
      <c r="CO10" s="233"/>
      <c r="CP10" s="233"/>
      <c r="CQ10" s="233"/>
      <c r="CR10" s="234"/>
      <c r="CS10" s="234"/>
      <c r="CT10" s="234"/>
      <c r="CU10" s="234"/>
      <c r="CV10" s="234"/>
      <c r="CW10" s="234"/>
      <c r="CX10" s="234"/>
      <c r="CY10" s="234"/>
      <c r="CZ10" s="234"/>
      <c r="DA10" s="234"/>
      <c r="DB10" s="234"/>
      <c r="DC10" s="234"/>
      <c r="DD10" s="234"/>
      <c r="DE10" s="234"/>
      <c r="DF10" s="218"/>
      <c r="DG10" s="218"/>
      <c r="DH10" s="218"/>
      <c r="DI10" s="218"/>
      <c r="DJ10" s="218"/>
      <c r="DK10" s="218"/>
      <c r="DL10" s="218"/>
      <c r="DM10" s="218"/>
      <c r="DN10" s="218"/>
      <c r="DO10" s="218"/>
      <c r="DP10" s="218"/>
      <c r="DQ10" s="218"/>
      <c r="DR10" s="218"/>
      <c r="DS10" s="218"/>
      <c r="DT10" s="218"/>
      <c r="DU10" s="218"/>
      <c r="DV10" s="218"/>
      <c r="DW10" s="218"/>
      <c r="DX10" s="218"/>
      <c r="DY10" s="218"/>
      <c r="DZ10" s="218"/>
      <c r="EA10" s="218"/>
      <c r="EB10" s="218"/>
      <c r="EC10" s="218"/>
      <c r="ED10" s="218"/>
      <c r="EE10" s="218"/>
      <c r="EF10" s="218"/>
      <c r="EG10" s="218"/>
      <c r="EH10" s="218"/>
      <c r="EI10" s="218"/>
      <c r="EJ10" s="218"/>
      <c r="EK10" s="218"/>
      <c r="EL10" s="218"/>
      <c r="EM10" s="218"/>
      <c r="EN10" s="218"/>
      <c r="EO10" s="218"/>
      <c r="EP10" s="218"/>
      <c r="EQ10" s="218"/>
      <c r="ER10" s="218"/>
      <c r="ES10" s="218"/>
      <c r="ET10" s="218"/>
      <c r="EU10" s="218"/>
      <c r="EV10" s="218"/>
      <c r="EW10" s="218"/>
      <c r="EX10" s="218"/>
      <c r="EY10" s="218"/>
      <c r="EZ10" s="218"/>
      <c r="FA10" s="218"/>
      <c r="FB10" s="218"/>
      <c r="FC10" s="218"/>
      <c r="FD10" s="218"/>
      <c r="FE10" s="218"/>
      <c r="FF10" s="218"/>
      <c r="FG10" s="218"/>
      <c r="FH10" s="218"/>
      <c r="FI10" s="218"/>
      <c r="FJ10" s="218"/>
      <c r="FK10" s="218"/>
      <c r="FL10" s="218"/>
      <c r="FM10" s="218"/>
      <c r="FN10" s="218"/>
      <c r="FO10" s="218"/>
      <c r="FP10" s="218"/>
      <c r="FQ10" s="218"/>
      <c r="FR10" s="218"/>
      <c r="FS10" s="218"/>
      <c r="FT10" s="218"/>
      <c r="FU10" s="218"/>
      <c r="FV10" s="218"/>
      <c r="FW10" s="218"/>
      <c r="FX10" s="218"/>
      <c r="FY10" s="218"/>
      <c r="FZ10" s="218"/>
      <c r="GA10" s="218"/>
      <c r="GB10" s="218"/>
      <c r="GC10" s="218"/>
      <c r="GD10" s="218"/>
      <c r="GE10" s="218"/>
      <c r="GF10" s="218"/>
      <c r="GG10" s="218"/>
      <c r="GH10" s="218"/>
      <c r="GI10" s="218"/>
      <c r="GJ10" s="218"/>
      <c r="GK10" s="218"/>
      <c r="GL10" s="218"/>
      <c r="GM10" s="218"/>
      <c r="GN10" s="218"/>
      <c r="GO10" s="218"/>
      <c r="GP10" s="218"/>
      <c r="GQ10" s="218"/>
      <c r="GR10" s="218"/>
      <c r="GS10" s="218"/>
      <c r="GT10" s="218"/>
      <c r="GU10" s="218"/>
      <c r="GV10" s="218"/>
      <c r="GW10" s="218"/>
      <c r="GX10" s="218"/>
      <c r="GY10" s="218"/>
      <c r="GZ10" s="218"/>
      <c r="HA10" s="218"/>
      <c r="HB10" s="218"/>
      <c r="HC10" s="218"/>
      <c r="HD10" s="218"/>
      <c r="HE10" s="218"/>
      <c r="HF10" s="218"/>
      <c r="HG10" s="218"/>
      <c r="HH10" s="218"/>
      <c r="HI10" s="218"/>
      <c r="HJ10" s="218"/>
      <c r="HK10" s="218"/>
      <c r="HL10" s="218"/>
      <c r="HM10" s="218"/>
      <c r="HN10" s="218"/>
      <c r="HO10" s="218"/>
      <c r="HP10" s="218"/>
      <c r="HQ10" s="218"/>
      <c r="HR10" s="218"/>
      <c r="HS10" s="218"/>
      <c r="HT10" s="218"/>
      <c r="HU10" s="218"/>
      <c r="HV10" s="218"/>
      <c r="HW10" s="218"/>
      <c r="HX10" s="218"/>
      <c r="HY10" s="218"/>
      <c r="HZ10" s="218"/>
      <c r="IA10" s="218"/>
      <c r="IB10" s="218"/>
      <c r="IC10" s="218"/>
      <c r="ID10" s="218"/>
      <c r="IE10" s="218"/>
      <c r="IF10" s="218"/>
      <c r="IG10" s="218"/>
      <c r="IH10" s="218"/>
      <c r="II10" s="218"/>
      <c r="IJ10" s="218"/>
      <c r="IK10" s="218"/>
      <c r="IL10" s="218"/>
      <c r="IM10" s="218"/>
      <c r="IN10" s="218"/>
      <c r="IO10" s="218"/>
      <c r="IP10" s="218"/>
      <c r="IQ10" s="218"/>
      <c r="IR10" s="218"/>
      <c r="IS10" s="218"/>
      <c r="IT10" s="218"/>
      <c r="IU10" s="218"/>
      <c r="IV10" s="218"/>
      <c r="IW10" s="218"/>
    </row>
    <row r="11" spans="1:257" s="277" customFormat="1" ht="31.5" customHeight="1" thickTop="1" thickBot="1">
      <c r="A11" s="218"/>
      <c r="B11" s="237" t="s">
        <v>1240</v>
      </c>
      <c r="C11" s="271"/>
      <c r="D11" s="271"/>
      <c r="E11" s="271"/>
      <c r="F11" s="271"/>
      <c r="G11" s="271"/>
      <c r="H11" s="271"/>
      <c r="I11" s="271" t="s">
        <v>1241</v>
      </c>
      <c r="J11" s="271"/>
      <c r="K11" s="271" t="s">
        <v>1242</v>
      </c>
      <c r="L11" s="271" t="s">
        <v>1243</v>
      </c>
      <c r="M11" s="271"/>
      <c r="N11" s="271"/>
      <c r="O11" s="271" t="s">
        <v>1244</v>
      </c>
      <c r="P11" s="271"/>
      <c r="Q11" s="271"/>
      <c r="R11" s="271"/>
      <c r="S11" s="271"/>
      <c r="T11" s="271" t="s">
        <v>1245</v>
      </c>
      <c r="U11" s="271"/>
      <c r="V11" s="271"/>
      <c r="W11" s="271" t="s">
        <v>1246</v>
      </c>
      <c r="X11" s="271" t="s">
        <v>1247</v>
      </c>
      <c r="Y11" s="271" t="s">
        <v>1248</v>
      </c>
      <c r="Z11" s="271"/>
      <c r="AA11" s="271" t="s">
        <v>1249</v>
      </c>
      <c r="AB11" s="271"/>
      <c r="AC11" s="271"/>
      <c r="AD11" s="271"/>
      <c r="AE11" s="271" t="s">
        <v>1250</v>
      </c>
      <c r="AF11" s="271"/>
      <c r="AG11" s="271"/>
      <c r="AH11" s="271" t="s">
        <v>1251</v>
      </c>
      <c r="AI11" s="271"/>
      <c r="AJ11" s="271"/>
      <c r="AK11" s="271"/>
      <c r="AL11" s="271"/>
      <c r="AM11" s="271"/>
      <c r="AN11" s="271" t="s">
        <v>1252</v>
      </c>
      <c r="AO11" s="271"/>
      <c r="AP11" s="271" t="s">
        <v>1253</v>
      </c>
      <c r="AQ11" s="271"/>
      <c r="AR11" s="271" t="s">
        <v>1254</v>
      </c>
      <c r="AS11" s="271"/>
      <c r="AT11" s="271" t="s">
        <v>1255</v>
      </c>
      <c r="AU11" s="271"/>
      <c r="AV11" s="271"/>
      <c r="AW11" s="271" t="s">
        <v>1256</v>
      </c>
      <c r="AX11" s="271"/>
      <c r="AY11" s="271"/>
      <c r="AZ11" s="271"/>
      <c r="BA11" s="271"/>
      <c r="BB11" s="271"/>
      <c r="BC11" s="271"/>
      <c r="BD11" s="271"/>
      <c r="BE11" s="272"/>
      <c r="BF11" s="272"/>
      <c r="BG11" s="272"/>
      <c r="BH11" s="272"/>
      <c r="BI11" s="272"/>
      <c r="BJ11" s="272"/>
      <c r="BK11" s="272"/>
      <c r="BL11" s="271"/>
      <c r="BM11" s="271"/>
      <c r="BN11" s="271" t="s">
        <v>1257</v>
      </c>
      <c r="BO11" s="271"/>
      <c r="BP11" s="271"/>
      <c r="BQ11" s="271" t="s">
        <v>1258</v>
      </c>
      <c r="BR11" s="271"/>
      <c r="BS11" s="271"/>
      <c r="BT11" s="271"/>
      <c r="BU11" s="271"/>
      <c r="BV11" s="271"/>
      <c r="BW11" s="271"/>
      <c r="BX11" s="271"/>
      <c r="BY11" s="271"/>
      <c r="BZ11" s="271"/>
      <c r="CA11" s="271"/>
      <c r="CB11" s="271"/>
      <c r="CC11" s="271" t="s">
        <v>1177</v>
      </c>
      <c r="CD11" s="271"/>
      <c r="CE11" s="271"/>
      <c r="CF11" s="271"/>
      <c r="CG11" s="271" t="s">
        <v>1259</v>
      </c>
      <c r="CH11" s="273"/>
      <c r="CI11" s="274"/>
      <c r="CJ11" s="274"/>
      <c r="CK11" s="274"/>
      <c r="CL11" s="275"/>
      <c r="CM11" s="275"/>
      <c r="CN11" s="275"/>
      <c r="CO11" s="275"/>
      <c r="CP11" s="275"/>
      <c r="CQ11" s="275"/>
      <c r="CR11" s="276"/>
      <c r="CS11" s="276"/>
      <c r="CT11" s="276"/>
      <c r="CU11" s="276"/>
      <c r="CV11" s="276"/>
      <c r="CW11" s="276"/>
      <c r="CX11" s="276"/>
      <c r="CY11" s="276"/>
      <c r="CZ11" s="276"/>
      <c r="DA11" s="276"/>
      <c r="DB11" s="276"/>
      <c r="DC11" s="276"/>
      <c r="DD11" s="276"/>
      <c r="DE11" s="276"/>
    </row>
    <row r="12" spans="1:257" s="277" customFormat="1" ht="36.75" customHeight="1" thickTop="1" thickBot="1">
      <c r="A12" s="218"/>
      <c r="B12" s="278"/>
      <c r="C12" s="271"/>
      <c r="D12" s="271"/>
      <c r="E12" s="271"/>
      <c r="F12" s="271"/>
      <c r="G12" s="271"/>
      <c r="H12" s="271"/>
      <c r="I12" s="271">
        <v>135</v>
      </c>
      <c r="J12" s="271"/>
      <c r="K12" s="271">
        <v>120</v>
      </c>
      <c r="L12" s="271">
        <v>30</v>
      </c>
      <c r="M12" s="271"/>
      <c r="N12" s="271"/>
      <c r="O12" s="271">
        <v>25</v>
      </c>
      <c r="P12" s="271"/>
      <c r="Q12" s="271"/>
      <c r="R12" s="271"/>
      <c r="S12" s="271"/>
      <c r="T12" s="271">
        <v>15</v>
      </c>
      <c r="U12" s="271"/>
      <c r="V12" s="271"/>
      <c r="W12" s="271">
        <v>50</v>
      </c>
      <c r="X12" s="271">
        <v>150</v>
      </c>
      <c r="Y12" s="271">
        <v>150</v>
      </c>
      <c r="Z12" s="271"/>
      <c r="AA12" s="271">
        <v>450</v>
      </c>
      <c r="AB12" s="271"/>
      <c r="AC12" s="271"/>
      <c r="AD12" s="271"/>
      <c r="AE12" s="271">
        <v>400</v>
      </c>
      <c r="AF12" s="271"/>
      <c r="AG12" s="271"/>
      <c r="AH12" s="271">
        <v>1000</v>
      </c>
      <c r="AI12" s="271"/>
      <c r="AJ12" s="271"/>
      <c r="AK12" s="271"/>
      <c r="AL12" s="271"/>
      <c r="AM12" s="271"/>
      <c r="AN12" s="271">
        <v>1200</v>
      </c>
      <c r="AO12" s="271"/>
      <c r="AP12" s="271">
        <v>250</v>
      </c>
      <c r="AQ12" s="271"/>
      <c r="AR12" s="271">
        <v>200</v>
      </c>
      <c r="AS12" s="271"/>
      <c r="AT12" s="271">
        <v>20</v>
      </c>
      <c r="AU12" s="271"/>
      <c r="AV12" s="271"/>
      <c r="AW12" s="271">
        <v>300</v>
      </c>
      <c r="AX12" s="271"/>
      <c r="AY12" s="271"/>
      <c r="AZ12" s="271"/>
      <c r="BA12" s="271"/>
      <c r="BB12" s="271"/>
      <c r="BC12" s="271"/>
      <c r="BD12" s="271"/>
      <c r="BE12" s="272"/>
      <c r="BF12" s="272"/>
      <c r="BG12" s="272"/>
      <c r="BH12" s="272"/>
      <c r="BI12" s="272"/>
      <c r="BJ12" s="272"/>
      <c r="BK12" s="272"/>
      <c r="BL12" s="271"/>
      <c r="BM12" s="271"/>
      <c r="BN12" s="271">
        <v>300</v>
      </c>
      <c r="BO12" s="271"/>
      <c r="BP12" s="271"/>
      <c r="BQ12" s="271">
        <v>180</v>
      </c>
      <c r="BR12" s="271"/>
      <c r="BS12" s="271"/>
      <c r="BT12" s="271"/>
      <c r="BU12" s="271"/>
      <c r="BV12" s="271"/>
      <c r="BW12" s="271"/>
      <c r="BX12" s="271"/>
      <c r="BY12" s="271"/>
      <c r="BZ12" s="271"/>
      <c r="CA12" s="271"/>
      <c r="CB12" s="271"/>
      <c r="CC12" s="271">
        <v>1</v>
      </c>
      <c r="CD12" s="271"/>
      <c r="CE12" s="271"/>
      <c r="CF12" s="271"/>
      <c r="CG12" s="271">
        <v>400</v>
      </c>
      <c r="CH12" s="273"/>
      <c r="CI12" s="274"/>
      <c r="CJ12" s="274"/>
      <c r="CK12" s="274"/>
      <c r="CL12" s="275"/>
      <c r="CM12" s="275"/>
      <c r="CN12" s="275"/>
      <c r="CO12" s="275"/>
      <c r="CP12" s="275"/>
      <c r="CQ12" s="275"/>
      <c r="CR12" s="276"/>
      <c r="CS12" s="276"/>
      <c r="CT12" s="276"/>
      <c r="CU12" s="276"/>
      <c r="CV12" s="276"/>
      <c r="CW12" s="276"/>
      <c r="CX12" s="276"/>
      <c r="CY12" s="276"/>
      <c r="CZ12" s="276"/>
      <c r="DA12" s="276"/>
      <c r="DB12" s="276"/>
      <c r="DC12" s="276"/>
      <c r="DD12" s="276"/>
      <c r="DE12" s="276"/>
    </row>
    <row r="13" spans="1:257" s="286" customFormat="1" ht="31.5" customHeight="1" thickTop="1" thickBot="1">
      <c r="A13" s="218"/>
      <c r="B13" s="237" t="s">
        <v>1260</v>
      </c>
      <c r="C13" s="279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 t="s">
        <v>1261</v>
      </c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 t="s">
        <v>1262</v>
      </c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1"/>
      <c r="BF13" s="281"/>
      <c r="BG13" s="281"/>
      <c r="BH13" s="281"/>
      <c r="BI13" s="281"/>
      <c r="BJ13" s="281"/>
      <c r="BK13" s="281"/>
      <c r="BL13" s="280"/>
      <c r="BM13" s="280"/>
      <c r="BN13" s="280"/>
      <c r="BO13" s="280" t="s">
        <v>1263</v>
      </c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 t="s">
        <v>1264</v>
      </c>
      <c r="CD13" s="280"/>
      <c r="CE13" s="280"/>
      <c r="CF13" s="280"/>
      <c r="CG13" s="280"/>
      <c r="CH13" s="282"/>
      <c r="CI13" s="283"/>
      <c r="CJ13" s="283"/>
      <c r="CK13" s="283"/>
      <c r="CL13" s="284"/>
      <c r="CM13" s="284"/>
      <c r="CN13" s="284"/>
      <c r="CO13" s="284"/>
      <c r="CP13" s="284"/>
      <c r="CQ13" s="284"/>
      <c r="CR13" s="285"/>
      <c r="CS13" s="285"/>
      <c r="CT13" s="285"/>
      <c r="CU13" s="285"/>
      <c r="CV13" s="285"/>
      <c r="CW13" s="285"/>
      <c r="CX13" s="285"/>
      <c r="CY13" s="285"/>
      <c r="CZ13" s="285"/>
      <c r="DA13" s="285"/>
      <c r="DB13" s="285"/>
      <c r="DC13" s="285"/>
      <c r="DD13" s="285"/>
      <c r="DE13" s="285"/>
    </row>
    <row r="14" spans="1:257" s="288" customFormat="1" ht="31.5" customHeight="1" thickTop="1" thickBot="1">
      <c r="A14" s="218"/>
      <c r="B14" s="278"/>
      <c r="C14" s="279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>
        <v>600</v>
      </c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>
        <v>2000</v>
      </c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1"/>
      <c r="BF14" s="281"/>
      <c r="BG14" s="281"/>
      <c r="BH14" s="281"/>
      <c r="BI14" s="281"/>
      <c r="BJ14" s="281"/>
      <c r="BK14" s="281"/>
      <c r="BL14" s="280"/>
      <c r="BM14" s="280"/>
      <c r="BN14" s="280"/>
      <c r="BO14" s="280">
        <v>330</v>
      </c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>
        <v>1</v>
      </c>
      <c r="CD14" s="280"/>
      <c r="CE14" s="280"/>
      <c r="CF14" s="280"/>
      <c r="CG14" s="280"/>
      <c r="CH14" s="282"/>
      <c r="CI14" s="283"/>
      <c r="CJ14" s="283"/>
      <c r="CK14" s="283"/>
      <c r="CL14" s="284"/>
      <c r="CM14" s="284"/>
      <c r="CN14" s="284"/>
      <c r="CO14" s="284"/>
      <c r="CP14" s="284"/>
      <c r="CQ14" s="284"/>
      <c r="CR14" s="287"/>
      <c r="CS14" s="287"/>
      <c r="CT14" s="287"/>
      <c r="CU14" s="287"/>
      <c r="CV14" s="287"/>
      <c r="CW14" s="287"/>
      <c r="CX14" s="287"/>
      <c r="CY14" s="287"/>
      <c r="CZ14" s="287"/>
      <c r="DA14" s="287"/>
      <c r="DB14" s="287"/>
      <c r="DC14" s="287"/>
      <c r="DD14" s="287"/>
      <c r="DE14" s="287"/>
    </row>
    <row r="15" spans="1:257" s="290" customFormat="1" ht="31.5" customHeight="1" thickTop="1" thickBot="1">
      <c r="A15" s="218"/>
      <c r="B15" s="263" t="s">
        <v>1265</v>
      </c>
      <c r="C15" s="238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 t="s">
        <v>1266</v>
      </c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89"/>
      <c r="BF15" s="289"/>
      <c r="BG15" s="289"/>
      <c r="BH15" s="289"/>
      <c r="BI15" s="289"/>
      <c r="BJ15" s="289"/>
      <c r="BK15" s="289"/>
      <c r="BL15" s="239"/>
      <c r="BM15" s="239"/>
      <c r="BN15" s="239"/>
      <c r="BO15" s="239" t="s">
        <v>1267</v>
      </c>
      <c r="BP15" s="239" t="s">
        <v>1268</v>
      </c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40"/>
      <c r="CI15" s="232"/>
      <c r="CJ15" s="232"/>
      <c r="CK15" s="232"/>
      <c r="CL15" s="233"/>
      <c r="CM15" s="233"/>
      <c r="CN15" s="233"/>
      <c r="CO15" s="233"/>
      <c r="CP15" s="233"/>
      <c r="CQ15" s="233"/>
      <c r="CR15" s="234"/>
      <c r="CS15" s="234"/>
      <c r="CT15" s="234"/>
      <c r="CU15" s="234"/>
      <c r="CV15" s="234"/>
      <c r="CW15" s="234"/>
      <c r="CX15" s="234"/>
      <c r="CY15" s="234"/>
      <c r="CZ15" s="234"/>
      <c r="DA15" s="234"/>
      <c r="DB15" s="234"/>
      <c r="DC15" s="234"/>
      <c r="DD15" s="234"/>
      <c r="DE15" s="234"/>
      <c r="DF15" s="218"/>
      <c r="DG15" s="218"/>
      <c r="DH15" s="218"/>
      <c r="DI15" s="218"/>
      <c r="DJ15" s="218"/>
      <c r="DK15" s="218"/>
      <c r="DL15" s="218"/>
      <c r="DM15" s="218"/>
      <c r="DN15" s="218"/>
      <c r="DO15" s="218"/>
      <c r="DP15" s="218"/>
      <c r="DQ15" s="218"/>
      <c r="DR15" s="218"/>
      <c r="DS15" s="218"/>
      <c r="DT15" s="218"/>
      <c r="DU15" s="218"/>
      <c r="DV15" s="218"/>
      <c r="DW15" s="218"/>
      <c r="DX15" s="218"/>
      <c r="DY15" s="218"/>
      <c r="DZ15" s="218"/>
      <c r="EA15" s="218"/>
      <c r="EB15" s="218"/>
      <c r="EC15" s="218"/>
      <c r="ED15" s="218"/>
      <c r="EE15" s="218"/>
      <c r="EF15" s="218"/>
      <c r="EG15" s="218"/>
      <c r="EH15" s="218"/>
      <c r="EI15" s="218"/>
      <c r="EJ15" s="218"/>
      <c r="EK15" s="218"/>
      <c r="EL15" s="218"/>
      <c r="EM15" s="218"/>
      <c r="EN15" s="218"/>
      <c r="EO15" s="218"/>
      <c r="EP15" s="218"/>
      <c r="EQ15" s="218"/>
      <c r="ER15" s="218"/>
      <c r="ES15" s="218"/>
      <c r="ET15" s="218"/>
      <c r="EU15" s="218"/>
      <c r="EV15" s="218"/>
      <c r="EW15" s="218"/>
      <c r="EX15" s="218"/>
      <c r="EY15" s="218"/>
      <c r="EZ15" s="218"/>
      <c r="FA15" s="218"/>
      <c r="FB15" s="218"/>
      <c r="FC15" s="218"/>
      <c r="FD15" s="218"/>
      <c r="FE15" s="218"/>
      <c r="FF15" s="218"/>
      <c r="FG15" s="218"/>
      <c r="FH15" s="218"/>
      <c r="FI15" s="218"/>
      <c r="FJ15" s="218"/>
      <c r="FK15" s="218"/>
      <c r="FL15" s="218"/>
      <c r="FM15" s="218"/>
      <c r="FN15" s="218"/>
      <c r="FO15" s="218"/>
      <c r="FP15" s="218"/>
      <c r="FQ15" s="218"/>
      <c r="FR15" s="218"/>
      <c r="FS15" s="218"/>
      <c r="FT15" s="218"/>
      <c r="FU15" s="218"/>
      <c r="FV15" s="218"/>
      <c r="FW15" s="218"/>
      <c r="FX15" s="218"/>
      <c r="FY15" s="218"/>
      <c r="FZ15" s="218"/>
      <c r="GA15" s="218"/>
      <c r="GB15" s="218"/>
      <c r="GC15" s="218"/>
      <c r="GD15" s="218"/>
      <c r="GE15" s="218"/>
      <c r="GF15" s="218"/>
      <c r="GG15" s="218"/>
      <c r="GH15" s="218"/>
      <c r="GI15" s="218"/>
      <c r="GJ15" s="218"/>
      <c r="GK15" s="218"/>
      <c r="GL15" s="218"/>
      <c r="GM15" s="218"/>
      <c r="GN15" s="218"/>
      <c r="GO15" s="218"/>
      <c r="GP15" s="218"/>
      <c r="GQ15" s="218"/>
      <c r="GR15" s="218"/>
      <c r="GS15" s="218"/>
      <c r="GT15" s="218"/>
      <c r="GU15" s="218"/>
      <c r="GV15" s="218"/>
      <c r="GW15" s="218"/>
      <c r="GX15" s="218"/>
      <c r="GY15" s="218"/>
      <c r="GZ15" s="218"/>
      <c r="HA15" s="218"/>
      <c r="HB15" s="218"/>
      <c r="HC15" s="218"/>
      <c r="HD15" s="218"/>
      <c r="HE15" s="218"/>
      <c r="HF15" s="218"/>
      <c r="HG15" s="218"/>
      <c r="HH15" s="218"/>
      <c r="HI15" s="218"/>
      <c r="HJ15" s="218"/>
      <c r="HK15" s="218"/>
      <c r="HL15" s="218"/>
      <c r="HM15" s="218"/>
      <c r="HN15" s="218"/>
      <c r="HO15" s="218"/>
      <c r="HP15" s="218"/>
      <c r="HQ15" s="218"/>
      <c r="HR15" s="218"/>
      <c r="HS15" s="218"/>
      <c r="HT15" s="218"/>
      <c r="HU15" s="218"/>
      <c r="HV15" s="218"/>
      <c r="HW15" s="218"/>
      <c r="HX15" s="218"/>
      <c r="HY15" s="218"/>
      <c r="HZ15" s="218"/>
      <c r="IA15" s="218"/>
      <c r="IB15" s="218"/>
      <c r="IC15" s="218"/>
      <c r="ID15" s="218"/>
      <c r="IE15" s="218"/>
      <c r="IF15" s="218"/>
      <c r="IG15" s="218"/>
      <c r="IH15" s="218"/>
      <c r="II15" s="218"/>
      <c r="IJ15" s="218"/>
      <c r="IK15" s="218"/>
      <c r="IL15" s="218"/>
      <c r="IM15" s="218"/>
      <c r="IN15" s="218"/>
      <c r="IO15" s="218"/>
      <c r="IP15" s="218"/>
      <c r="IQ15" s="218"/>
      <c r="IR15" s="218"/>
      <c r="IS15" s="218"/>
      <c r="IT15" s="218"/>
      <c r="IU15" s="218"/>
      <c r="IV15" s="218"/>
      <c r="IW15" s="218"/>
    </row>
    <row r="16" spans="1:257" s="290" customFormat="1" ht="31.5" customHeight="1" thickTop="1" thickBot="1">
      <c r="A16" s="218"/>
      <c r="B16" s="270"/>
      <c r="C16" s="238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>
        <v>700</v>
      </c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89"/>
      <c r="BF16" s="289"/>
      <c r="BG16" s="289"/>
      <c r="BH16" s="289"/>
      <c r="BI16" s="289"/>
      <c r="BJ16" s="289"/>
      <c r="BK16" s="289"/>
      <c r="BL16" s="239"/>
      <c r="BM16" s="239"/>
      <c r="BN16" s="239"/>
      <c r="BO16" s="239">
        <v>800</v>
      </c>
      <c r="BP16" s="239">
        <v>800</v>
      </c>
      <c r="BQ16" s="239"/>
      <c r="BR16" s="239"/>
      <c r="BS16" s="239"/>
      <c r="BT16" s="239"/>
      <c r="BU16" s="239"/>
      <c r="BV16" s="239"/>
      <c r="BW16" s="239"/>
      <c r="BX16" s="239"/>
      <c r="BY16" s="239"/>
      <c r="BZ16" s="239"/>
      <c r="CA16" s="239"/>
      <c r="CB16" s="239"/>
      <c r="CC16" s="239"/>
      <c r="CD16" s="239"/>
      <c r="CE16" s="239"/>
      <c r="CF16" s="239"/>
      <c r="CG16" s="239"/>
      <c r="CH16" s="240"/>
      <c r="CI16" s="232"/>
      <c r="CJ16" s="232"/>
      <c r="CK16" s="232"/>
      <c r="CL16" s="260"/>
      <c r="CM16" s="260"/>
      <c r="CN16" s="260"/>
      <c r="CO16" s="260"/>
      <c r="CP16" s="260"/>
      <c r="CQ16" s="260"/>
      <c r="CR16" s="261"/>
      <c r="CS16" s="261"/>
      <c r="CT16" s="261"/>
      <c r="CU16" s="261"/>
      <c r="CV16" s="261"/>
      <c r="CW16" s="261"/>
      <c r="CX16" s="261"/>
      <c r="CY16" s="261"/>
      <c r="CZ16" s="261"/>
      <c r="DA16" s="261"/>
      <c r="DB16" s="261"/>
      <c r="DC16" s="261"/>
      <c r="DD16" s="261"/>
      <c r="DE16" s="261"/>
      <c r="DF16" s="218"/>
      <c r="DG16" s="218"/>
      <c r="DH16" s="218"/>
      <c r="DI16" s="218"/>
      <c r="DJ16" s="218"/>
      <c r="DK16" s="218"/>
      <c r="DL16" s="218"/>
      <c r="DM16" s="218"/>
      <c r="DN16" s="218"/>
      <c r="DO16" s="218"/>
      <c r="DP16" s="218"/>
      <c r="DQ16" s="218"/>
      <c r="DR16" s="218"/>
      <c r="DS16" s="218"/>
      <c r="DT16" s="218"/>
      <c r="DU16" s="218"/>
      <c r="DV16" s="218"/>
      <c r="DW16" s="218"/>
      <c r="DX16" s="218"/>
      <c r="DY16" s="218"/>
      <c r="DZ16" s="218"/>
      <c r="EA16" s="218"/>
      <c r="EB16" s="218"/>
      <c r="EC16" s="218"/>
      <c r="ED16" s="218"/>
      <c r="EE16" s="218"/>
      <c r="EF16" s="218"/>
      <c r="EG16" s="218"/>
      <c r="EH16" s="218"/>
      <c r="EI16" s="218"/>
      <c r="EJ16" s="218"/>
      <c r="EK16" s="218"/>
      <c r="EL16" s="218"/>
      <c r="EM16" s="218"/>
      <c r="EN16" s="218"/>
      <c r="EO16" s="218"/>
      <c r="EP16" s="218"/>
      <c r="EQ16" s="218"/>
      <c r="ER16" s="218"/>
      <c r="ES16" s="218"/>
      <c r="ET16" s="218"/>
      <c r="EU16" s="218"/>
      <c r="EV16" s="218"/>
      <c r="EW16" s="218"/>
      <c r="EX16" s="218"/>
      <c r="EY16" s="218"/>
      <c r="EZ16" s="218"/>
      <c r="FA16" s="218"/>
      <c r="FB16" s="218"/>
      <c r="FC16" s="218"/>
      <c r="FD16" s="218"/>
      <c r="FE16" s="218"/>
      <c r="FF16" s="218"/>
      <c r="FG16" s="218"/>
      <c r="FH16" s="218"/>
      <c r="FI16" s="218"/>
      <c r="FJ16" s="218"/>
      <c r="FK16" s="218"/>
      <c r="FL16" s="218"/>
      <c r="FM16" s="218"/>
      <c r="FN16" s="218"/>
      <c r="FO16" s="218"/>
      <c r="FP16" s="218"/>
      <c r="FQ16" s="218"/>
      <c r="FR16" s="218"/>
      <c r="FS16" s="218"/>
      <c r="FT16" s="218"/>
      <c r="FU16" s="218"/>
      <c r="FV16" s="218"/>
      <c r="FW16" s="218"/>
      <c r="FX16" s="218"/>
      <c r="FY16" s="218"/>
      <c r="FZ16" s="218"/>
      <c r="GA16" s="218"/>
      <c r="GB16" s="218"/>
      <c r="GC16" s="218"/>
      <c r="GD16" s="218"/>
      <c r="GE16" s="218"/>
      <c r="GF16" s="218"/>
      <c r="GG16" s="218"/>
      <c r="GH16" s="218"/>
      <c r="GI16" s="218"/>
      <c r="GJ16" s="218"/>
      <c r="GK16" s="218"/>
      <c r="GL16" s="218"/>
      <c r="GM16" s="218"/>
      <c r="GN16" s="218"/>
      <c r="GO16" s="218"/>
      <c r="GP16" s="218"/>
      <c r="GQ16" s="218"/>
      <c r="GR16" s="218"/>
      <c r="GS16" s="218"/>
      <c r="GT16" s="218"/>
      <c r="GU16" s="218"/>
      <c r="GV16" s="218"/>
      <c r="GW16" s="218"/>
      <c r="GX16" s="218"/>
      <c r="GY16" s="218"/>
      <c r="GZ16" s="218"/>
      <c r="HA16" s="218"/>
      <c r="HB16" s="218"/>
      <c r="HC16" s="218"/>
      <c r="HD16" s="218"/>
      <c r="HE16" s="218"/>
      <c r="HF16" s="218"/>
      <c r="HG16" s="218"/>
      <c r="HH16" s="218"/>
      <c r="HI16" s="218"/>
      <c r="HJ16" s="218"/>
      <c r="HK16" s="218"/>
      <c r="HL16" s="218"/>
      <c r="HM16" s="218"/>
      <c r="HN16" s="218"/>
      <c r="HO16" s="218"/>
      <c r="HP16" s="218"/>
      <c r="HQ16" s="218"/>
      <c r="HR16" s="218"/>
      <c r="HS16" s="218"/>
      <c r="HT16" s="218"/>
      <c r="HU16" s="218"/>
      <c r="HV16" s="218"/>
      <c r="HW16" s="218"/>
      <c r="HX16" s="218"/>
      <c r="HY16" s="218"/>
      <c r="HZ16" s="218"/>
      <c r="IA16" s="218"/>
      <c r="IB16" s="218"/>
      <c r="IC16" s="218"/>
      <c r="ID16" s="218"/>
      <c r="IE16" s="218"/>
      <c r="IF16" s="218"/>
      <c r="IG16" s="218"/>
      <c r="IH16" s="218"/>
      <c r="II16" s="218"/>
      <c r="IJ16" s="218"/>
      <c r="IK16" s="218"/>
      <c r="IL16" s="218"/>
      <c r="IM16" s="218"/>
      <c r="IN16" s="218"/>
      <c r="IO16" s="218"/>
      <c r="IP16" s="218"/>
      <c r="IQ16" s="218"/>
      <c r="IR16" s="218"/>
      <c r="IS16" s="218"/>
      <c r="IT16" s="218"/>
      <c r="IU16" s="218"/>
      <c r="IV16" s="218"/>
      <c r="IW16" s="218"/>
    </row>
    <row r="17" spans="1:257" ht="31.5" customHeight="1" thickTop="1" thickBot="1">
      <c r="B17" s="291" t="s">
        <v>1269</v>
      </c>
      <c r="C17" s="292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 t="s">
        <v>1270</v>
      </c>
      <c r="S17" s="293" t="s">
        <v>1271</v>
      </c>
      <c r="T17" s="293"/>
      <c r="U17" s="293"/>
      <c r="V17" s="293"/>
      <c r="W17" s="293"/>
      <c r="X17" s="293"/>
      <c r="Y17" s="293"/>
      <c r="Z17" s="293" t="s">
        <v>1272</v>
      </c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  <c r="AM17" s="293"/>
      <c r="AN17" s="293"/>
      <c r="AO17" s="293" t="s">
        <v>1273</v>
      </c>
      <c r="AP17" s="293"/>
      <c r="AQ17" s="293"/>
      <c r="AR17" s="293"/>
      <c r="AS17" s="293"/>
      <c r="AT17" s="293"/>
      <c r="AU17" s="293" t="s">
        <v>1274</v>
      </c>
      <c r="AV17" s="293"/>
      <c r="AW17" s="293"/>
      <c r="AX17" s="293"/>
      <c r="AY17" s="293"/>
      <c r="AZ17" s="293" t="s">
        <v>1275</v>
      </c>
      <c r="BA17" s="293" t="s">
        <v>1276</v>
      </c>
      <c r="BB17" s="293" t="s">
        <v>1277</v>
      </c>
      <c r="BC17" s="293"/>
      <c r="BD17" s="293"/>
      <c r="BE17" s="294" t="s">
        <v>1278</v>
      </c>
      <c r="BF17" s="294" t="s">
        <v>1279</v>
      </c>
      <c r="BG17" s="294" t="s">
        <v>1280</v>
      </c>
      <c r="BH17" s="294"/>
      <c r="BI17" s="294"/>
      <c r="BJ17" s="294" t="s">
        <v>1281</v>
      </c>
      <c r="BK17" s="294"/>
      <c r="BL17" s="293"/>
      <c r="BM17" s="293" t="s">
        <v>1282</v>
      </c>
      <c r="BN17" s="293"/>
      <c r="BO17" s="293"/>
      <c r="BP17" s="293"/>
      <c r="BQ17" s="293" t="s">
        <v>1283</v>
      </c>
      <c r="BR17" s="293" t="s">
        <v>1284</v>
      </c>
      <c r="BS17" s="293"/>
      <c r="BT17" s="293"/>
      <c r="BU17" s="293"/>
      <c r="BV17" s="293" t="s">
        <v>1285</v>
      </c>
      <c r="BW17" s="293"/>
      <c r="BX17" s="293"/>
      <c r="BY17" s="293"/>
      <c r="BZ17" s="293"/>
      <c r="CA17" s="293"/>
      <c r="CB17" s="293"/>
      <c r="CC17" s="293"/>
      <c r="CD17" s="293" t="s">
        <v>1286</v>
      </c>
      <c r="CE17" s="293"/>
      <c r="CF17" s="293"/>
      <c r="CG17" s="293"/>
      <c r="CH17" s="295"/>
      <c r="CI17" s="232"/>
      <c r="CJ17" s="232"/>
      <c r="CK17" s="232"/>
      <c r="CL17" s="233"/>
      <c r="CM17" s="233"/>
      <c r="CN17" s="233"/>
      <c r="CO17" s="233"/>
      <c r="CP17" s="233"/>
      <c r="CQ17" s="233"/>
      <c r="CR17" s="234"/>
      <c r="CS17" s="234"/>
      <c r="CT17" s="234"/>
      <c r="CU17" s="234"/>
      <c r="CV17" s="234"/>
      <c r="CW17" s="234"/>
      <c r="CX17" s="234"/>
      <c r="CY17" s="234"/>
      <c r="CZ17" s="234"/>
      <c r="DA17" s="234"/>
      <c r="DB17" s="234"/>
      <c r="DC17" s="234"/>
      <c r="DD17" s="234"/>
      <c r="DE17" s="234"/>
    </row>
    <row r="18" spans="1:257" ht="31.5" customHeight="1" thickTop="1" thickBot="1">
      <c r="B18" s="270"/>
      <c r="C18" s="292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>
        <v>900</v>
      </c>
      <c r="S18" s="293">
        <v>3000</v>
      </c>
      <c r="T18" s="293"/>
      <c r="U18" s="293"/>
      <c r="V18" s="293"/>
      <c r="W18" s="293"/>
      <c r="X18" s="293"/>
      <c r="Y18" s="293"/>
      <c r="Z18" s="293">
        <v>600</v>
      </c>
      <c r="AA18" s="293"/>
      <c r="AB18" s="293"/>
      <c r="AC18" s="293"/>
      <c r="AD18" s="293"/>
      <c r="AE18" s="293"/>
      <c r="AF18" s="293"/>
      <c r="AG18" s="293"/>
      <c r="AH18" s="293"/>
      <c r="AI18" s="293"/>
      <c r="AJ18" s="293"/>
      <c r="AK18" s="293"/>
      <c r="AL18" s="293"/>
      <c r="AM18" s="293"/>
      <c r="AN18" s="293"/>
      <c r="AO18" s="293">
        <v>3000</v>
      </c>
      <c r="AP18" s="293"/>
      <c r="AQ18" s="293"/>
      <c r="AR18" s="293"/>
      <c r="AS18" s="293"/>
      <c r="AT18" s="293"/>
      <c r="AU18" s="293">
        <v>3000</v>
      </c>
      <c r="AV18" s="293"/>
      <c r="AW18" s="293"/>
      <c r="AX18" s="293"/>
      <c r="AY18" s="293"/>
      <c r="AZ18" s="293">
        <v>350</v>
      </c>
      <c r="BA18" s="293">
        <v>1540</v>
      </c>
      <c r="BB18" s="293">
        <v>1540</v>
      </c>
      <c r="BC18" s="293"/>
      <c r="BD18" s="293"/>
      <c r="BE18" s="294">
        <v>3000</v>
      </c>
      <c r="BF18" s="294">
        <v>3000</v>
      </c>
      <c r="BG18" s="294">
        <v>900</v>
      </c>
      <c r="BH18" s="294"/>
      <c r="BI18" s="294"/>
      <c r="BJ18" s="294">
        <v>3000</v>
      </c>
      <c r="BK18" s="294"/>
      <c r="BL18" s="293"/>
      <c r="BM18" s="293">
        <v>900</v>
      </c>
      <c r="BN18" s="293"/>
      <c r="BO18" s="293"/>
      <c r="BP18" s="293"/>
      <c r="BQ18" s="293">
        <v>900</v>
      </c>
      <c r="BR18" s="293">
        <v>900</v>
      </c>
      <c r="BS18" s="293"/>
      <c r="BT18" s="293"/>
      <c r="BU18" s="293"/>
      <c r="BV18" s="293">
        <v>3000</v>
      </c>
      <c r="BW18" s="293"/>
      <c r="BX18" s="293"/>
      <c r="BY18" s="293"/>
      <c r="BZ18" s="293"/>
      <c r="CA18" s="293"/>
      <c r="CB18" s="293"/>
      <c r="CC18" s="293"/>
      <c r="CD18" s="293">
        <v>2000</v>
      </c>
      <c r="CE18" s="293"/>
      <c r="CF18" s="293"/>
      <c r="CG18" s="293"/>
      <c r="CH18" s="295"/>
      <c r="CI18" s="232"/>
      <c r="CJ18" s="232"/>
      <c r="CK18" s="232"/>
      <c r="CL18" s="233"/>
      <c r="CM18" s="233"/>
      <c r="CN18" s="233"/>
      <c r="CO18" s="233"/>
      <c r="CP18" s="233"/>
      <c r="CQ18" s="233"/>
      <c r="CR18" s="234"/>
      <c r="CS18" s="234"/>
      <c r="CT18" s="234"/>
      <c r="CU18" s="234"/>
      <c r="CV18" s="234"/>
      <c r="CW18" s="234"/>
      <c r="CX18" s="234"/>
      <c r="CY18" s="234"/>
      <c r="CZ18" s="234"/>
      <c r="DA18" s="234"/>
      <c r="DB18" s="234"/>
      <c r="DC18" s="234"/>
      <c r="DD18" s="234"/>
      <c r="DE18" s="234"/>
    </row>
    <row r="19" spans="1:257" ht="31.5" customHeight="1" thickTop="1" thickBot="1">
      <c r="B19" s="291" t="s">
        <v>1287</v>
      </c>
      <c r="C19" s="292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 t="s">
        <v>1288</v>
      </c>
      <c r="AA19" s="293"/>
      <c r="AB19" s="293" t="s">
        <v>1289</v>
      </c>
      <c r="AC19" s="293"/>
      <c r="AD19" s="293" t="s">
        <v>1290</v>
      </c>
      <c r="AE19" s="293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4"/>
      <c r="AV19" s="293"/>
      <c r="AW19" s="293"/>
      <c r="AX19" s="293"/>
      <c r="AY19" s="293"/>
      <c r="AZ19" s="293"/>
      <c r="BA19" s="293"/>
      <c r="BB19" s="293"/>
      <c r="BC19" s="293"/>
      <c r="BD19" s="293"/>
      <c r="BE19" s="294"/>
      <c r="BF19" s="294"/>
      <c r="BG19" s="294"/>
      <c r="BH19" s="294"/>
      <c r="BI19" s="294"/>
      <c r="BJ19" s="294"/>
      <c r="BK19" s="294"/>
      <c r="BL19" s="293"/>
      <c r="BM19" s="293"/>
      <c r="BN19" s="293"/>
      <c r="BO19" s="293" t="s">
        <v>1291</v>
      </c>
      <c r="BP19" s="293" t="s">
        <v>1292</v>
      </c>
      <c r="BQ19" s="293"/>
      <c r="BR19" s="293"/>
      <c r="BS19" s="293"/>
      <c r="BT19" s="293"/>
      <c r="BU19" s="293"/>
      <c r="BV19" s="293"/>
      <c r="BW19" s="293"/>
      <c r="BX19" s="293"/>
      <c r="BY19" s="293"/>
      <c r="BZ19" s="293"/>
      <c r="CA19" s="293"/>
      <c r="CB19" s="293"/>
      <c r="CC19" s="293"/>
      <c r="CD19" s="293"/>
      <c r="CE19" s="293"/>
      <c r="CF19" s="293"/>
      <c r="CG19" s="293"/>
      <c r="CH19" s="295"/>
      <c r="CI19" s="232"/>
      <c r="CJ19" s="232"/>
      <c r="CK19" s="232"/>
      <c r="CL19" s="233"/>
      <c r="CM19" s="233"/>
      <c r="CN19" s="233"/>
      <c r="CO19" s="233"/>
      <c r="CP19" s="233"/>
      <c r="CQ19" s="233"/>
      <c r="CR19" s="234"/>
      <c r="CS19" s="234"/>
      <c r="CT19" s="234"/>
      <c r="CU19" s="234"/>
      <c r="CV19" s="234"/>
      <c r="CW19" s="234"/>
      <c r="CX19" s="234"/>
      <c r="CY19" s="234"/>
      <c r="CZ19" s="234"/>
      <c r="DA19" s="234"/>
      <c r="DB19" s="234"/>
      <c r="DC19" s="234"/>
      <c r="DD19" s="234"/>
      <c r="DE19" s="234"/>
    </row>
    <row r="20" spans="1:257" ht="31.5" customHeight="1" thickTop="1" thickBot="1">
      <c r="B20" s="270"/>
      <c r="C20" s="292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>
        <v>140</v>
      </c>
      <c r="AA20" s="293"/>
      <c r="AB20" s="293">
        <v>400</v>
      </c>
      <c r="AC20" s="293"/>
      <c r="AD20" s="293">
        <v>300</v>
      </c>
      <c r="AE20" s="293"/>
      <c r="AF20" s="293"/>
      <c r="AG20" s="293"/>
      <c r="AH20" s="293"/>
      <c r="AI20" s="293"/>
      <c r="AJ20" s="293"/>
      <c r="AK20" s="293"/>
      <c r="AL20" s="293"/>
      <c r="AM20" s="293"/>
      <c r="AN20" s="293"/>
      <c r="AO20" s="293"/>
      <c r="AP20" s="293"/>
      <c r="AQ20" s="293"/>
      <c r="AR20" s="293"/>
      <c r="AS20" s="293"/>
      <c r="AT20" s="293"/>
      <c r="AU20" s="293"/>
      <c r="AV20" s="293"/>
      <c r="AW20" s="293"/>
      <c r="AX20" s="293"/>
      <c r="AY20" s="293"/>
      <c r="AZ20" s="293"/>
      <c r="BA20" s="293"/>
      <c r="BB20" s="293"/>
      <c r="BC20" s="293"/>
      <c r="BD20" s="293"/>
      <c r="BE20" s="294"/>
      <c r="BF20" s="294"/>
      <c r="BG20" s="294"/>
      <c r="BH20" s="294"/>
      <c r="BI20" s="294"/>
      <c r="BJ20" s="294"/>
      <c r="BK20" s="294"/>
      <c r="BL20" s="293"/>
      <c r="BM20" s="293"/>
      <c r="BN20" s="293"/>
      <c r="BO20" s="293">
        <v>530</v>
      </c>
      <c r="BP20" s="293">
        <v>530</v>
      </c>
      <c r="BQ20" s="293"/>
      <c r="BR20" s="293"/>
      <c r="BS20" s="293"/>
      <c r="BT20" s="293"/>
      <c r="BU20" s="293"/>
      <c r="BV20" s="293"/>
      <c r="BW20" s="293"/>
      <c r="BX20" s="293"/>
      <c r="BY20" s="293"/>
      <c r="BZ20" s="293"/>
      <c r="CA20" s="293"/>
      <c r="CB20" s="293"/>
      <c r="CC20" s="293"/>
      <c r="CD20" s="293"/>
      <c r="CE20" s="293"/>
      <c r="CF20" s="293"/>
      <c r="CG20" s="293"/>
      <c r="CH20" s="295"/>
      <c r="CI20" s="232"/>
      <c r="CJ20" s="232"/>
      <c r="CK20" s="232"/>
      <c r="CL20" s="233"/>
      <c r="CM20" s="233"/>
      <c r="CN20" s="233"/>
      <c r="CO20" s="233"/>
      <c r="CP20" s="233"/>
      <c r="CQ20" s="233"/>
      <c r="CR20" s="234"/>
      <c r="CS20" s="234"/>
      <c r="CT20" s="234"/>
      <c r="CU20" s="234"/>
      <c r="CV20" s="234"/>
      <c r="CW20" s="234"/>
      <c r="CX20" s="234"/>
      <c r="CY20" s="234"/>
      <c r="CZ20" s="234"/>
      <c r="DA20" s="234"/>
      <c r="DB20" s="234"/>
      <c r="DC20" s="234"/>
      <c r="DD20" s="234"/>
      <c r="DE20" s="234"/>
    </row>
    <row r="21" spans="1:257" ht="31.5" customHeight="1" thickTop="1" thickBot="1">
      <c r="B21" s="291" t="s">
        <v>1293</v>
      </c>
      <c r="C21" s="292" t="s">
        <v>1294</v>
      </c>
      <c r="D21" s="293" t="s">
        <v>1295</v>
      </c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 t="s">
        <v>1296</v>
      </c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293"/>
      <c r="AZ21" s="293"/>
      <c r="BA21" s="293"/>
      <c r="BB21" s="293"/>
      <c r="BC21" s="293"/>
      <c r="BD21" s="293"/>
      <c r="BE21" s="294"/>
      <c r="BF21" s="294"/>
      <c r="BG21" s="294"/>
      <c r="BH21" s="294"/>
      <c r="BI21" s="294"/>
      <c r="BJ21" s="294"/>
      <c r="BK21" s="294"/>
      <c r="BL21" s="293"/>
      <c r="BM21" s="293"/>
      <c r="BN21" s="293"/>
      <c r="BO21" s="293"/>
      <c r="BP21" s="293"/>
      <c r="BQ21" s="293"/>
      <c r="BR21" s="293"/>
      <c r="BS21" s="293"/>
      <c r="BT21" s="293"/>
      <c r="BU21" s="293"/>
      <c r="BV21" s="293"/>
      <c r="BW21" s="293"/>
      <c r="BX21" s="293"/>
      <c r="BY21" s="293"/>
      <c r="BZ21" s="293"/>
      <c r="CA21" s="293"/>
      <c r="CB21" s="293"/>
      <c r="CC21" s="293"/>
      <c r="CD21" s="293"/>
      <c r="CE21" s="293"/>
      <c r="CF21" s="293"/>
      <c r="CG21" s="293"/>
      <c r="CH21" s="295"/>
      <c r="CI21" s="232"/>
      <c r="CJ21" s="232"/>
      <c r="CK21" s="232"/>
      <c r="CL21" s="233"/>
      <c r="CM21" s="233"/>
      <c r="CN21" s="233"/>
      <c r="CO21" s="233"/>
      <c r="CP21" s="233"/>
      <c r="CQ21" s="233"/>
      <c r="CR21" s="234"/>
      <c r="CS21" s="234"/>
      <c r="CT21" s="234"/>
      <c r="CU21" s="234"/>
      <c r="CV21" s="234"/>
      <c r="CW21" s="234"/>
      <c r="CX21" s="234"/>
      <c r="CY21" s="234"/>
      <c r="CZ21" s="234"/>
      <c r="DA21" s="234"/>
      <c r="DB21" s="234"/>
      <c r="DC21" s="234"/>
      <c r="DD21" s="234"/>
      <c r="DE21" s="234"/>
    </row>
    <row r="22" spans="1:257" ht="31.5" customHeight="1" thickTop="1" thickBot="1">
      <c r="B22" s="296"/>
      <c r="C22" s="292">
        <v>800</v>
      </c>
      <c r="D22" s="293">
        <v>1000</v>
      </c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>
        <v>820</v>
      </c>
      <c r="AC22" s="293"/>
      <c r="AD22" s="293"/>
      <c r="AE22" s="293"/>
      <c r="AF22" s="293"/>
      <c r="AG22" s="293"/>
      <c r="AH22" s="293"/>
      <c r="AI22" s="293"/>
      <c r="AJ22" s="293"/>
      <c r="AK22" s="293"/>
      <c r="AL22" s="293"/>
      <c r="AM22" s="293"/>
      <c r="AN22" s="293"/>
      <c r="AO22" s="293"/>
      <c r="AP22" s="293"/>
      <c r="AQ22" s="293"/>
      <c r="AR22" s="293"/>
      <c r="AS22" s="293"/>
      <c r="AT22" s="293"/>
      <c r="AU22" s="293"/>
      <c r="AV22" s="293"/>
      <c r="AW22" s="293"/>
      <c r="AX22" s="293"/>
      <c r="AY22" s="293"/>
      <c r="AZ22" s="293"/>
      <c r="BA22" s="293"/>
      <c r="BB22" s="293"/>
      <c r="BC22" s="293"/>
      <c r="BD22" s="293"/>
      <c r="BE22" s="293"/>
      <c r="BF22" s="293"/>
      <c r="BG22" s="293"/>
      <c r="BH22" s="293"/>
      <c r="BI22" s="293"/>
      <c r="BJ22" s="293"/>
      <c r="BK22" s="293"/>
      <c r="BL22" s="293"/>
      <c r="BM22" s="293"/>
      <c r="BN22" s="293"/>
      <c r="BO22" s="293"/>
      <c r="BP22" s="293"/>
      <c r="BQ22" s="293"/>
      <c r="BR22" s="293"/>
      <c r="BS22" s="293"/>
      <c r="BT22" s="293"/>
      <c r="BU22" s="293"/>
      <c r="BV22" s="293"/>
      <c r="BW22" s="293"/>
      <c r="BX22" s="293"/>
      <c r="BY22" s="293"/>
      <c r="BZ22" s="293"/>
      <c r="CA22" s="293"/>
      <c r="CB22" s="293"/>
      <c r="CC22" s="293"/>
      <c r="CD22" s="293"/>
      <c r="CE22" s="293"/>
      <c r="CF22" s="293"/>
      <c r="CG22" s="293"/>
      <c r="CH22" s="295"/>
      <c r="CI22" s="232"/>
      <c r="CJ22" s="232"/>
      <c r="CK22" s="232"/>
      <c r="CL22" s="233"/>
      <c r="CM22" s="233"/>
      <c r="CN22" s="233"/>
      <c r="CO22" s="233"/>
      <c r="CP22" s="233"/>
      <c r="CQ22" s="233"/>
      <c r="CR22" s="234"/>
      <c r="CS22" s="234"/>
      <c r="CT22" s="234"/>
      <c r="CU22" s="234"/>
      <c r="CV22" s="234"/>
      <c r="CW22" s="234"/>
      <c r="CX22" s="234"/>
      <c r="CY22" s="234"/>
      <c r="CZ22" s="234"/>
      <c r="DA22" s="234"/>
      <c r="DB22" s="234"/>
      <c r="DC22" s="234"/>
      <c r="DD22" s="234"/>
      <c r="DE22" s="234"/>
    </row>
    <row r="23" spans="1:257" ht="31.5" customHeight="1" thickTop="1" thickBot="1">
      <c r="B23" s="291" t="s">
        <v>1297</v>
      </c>
      <c r="C23" s="292" t="s">
        <v>1298</v>
      </c>
      <c r="D23" s="293" t="s">
        <v>1299</v>
      </c>
      <c r="E23" s="293" t="s">
        <v>1300</v>
      </c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 t="s">
        <v>1301</v>
      </c>
      <c r="T23" s="293"/>
      <c r="U23" s="293"/>
      <c r="V23" s="293"/>
      <c r="W23" s="293"/>
      <c r="X23" s="293"/>
      <c r="Y23" s="293"/>
      <c r="Z23" s="293"/>
      <c r="AA23" s="293"/>
      <c r="AB23" s="293" t="s">
        <v>1302</v>
      </c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 t="s">
        <v>1303</v>
      </c>
      <c r="AP23" s="293"/>
      <c r="AQ23" s="293"/>
      <c r="AR23" s="293"/>
      <c r="AS23" s="293"/>
      <c r="AT23" s="293"/>
      <c r="AU23" s="293" t="s">
        <v>1304</v>
      </c>
      <c r="AV23" s="293"/>
      <c r="AW23" s="293"/>
      <c r="AX23" s="293"/>
      <c r="AY23" s="293"/>
      <c r="AZ23" s="293"/>
      <c r="BA23" s="293"/>
      <c r="BB23" s="293"/>
      <c r="BC23" s="293"/>
      <c r="BD23" s="293"/>
      <c r="BE23" s="293" t="s">
        <v>1305</v>
      </c>
      <c r="BF23" s="293" t="s">
        <v>1306</v>
      </c>
      <c r="BG23" s="293"/>
      <c r="BH23" s="293"/>
      <c r="BI23" s="293"/>
      <c r="BJ23" s="293" t="s">
        <v>1307</v>
      </c>
      <c r="BK23" s="293"/>
      <c r="BL23" s="293"/>
      <c r="BM23" s="293"/>
      <c r="BN23" s="293" t="s">
        <v>1308</v>
      </c>
      <c r="BO23" s="293"/>
      <c r="BP23" s="293"/>
      <c r="BQ23" s="293"/>
      <c r="BR23" s="293"/>
      <c r="BS23" s="293"/>
      <c r="BT23" s="293"/>
      <c r="BU23" s="293"/>
      <c r="BV23" s="293"/>
      <c r="BW23" s="293"/>
      <c r="BX23" s="293"/>
      <c r="BY23" s="293"/>
      <c r="BZ23" s="293"/>
      <c r="CA23" s="293"/>
      <c r="CB23" s="293"/>
      <c r="CC23" s="293"/>
      <c r="CD23" s="293"/>
      <c r="CE23" s="293"/>
      <c r="CF23" s="293"/>
      <c r="CG23" s="293"/>
      <c r="CH23" s="295"/>
      <c r="CI23" s="232"/>
      <c r="CJ23" s="232"/>
      <c r="CK23" s="232"/>
      <c r="CL23" s="233"/>
      <c r="CM23" s="233"/>
      <c r="CN23" s="233"/>
      <c r="CO23" s="233"/>
      <c r="CP23" s="233"/>
      <c r="CQ23" s="233"/>
      <c r="CR23" s="234"/>
      <c r="CS23" s="234"/>
      <c r="CT23" s="234"/>
      <c r="CU23" s="234"/>
      <c r="CV23" s="234"/>
      <c r="CW23" s="234"/>
      <c r="CX23" s="234"/>
      <c r="CY23" s="234"/>
      <c r="CZ23" s="234"/>
      <c r="DA23" s="234"/>
      <c r="DB23" s="234"/>
      <c r="DC23" s="234"/>
      <c r="DD23" s="234"/>
      <c r="DE23" s="234"/>
    </row>
    <row r="24" spans="1:257" ht="31.5" customHeight="1" thickTop="1" thickBot="1">
      <c r="B24" s="270"/>
      <c r="C24" s="292">
        <v>1000</v>
      </c>
      <c r="D24" s="293">
        <v>3000</v>
      </c>
      <c r="E24" s="293">
        <v>300</v>
      </c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>
        <v>1500</v>
      </c>
      <c r="T24" s="293"/>
      <c r="U24" s="293"/>
      <c r="V24" s="293"/>
      <c r="W24" s="293"/>
      <c r="X24" s="293"/>
      <c r="Y24" s="293"/>
      <c r="Z24" s="293"/>
      <c r="AA24" s="293"/>
      <c r="AB24" s="293">
        <v>1300</v>
      </c>
      <c r="AC24" s="293"/>
      <c r="AD24" s="293"/>
      <c r="AE24" s="293"/>
      <c r="AF24" s="293"/>
      <c r="AG24" s="293"/>
      <c r="AH24" s="293"/>
      <c r="AI24" s="293"/>
      <c r="AJ24" s="293"/>
      <c r="AK24" s="293"/>
      <c r="AL24" s="293"/>
      <c r="AM24" s="293"/>
      <c r="AN24" s="293"/>
      <c r="AO24" s="293">
        <v>1500</v>
      </c>
      <c r="AP24" s="293"/>
      <c r="AQ24" s="293"/>
      <c r="AR24" s="293"/>
      <c r="AS24" s="293"/>
      <c r="AT24" s="293"/>
      <c r="AU24" s="293">
        <v>1500</v>
      </c>
      <c r="AV24" s="293"/>
      <c r="AW24" s="293"/>
      <c r="AX24" s="293"/>
      <c r="AY24" s="293"/>
      <c r="AZ24" s="293"/>
      <c r="BA24" s="293"/>
      <c r="BB24" s="293"/>
      <c r="BC24" s="293"/>
      <c r="BD24" s="293"/>
      <c r="BE24" s="293">
        <v>1000</v>
      </c>
      <c r="BF24" s="293">
        <v>1000</v>
      </c>
      <c r="BG24" s="293"/>
      <c r="BH24" s="293"/>
      <c r="BI24" s="293"/>
      <c r="BJ24" s="293">
        <v>1000</v>
      </c>
      <c r="BK24" s="293"/>
      <c r="BL24" s="293"/>
      <c r="BM24" s="293"/>
      <c r="BN24" s="293">
        <v>2000</v>
      </c>
      <c r="BO24" s="293"/>
      <c r="BP24" s="293"/>
      <c r="BQ24" s="293"/>
      <c r="BR24" s="293"/>
      <c r="BS24" s="293"/>
      <c r="BT24" s="293"/>
      <c r="BU24" s="293"/>
      <c r="BV24" s="293"/>
      <c r="BW24" s="293"/>
      <c r="BX24" s="293"/>
      <c r="BY24" s="293"/>
      <c r="BZ24" s="293"/>
      <c r="CA24" s="293"/>
      <c r="CB24" s="293"/>
      <c r="CC24" s="293"/>
      <c r="CD24" s="293"/>
      <c r="CE24" s="293"/>
      <c r="CF24" s="293"/>
      <c r="CG24" s="293"/>
      <c r="CH24" s="295"/>
      <c r="CI24" s="232"/>
      <c r="CJ24" s="232"/>
      <c r="CK24" s="232"/>
      <c r="CL24" s="233"/>
      <c r="CM24" s="233"/>
      <c r="CN24" s="233"/>
      <c r="CO24" s="233"/>
      <c r="CP24" s="233"/>
      <c r="CQ24" s="233"/>
      <c r="CR24" s="234"/>
      <c r="CS24" s="234"/>
      <c r="CT24" s="234"/>
      <c r="CU24" s="234"/>
      <c r="CV24" s="234"/>
      <c r="CW24" s="234"/>
      <c r="CX24" s="234"/>
      <c r="CY24" s="234"/>
      <c r="CZ24" s="234"/>
      <c r="DA24" s="234"/>
      <c r="DB24" s="234"/>
      <c r="DC24" s="234"/>
      <c r="DD24" s="234"/>
      <c r="DE24" s="234"/>
    </row>
    <row r="25" spans="1:257" ht="31.5" customHeight="1" thickTop="1" thickBot="1">
      <c r="B25" s="291" t="s">
        <v>1309</v>
      </c>
      <c r="C25" s="292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 t="s">
        <v>1310</v>
      </c>
      <c r="T25" s="293"/>
      <c r="U25" s="293"/>
      <c r="V25" s="293"/>
      <c r="W25" s="293"/>
      <c r="X25" s="293"/>
      <c r="Y25" s="293"/>
      <c r="Z25" s="293" t="s">
        <v>1311</v>
      </c>
      <c r="AA25" s="293"/>
      <c r="AB25" s="293" t="s">
        <v>1312</v>
      </c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 t="s">
        <v>1313</v>
      </c>
      <c r="AP25" s="293"/>
      <c r="AQ25" s="293"/>
      <c r="AR25" s="293"/>
      <c r="AS25" s="293"/>
      <c r="AT25" s="293"/>
      <c r="AU25" s="293" t="s">
        <v>1314</v>
      </c>
      <c r="AV25" s="293"/>
      <c r="AW25" s="293"/>
      <c r="AX25" s="293"/>
      <c r="AY25" s="293"/>
      <c r="AZ25" s="293"/>
      <c r="BA25" s="293" t="s">
        <v>1315</v>
      </c>
      <c r="BB25" s="293" t="s">
        <v>1316</v>
      </c>
      <c r="BC25" s="293"/>
      <c r="BD25" s="293"/>
      <c r="BE25" s="293" t="s">
        <v>1317</v>
      </c>
      <c r="BF25" s="293" t="s">
        <v>1318</v>
      </c>
      <c r="BG25" s="293" t="s">
        <v>1319</v>
      </c>
      <c r="BH25" s="293"/>
      <c r="BI25" s="293" t="s">
        <v>1320</v>
      </c>
      <c r="BJ25" s="293" t="s">
        <v>1321</v>
      </c>
      <c r="BK25" s="293" t="s">
        <v>1322</v>
      </c>
      <c r="BL25" s="293"/>
      <c r="BM25" s="293" t="s">
        <v>1323</v>
      </c>
      <c r="BN25" s="293"/>
      <c r="BO25" s="293"/>
      <c r="BP25" s="293"/>
      <c r="BQ25" s="293" t="s">
        <v>1324</v>
      </c>
      <c r="BR25" s="293" t="s">
        <v>1325</v>
      </c>
      <c r="BS25" s="293"/>
      <c r="BT25" s="293"/>
      <c r="BU25" s="293"/>
      <c r="BV25" s="293"/>
      <c r="BW25" s="293"/>
      <c r="BX25" s="293"/>
      <c r="BY25" s="293"/>
      <c r="BZ25" s="293"/>
      <c r="CA25" s="293"/>
      <c r="CB25" s="293"/>
      <c r="CC25" s="293"/>
      <c r="CD25" s="293"/>
      <c r="CE25" s="293"/>
      <c r="CF25" s="293"/>
      <c r="CG25" s="293"/>
      <c r="CH25" s="297"/>
      <c r="CI25" s="232"/>
      <c r="CJ25" s="232"/>
      <c r="CK25" s="232"/>
      <c r="CL25" s="233"/>
      <c r="CM25" s="233"/>
      <c r="CN25" s="233"/>
      <c r="CO25" s="233"/>
      <c r="CP25" s="233"/>
      <c r="CQ25" s="233"/>
      <c r="CR25" s="234"/>
      <c r="CS25" s="234"/>
      <c r="CT25" s="234"/>
      <c r="CU25" s="234"/>
      <c r="CV25" s="234"/>
      <c r="CW25" s="234"/>
      <c r="CX25" s="234"/>
      <c r="CY25" s="234"/>
      <c r="CZ25" s="234"/>
      <c r="DA25" s="234"/>
      <c r="DB25" s="234"/>
      <c r="DC25" s="234"/>
      <c r="DD25" s="234"/>
      <c r="DE25" s="234"/>
    </row>
    <row r="26" spans="1:257" ht="31.5" customHeight="1" thickTop="1" thickBot="1">
      <c r="B26" s="270"/>
      <c r="C26" s="292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>
        <v>1000</v>
      </c>
      <c r="T26" s="293"/>
      <c r="U26" s="293"/>
      <c r="V26" s="293"/>
      <c r="W26" s="293"/>
      <c r="X26" s="293"/>
      <c r="Y26" s="293"/>
      <c r="Z26" s="293">
        <v>380</v>
      </c>
      <c r="AA26" s="293"/>
      <c r="AB26" s="293">
        <v>590</v>
      </c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>
        <v>1000</v>
      </c>
      <c r="AP26" s="293"/>
      <c r="AQ26" s="293"/>
      <c r="AR26" s="293"/>
      <c r="AS26" s="293"/>
      <c r="AT26" s="293"/>
      <c r="AU26" s="293">
        <v>1000</v>
      </c>
      <c r="AV26" s="293"/>
      <c r="AW26" s="293"/>
      <c r="AX26" s="293"/>
      <c r="AY26" s="293"/>
      <c r="AZ26" s="293"/>
      <c r="BA26" s="293">
        <v>930</v>
      </c>
      <c r="BB26" s="293">
        <v>930</v>
      </c>
      <c r="BC26" s="293"/>
      <c r="BD26" s="293"/>
      <c r="BE26" s="293">
        <v>1000</v>
      </c>
      <c r="BF26" s="293">
        <v>600</v>
      </c>
      <c r="BG26" s="293">
        <v>600</v>
      </c>
      <c r="BH26" s="293"/>
      <c r="BI26" s="293">
        <v>1000</v>
      </c>
      <c r="BJ26" s="293">
        <v>1000</v>
      </c>
      <c r="BK26" s="293">
        <v>15000</v>
      </c>
      <c r="BL26" s="293"/>
      <c r="BM26" s="293">
        <v>600</v>
      </c>
      <c r="BN26" s="293"/>
      <c r="BO26" s="293"/>
      <c r="BP26" s="293"/>
      <c r="BQ26" s="293">
        <v>600</v>
      </c>
      <c r="BR26" s="293">
        <v>600</v>
      </c>
      <c r="BS26" s="293"/>
      <c r="BT26" s="293"/>
      <c r="BU26" s="293"/>
      <c r="BV26" s="293"/>
      <c r="BW26" s="293"/>
      <c r="BX26" s="293"/>
      <c r="BY26" s="293"/>
      <c r="BZ26" s="293"/>
      <c r="CA26" s="293"/>
      <c r="CB26" s="293"/>
      <c r="CC26" s="293"/>
      <c r="CD26" s="293"/>
      <c r="CE26" s="293"/>
      <c r="CF26" s="293"/>
      <c r="CG26" s="293"/>
      <c r="CH26" s="295"/>
      <c r="CI26" s="232"/>
      <c r="CJ26" s="232"/>
      <c r="CK26" s="232"/>
      <c r="CL26" s="233"/>
      <c r="CM26" s="233"/>
      <c r="CN26" s="233"/>
      <c r="CO26" s="233"/>
      <c r="CP26" s="233"/>
      <c r="CQ26" s="233"/>
      <c r="CR26" s="234"/>
      <c r="CS26" s="234"/>
      <c r="CT26" s="234"/>
      <c r="CU26" s="234"/>
      <c r="CV26" s="234"/>
      <c r="CW26" s="234"/>
      <c r="CX26" s="234"/>
      <c r="CY26" s="234"/>
      <c r="CZ26" s="234"/>
      <c r="DA26" s="234"/>
      <c r="DB26" s="234"/>
      <c r="DC26" s="234"/>
      <c r="DD26" s="234"/>
      <c r="DE26" s="234"/>
    </row>
    <row r="27" spans="1:257" s="302" customFormat="1" ht="31.5" customHeight="1" thickTop="1" thickBot="1">
      <c r="A27" s="218"/>
      <c r="B27" s="298" t="s">
        <v>1326</v>
      </c>
      <c r="C27" s="299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 t="s">
        <v>1327</v>
      </c>
      <c r="S27" s="300" t="s">
        <v>1328</v>
      </c>
      <c r="T27" s="300"/>
      <c r="U27" s="300"/>
      <c r="V27" s="300"/>
      <c r="W27" s="300"/>
      <c r="X27" s="300"/>
      <c r="Y27" s="300"/>
      <c r="Z27" s="300"/>
      <c r="AA27" s="300"/>
      <c r="AB27" s="300" t="s">
        <v>1329</v>
      </c>
      <c r="AC27" s="300"/>
      <c r="AD27" s="300"/>
      <c r="AE27" s="300" t="s">
        <v>1330</v>
      </c>
      <c r="AF27" s="300"/>
      <c r="AG27" s="300"/>
      <c r="AH27" s="300"/>
      <c r="AI27" s="300"/>
      <c r="AJ27" s="300"/>
      <c r="AK27" s="300"/>
      <c r="AL27" s="300"/>
      <c r="AM27" s="300" t="s">
        <v>1331</v>
      </c>
      <c r="AN27" s="300" t="s">
        <v>1332</v>
      </c>
      <c r="AO27" s="300" t="s">
        <v>1333</v>
      </c>
      <c r="AP27" s="300" t="s">
        <v>1334</v>
      </c>
      <c r="AQ27" s="300" t="s">
        <v>1335</v>
      </c>
      <c r="AR27" s="300"/>
      <c r="AS27" s="300" t="s">
        <v>1336</v>
      </c>
      <c r="AT27" s="300" t="s">
        <v>1337</v>
      </c>
      <c r="AU27" s="300" t="s">
        <v>1338</v>
      </c>
      <c r="AV27" s="300" t="s">
        <v>1339</v>
      </c>
      <c r="AW27" s="300"/>
      <c r="AX27" s="300" t="s">
        <v>1340</v>
      </c>
      <c r="AY27" s="300"/>
      <c r="AZ27" s="300"/>
      <c r="BA27" s="300"/>
      <c r="BB27" s="300"/>
      <c r="BC27" s="300"/>
      <c r="BD27" s="300"/>
      <c r="BE27" s="300" t="s">
        <v>1341</v>
      </c>
      <c r="BF27" s="300" t="s">
        <v>1342</v>
      </c>
      <c r="BG27" s="300" t="s">
        <v>1343</v>
      </c>
      <c r="BH27" s="300" t="s">
        <v>1344</v>
      </c>
      <c r="BI27" s="300" t="s">
        <v>1345</v>
      </c>
      <c r="BJ27" s="300" t="s">
        <v>1346</v>
      </c>
      <c r="BK27" s="300"/>
      <c r="BL27" s="300"/>
      <c r="BM27" s="300" t="s">
        <v>1347</v>
      </c>
      <c r="BN27" s="300"/>
      <c r="BO27" s="300" t="s">
        <v>1348</v>
      </c>
      <c r="BP27" s="300" t="s">
        <v>1349</v>
      </c>
      <c r="BQ27" s="300" t="s">
        <v>1350</v>
      </c>
      <c r="BR27" s="300" t="s">
        <v>1351</v>
      </c>
      <c r="BS27" s="300"/>
      <c r="BT27" s="300"/>
      <c r="BU27" s="300"/>
      <c r="BV27" s="300"/>
      <c r="BW27" s="300"/>
      <c r="BX27" s="300"/>
      <c r="BY27" s="300"/>
      <c r="BZ27" s="300"/>
      <c r="CA27" s="300"/>
      <c r="CB27" s="300"/>
      <c r="CC27" s="300"/>
      <c r="CD27" s="300"/>
      <c r="CE27" s="300"/>
      <c r="CF27" s="300"/>
      <c r="CG27" s="300"/>
      <c r="CH27" s="301"/>
      <c r="CI27" s="232"/>
      <c r="CJ27" s="232"/>
      <c r="CK27" s="232"/>
      <c r="CL27" s="233"/>
      <c r="CM27" s="233"/>
      <c r="CN27" s="233"/>
      <c r="CO27" s="233"/>
      <c r="CP27" s="233"/>
      <c r="CQ27" s="233"/>
      <c r="CR27" s="234"/>
      <c r="CS27" s="234"/>
      <c r="CT27" s="234"/>
      <c r="CU27" s="234"/>
      <c r="CV27" s="234"/>
      <c r="CW27" s="234"/>
      <c r="CX27" s="234"/>
      <c r="CY27" s="234"/>
      <c r="CZ27" s="234"/>
      <c r="DA27" s="234"/>
      <c r="DB27" s="234"/>
      <c r="DC27" s="234"/>
      <c r="DD27" s="234"/>
      <c r="DE27" s="234"/>
      <c r="DF27" s="218"/>
      <c r="DG27" s="218"/>
      <c r="DH27" s="218"/>
      <c r="DI27" s="218"/>
      <c r="DJ27" s="218"/>
      <c r="DK27" s="218"/>
      <c r="DL27" s="218"/>
      <c r="DM27" s="218"/>
      <c r="DN27" s="218"/>
      <c r="DO27" s="218"/>
      <c r="DP27" s="218"/>
      <c r="DQ27" s="218"/>
      <c r="DR27" s="218"/>
      <c r="DS27" s="218"/>
      <c r="DT27" s="218"/>
      <c r="DU27" s="218"/>
      <c r="DV27" s="218"/>
      <c r="DW27" s="218"/>
      <c r="DX27" s="218"/>
      <c r="DY27" s="218"/>
      <c r="DZ27" s="218"/>
      <c r="EA27" s="218"/>
      <c r="EB27" s="218"/>
      <c r="EC27" s="218"/>
      <c r="ED27" s="218"/>
      <c r="EE27" s="218"/>
      <c r="EF27" s="218"/>
      <c r="EG27" s="218"/>
      <c r="EH27" s="218"/>
      <c r="EI27" s="218"/>
      <c r="EJ27" s="218"/>
      <c r="EK27" s="218"/>
      <c r="EL27" s="218"/>
      <c r="EM27" s="218"/>
      <c r="EN27" s="218"/>
      <c r="EO27" s="218"/>
      <c r="EP27" s="218"/>
      <c r="EQ27" s="218"/>
      <c r="ER27" s="218"/>
      <c r="ES27" s="218"/>
      <c r="ET27" s="218"/>
      <c r="EU27" s="218"/>
      <c r="EV27" s="218"/>
      <c r="EW27" s="218"/>
      <c r="EX27" s="218"/>
      <c r="EY27" s="218"/>
      <c r="EZ27" s="218"/>
      <c r="FA27" s="218"/>
      <c r="FB27" s="218"/>
      <c r="FC27" s="218"/>
      <c r="FD27" s="218"/>
      <c r="FE27" s="218"/>
      <c r="FF27" s="218"/>
      <c r="FG27" s="218"/>
      <c r="FH27" s="218"/>
      <c r="FI27" s="218"/>
      <c r="FJ27" s="218"/>
      <c r="FK27" s="218"/>
      <c r="FL27" s="218"/>
      <c r="FM27" s="218"/>
      <c r="FN27" s="218"/>
      <c r="FO27" s="218"/>
      <c r="FP27" s="218"/>
      <c r="FQ27" s="218"/>
      <c r="FR27" s="218"/>
      <c r="FS27" s="218"/>
      <c r="FT27" s="218"/>
      <c r="FU27" s="218"/>
      <c r="FV27" s="218"/>
      <c r="FW27" s="218"/>
      <c r="FX27" s="218"/>
      <c r="FY27" s="218"/>
      <c r="FZ27" s="218"/>
      <c r="GA27" s="218"/>
      <c r="GB27" s="218"/>
      <c r="GC27" s="218"/>
      <c r="GD27" s="218"/>
      <c r="GE27" s="218"/>
      <c r="GF27" s="218"/>
      <c r="GG27" s="218"/>
      <c r="GH27" s="218"/>
      <c r="GI27" s="218"/>
      <c r="GJ27" s="218"/>
      <c r="GK27" s="218"/>
      <c r="GL27" s="218"/>
      <c r="GM27" s="218"/>
      <c r="GN27" s="218"/>
      <c r="GO27" s="218"/>
      <c r="GP27" s="218"/>
      <c r="GQ27" s="218"/>
      <c r="GR27" s="218"/>
      <c r="GS27" s="218"/>
      <c r="GT27" s="218"/>
      <c r="GU27" s="218"/>
      <c r="GV27" s="218"/>
      <c r="GW27" s="218"/>
      <c r="GX27" s="218"/>
      <c r="GY27" s="218"/>
      <c r="GZ27" s="218"/>
      <c r="HA27" s="218"/>
      <c r="HB27" s="218"/>
      <c r="HC27" s="218"/>
      <c r="HD27" s="218"/>
      <c r="HE27" s="218"/>
      <c r="HF27" s="218"/>
      <c r="HG27" s="218"/>
      <c r="HH27" s="218"/>
      <c r="HI27" s="218"/>
      <c r="HJ27" s="218"/>
      <c r="HK27" s="218"/>
      <c r="HL27" s="218"/>
      <c r="HM27" s="218"/>
      <c r="HN27" s="218"/>
      <c r="HO27" s="218"/>
      <c r="HP27" s="218"/>
      <c r="HQ27" s="218"/>
      <c r="HR27" s="218"/>
      <c r="HS27" s="218"/>
      <c r="HT27" s="218"/>
      <c r="HU27" s="218"/>
      <c r="HV27" s="218"/>
      <c r="HW27" s="218"/>
      <c r="HX27" s="218"/>
      <c r="HY27" s="218"/>
      <c r="HZ27" s="218"/>
      <c r="IA27" s="218"/>
      <c r="IB27" s="218"/>
      <c r="IC27" s="218"/>
      <c r="ID27" s="218"/>
      <c r="IE27" s="218"/>
      <c r="IF27" s="218"/>
      <c r="IG27" s="218"/>
      <c r="IH27" s="218"/>
      <c r="II27" s="218"/>
      <c r="IJ27" s="218"/>
      <c r="IK27" s="218"/>
      <c r="IL27" s="218"/>
      <c r="IM27" s="218"/>
      <c r="IN27" s="218"/>
      <c r="IO27" s="218"/>
      <c r="IP27" s="218"/>
      <c r="IQ27" s="218"/>
      <c r="IR27" s="218"/>
      <c r="IS27" s="218"/>
      <c r="IT27" s="218"/>
      <c r="IU27" s="218"/>
      <c r="IV27" s="218"/>
      <c r="IW27" s="218"/>
    </row>
    <row r="28" spans="1:257" s="302" customFormat="1" ht="31.5" customHeight="1" thickTop="1" thickBot="1">
      <c r="A28" s="218"/>
      <c r="B28" s="303"/>
      <c r="C28" s="304"/>
      <c r="D28" s="300"/>
      <c r="E28" s="300"/>
      <c r="F28" s="300"/>
      <c r="G28" s="300"/>
      <c r="H28" s="300"/>
      <c r="I28" s="305"/>
      <c r="J28" s="305"/>
      <c r="K28" s="305"/>
      <c r="L28" s="305"/>
      <c r="M28" s="305"/>
      <c r="N28" s="305"/>
      <c r="O28" s="305"/>
      <c r="P28" s="305"/>
      <c r="Q28" s="305"/>
      <c r="R28" s="305">
        <v>600</v>
      </c>
      <c r="S28" s="305">
        <v>700</v>
      </c>
      <c r="T28" s="305"/>
      <c r="U28" s="305"/>
      <c r="V28" s="305"/>
      <c r="W28" s="305"/>
      <c r="X28" s="305"/>
      <c r="Y28" s="305"/>
      <c r="Z28" s="305"/>
      <c r="AA28" s="305"/>
      <c r="AB28" s="305">
        <v>140</v>
      </c>
      <c r="AC28" s="305"/>
      <c r="AD28" s="305"/>
      <c r="AE28" s="305">
        <v>1000</v>
      </c>
      <c r="AF28" s="305"/>
      <c r="AG28" s="305"/>
      <c r="AH28" s="305"/>
      <c r="AI28" s="305"/>
      <c r="AJ28" s="305"/>
      <c r="AK28" s="305"/>
      <c r="AL28" s="305"/>
      <c r="AM28" s="305">
        <v>500</v>
      </c>
      <c r="AN28" s="305">
        <v>1000</v>
      </c>
      <c r="AO28" s="305">
        <v>700</v>
      </c>
      <c r="AP28" s="305">
        <v>1500</v>
      </c>
      <c r="AQ28" s="305">
        <v>1000</v>
      </c>
      <c r="AR28" s="305"/>
      <c r="AS28" s="305">
        <v>700</v>
      </c>
      <c r="AT28" s="305">
        <v>100</v>
      </c>
      <c r="AU28" s="305">
        <v>700</v>
      </c>
      <c r="AV28" s="305">
        <v>1000</v>
      </c>
      <c r="AW28" s="305"/>
      <c r="AX28" s="305">
        <v>600</v>
      </c>
      <c r="AY28" s="305"/>
      <c r="AZ28" s="305"/>
      <c r="BA28" s="305"/>
      <c r="BB28" s="305"/>
      <c r="BC28" s="305"/>
      <c r="BD28" s="305"/>
      <c r="BE28" s="305">
        <v>700</v>
      </c>
      <c r="BF28" s="305">
        <v>650</v>
      </c>
      <c r="BG28" s="305">
        <v>600</v>
      </c>
      <c r="BH28" s="305">
        <v>500</v>
      </c>
      <c r="BI28" s="305">
        <v>700</v>
      </c>
      <c r="BJ28" s="305">
        <v>700</v>
      </c>
      <c r="BK28" s="305"/>
      <c r="BL28" s="305"/>
      <c r="BM28" s="305">
        <v>600</v>
      </c>
      <c r="BN28" s="305"/>
      <c r="BO28" s="305">
        <v>380</v>
      </c>
      <c r="BP28" s="305">
        <v>380</v>
      </c>
      <c r="BQ28" s="305">
        <v>600</v>
      </c>
      <c r="BR28" s="305">
        <v>600</v>
      </c>
      <c r="BS28" s="305"/>
      <c r="BT28" s="305"/>
      <c r="BU28" s="305"/>
      <c r="BV28" s="305"/>
      <c r="BW28" s="305"/>
      <c r="BX28" s="305"/>
      <c r="BY28" s="305"/>
      <c r="BZ28" s="305"/>
      <c r="CA28" s="305"/>
      <c r="CB28" s="305"/>
      <c r="CC28" s="305"/>
      <c r="CD28" s="305"/>
      <c r="CE28" s="305"/>
      <c r="CF28" s="305"/>
      <c r="CG28" s="305"/>
      <c r="CH28" s="306"/>
      <c r="CI28" s="232"/>
      <c r="CJ28" s="232"/>
      <c r="CK28" s="232"/>
      <c r="CL28" s="233"/>
      <c r="CM28" s="233"/>
      <c r="CN28" s="233"/>
      <c r="CO28" s="233"/>
      <c r="CP28" s="233"/>
      <c r="CQ28" s="233"/>
      <c r="CR28" s="234"/>
      <c r="CS28" s="234"/>
      <c r="CT28" s="234"/>
      <c r="CU28" s="234"/>
      <c r="CV28" s="234"/>
      <c r="CW28" s="234"/>
      <c r="CX28" s="234"/>
      <c r="CY28" s="234"/>
      <c r="CZ28" s="234"/>
      <c r="DA28" s="234"/>
      <c r="DB28" s="234"/>
      <c r="DC28" s="234"/>
      <c r="DD28" s="234"/>
      <c r="DE28" s="234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18"/>
      <c r="DR28" s="218"/>
      <c r="DS28" s="218"/>
      <c r="DT28" s="218"/>
      <c r="DU28" s="218"/>
      <c r="DV28" s="218"/>
      <c r="DW28" s="218"/>
      <c r="DX28" s="218"/>
      <c r="DY28" s="218"/>
      <c r="DZ28" s="218"/>
      <c r="EA28" s="218"/>
      <c r="EB28" s="218"/>
      <c r="EC28" s="218"/>
      <c r="ED28" s="218"/>
      <c r="EE28" s="218"/>
      <c r="EF28" s="218"/>
      <c r="EG28" s="218"/>
      <c r="EH28" s="218"/>
      <c r="EI28" s="218"/>
      <c r="EJ28" s="218"/>
      <c r="EK28" s="218"/>
      <c r="EL28" s="218"/>
      <c r="EM28" s="218"/>
      <c r="EN28" s="218"/>
      <c r="EO28" s="218"/>
      <c r="EP28" s="218"/>
      <c r="EQ28" s="218"/>
      <c r="ER28" s="218"/>
      <c r="ES28" s="218"/>
      <c r="ET28" s="218"/>
      <c r="EU28" s="218"/>
      <c r="EV28" s="218"/>
      <c r="EW28" s="218"/>
      <c r="EX28" s="218"/>
      <c r="EY28" s="218"/>
      <c r="EZ28" s="218"/>
      <c r="FA28" s="218"/>
      <c r="FB28" s="218"/>
      <c r="FC28" s="218"/>
      <c r="FD28" s="218"/>
      <c r="FE28" s="218"/>
      <c r="FF28" s="218"/>
      <c r="FG28" s="218"/>
      <c r="FH28" s="218"/>
      <c r="FI28" s="218"/>
      <c r="FJ28" s="218"/>
      <c r="FK28" s="218"/>
      <c r="FL28" s="218"/>
      <c r="FM28" s="218"/>
      <c r="FN28" s="218"/>
      <c r="FO28" s="218"/>
      <c r="FP28" s="218"/>
      <c r="FQ28" s="218"/>
      <c r="FR28" s="218"/>
      <c r="FS28" s="218"/>
      <c r="FT28" s="218"/>
      <c r="FU28" s="218"/>
      <c r="FV28" s="218"/>
      <c r="FW28" s="218"/>
      <c r="FX28" s="218"/>
      <c r="FY28" s="218"/>
      <c r="FZ28" s="218"/>
      <c r="GA28" s="218"/>
      <c r="GB28" s="218"/>
      <c r="GC28" s="218"/>
      <c r="GD28" s="218"/>
      <c r="GE28" s="218"/>
      <c r="GF28" s="218"/>
      <c r="GG28" s="218"/>
      <c r="GH28" s="218"/>
      <c r="GI28" s="218"/>
      <c r="GJ28" s="218"/>
      <c r="GK28" s="218"/>
      <c r="GL28" s="218"/>
      <c r="GM28" s="218"/>
      <c r="GN28" s="218"/>
      <c r="GO28" s="218"/>
      <c r="GP28" s="218"/>
      <c r="GQ28" s="218"/>
      <c r="GR28" s="218"/>
      <c r="GS28" s="218"/>
      <c r="GT28" s="218"/>
      <c r="GU28" s="218"/>
      <c r="GV28" s="218"/>
      <c r="GW28" s="218"/>
      <c r="GX28" s="218"/>
      <c r="GY28" s="218"/>
      <c r="GZ28" s="218"/>
      <c r="HA28" s="218"/>
      <c r="HB28" s="218"/>
      <c r="HC28" s="218"/>
      <c r="HD28" s="218"/>
      <c r="HE28" s="218"/>
      <c r="HF28" s="218"/>
      <c r="HG28" s="218"/>
      <c r="HH28" s="218"/>
      <c r="HI28" s="218"/>
      <c r="HJ28" s="218"/>
      <c r="HK28" s="218"/>
      <c r="HL28" s="218"/>
      <c r="HM28" s="218"/>
      <c r="HN28" s="218"/>
      <c r="HO28" s="218"/>
      <c r="HP28" s="218"/>
      <c r="HQ28" s="218"/>
      <c r="HR28" s="218"/>
      <c r="HS28" s="218"/>
      <c r="HT28" s="218"/>
      <c r="HU28" s="218"/>
      <c r="HV28" s="218"/>
      <c r="HW28" s="218"/>
      <c r="HX28" s="218"/>
      <c r="HY28" s="218"/>
      <c r="HZ28" s="218"/>
      <c r="IA28" s="218"/>
      <c r="IB28" s="218"/>
      <c r="IC28" s="218"/>
      <c r="ID28" s="218"/>
      <c r="IE28" s="218"/>
      <c r="IF28" s="218"/>
      <c r="IG28" s="218"/>
      <c r="IH28" s="218"/>
      <c r="II28" s="218"/>
      <c r="IJ28" s="218"/>
      <c r="IK28" s="218"/>
      <c r="IL28" s="218"/>
      <c r="IM28" s="218"/>
      <c r="IN28" s="218"/>
      <c r="IO28" s="218"/>
      <c r="IP28" s="218"/>
      <c r="IQ28" s="218"/>
      <c r="IR28" s="218"/>
      <c r="IS28" s="218"/>
      <c r="IT28" s="218"/>
      <c r="IU28" s="218"/>
      <c r="IV28" s="218"/>
      <c r="IW28" s="218"/>
    </row>
    <row r="29" spans="1:257" ht="20"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  <c r="AN29" s="232"/>
      <c r="AO29" s="232"/>
      <c r="AP29" s="232"/>
      <c r="AQ29" s="232"/>
      <c r="AR29" s="232"/>
      <c r="AS29" s="232"/>
      <c r="AT29" s="232"/>
      <c r="AU29" s="232"/>
      <c r="AV29" s="232"/>
      <c r="AW29" s="232"/>
      <c r="AX29" s="232"/>
      <c r="AY29" s="232"/>
      <c r="AZ29" s="232"/>
      <c r="BA29" s="232"/>
      <c r="BB29" s="232"/>
      <c r="BC29" s="232"/>
      <c r="BD29" s="232"/>
      <c r="BE29" s="232"/>
      <c r="BF29" s="232"/>
      <c r="BG29" s="232"/>
      <c r="BH29" s="232"/>
      <c r="BI29" s="232"/>
      <c r="BJ29" s="232"/>
      <c r="BK29" s="232"/>
      <c r="BL29" s="232"/>
      <c r="BM29" s="232"/>
      <c r="BN29" s="232"/>
      <c r="BO29" s="232"/>
      <c r="BP29" s="232"/>
      <c r="BQ29" s="232"/>
      <c r="BR29" s="232"/>
      <c r="BS29" s="232"/>
      <c r="BT29" s="232"/>
      <c r="BU29" s="232"/>
      <c r="BV29" s="232"/>
      <c r="BW29" s="232"/>
      <c r="BX29" s="232"/>
      <c r="BY29" s="232"/>
      <c r="BZ29" s="232"/>
      <c r="CA29" s="232"/>
      <c r="CB29" s="232"/>
      <c r="CC29" s="232"/>
      <c r="CD29" s="232"/>
      <c r="CE29" s="232"/>
      <c r="CF29" s="232"/>
      <c r="CG29" s="232"/>
      <c r="CH29" s="232"/>
      <c r="CI29" s="232"/>
      <c r="CJ29" s="232"/>
      <c r="CK29" s="232"/>
      <c r="CL29" s="233"/>
      <c r="CM29" s="233"/>
      <c r="CN29" s="233"/>
      <c r="CO29" s="233"/>
      <c r="CP29" s="233"/>
      <c r="CQ29" s="233"/>
      <c r="CR29" s="234"/>
      <c r="CS29" s="234"/>
      <c r="CT29" s="234"/>
      <c r="CU29" s="234"/>
      <c r="CV29" s="234"/>
      <c r="CW29" s="234"/>
      <c r="CX29" s="234"/>
      <c r="CY29" s="234"/>
      <c r="CZ29" s="234"/>
      <c r="DA29" s="234"/>
      <c r="DB29" s="234"/>
      <c r="DC29" s="234"/>
      <c r="DD29" s="234"/>
      <c r="DE29" s="234"/>
    </row>
    <row r="30" spans="1:257" ht="20.5" thickBot="1"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2"/>
      <c r="BK30" s="232"/>
      <c r="BL30" s="232"/>
      <c r="BM30" s="232"/>
      <c r="BN30" s="232"/>
      <c r="BO30" s="232"/>
      <c r="BP30" s="232"/>
      <c r="BQ30" s="232"/>
      <c r="BR30" s="232"/>
      <c r="BS30" s="232"/>
      <c r="BT30" s="232"/>
      <c r="BU30" s="232"/>
      <c r="BV30" s="232"/>
      <c r="BW30" s="232"/>
      <c r="BX30" s="232"/>
      <c r="BY30" s="232"/>
      <c r="BZ30" s="232"/>
      <c r="CA30" s="232"/>
      <c r="CB30" s="232"/>
      <c r="CC30" s="232"/>
      <c r="CD30" s="232"/>
      <c r="CE30" s="232"/>
      <c r="CF30" s="232"/>
      <c r="CG30" s="232"/>
      <c r="CH30" s="232"/>
      <c r="CI30" s="232"/>
      <c r="CJ30" s="232"/>
      <c r="CK30" s="232"/>
      <c r="CL30" s="233"/>
      <c r="CM30" s="233"/>
      <c r="CN30" s="233"/>
      <c r="CO30" s="233"/>
      <c r="CP30" s="233"/>
      <c r="CQ30" s="233"/>
      <c r="CR30" s="234"/>
      <c r="CS30" s="234"/>
      <c r="CT30" s="234"/>
      <c r="CU30" s="234"/>
      <c r="CV30" s="234"/>
      <c r="CW30" s="234"/>
      <c r="CX30" s="234"/>
      <c r="CY30" s="234"/>
      <c r="CZ30" s="234"/>
      <c r="DA30" s="234"/>
      <c r="DB30" s="234"/>
      <c r="DC30" s="234"/>
      <c r="DD30" s="234"/>
      <c r="DE30" s="234"/>
    </row>
    <row r="31" spans="1:257" ht="21" thickTop="1" thickBot="1">
      <c r="B31" s="307" t="s">
        <v>1352</v>
      </c>
      <c r="C31" s="307" t="s">
        <v>1266</v>
      </c>
      <c r="D31" s="307" t="s">
        <v>1353</v>
      </c>
      <c r="E31" s="307" t="s">
        <v>1354</v>
      </c>
      <c r="F31" s="307" t="s">
        <v>1355</v>
      </c>
      <c r="G31" s="307" t="s">
        <v>1356</v>
      </c>
      <c r="H31" s="307" t="s">
        <v>1357</v>
      </c>
      <c r="I31" s="307" t="s">
        <v>1358</v>
      </c>
      <c r="J31" s="307"/>
      <c r="K31" s="307" t="s">
        <v>1359</v>
      </c>
      <c r="L31" s="307" t="s">
        <v>1360</v>
      </c>
      <c r="M31" s="307" t="s">
        <v>1251</v>
      </c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  <c r="AA31" s="307"/>
      <c r="AB31" s="307"/>
      <c r="AC31" s="307"/>
      <c r="AD31" s="307"/>
      <c r="AE31" s="307"/>
      <c r="AF31" s="307"/>
      <c r="AG31" s="307"/>
      <c r="AH31" s="307"/>
      <c r="AI31" s="307"/>
      <c r="AJ31" s="307"/>
      <c r="AK31" s="307"/>
      <c r="AL31" s="307"/>
      <c r="AM31" s="307"/>
      <c r="AN31" s="307"/>
      <c r="AO31" s="307"/>
      <c r="AP31" s="307"/>
      <c r="AQ31" s="307"/>
      <c r="AR31" s="307"/>
      <c r="AS31" s="307"/>
      <c r="AT31" s="307"/>
      <c r="AU31" s="307"/>
      <c r="AV31" s="307"/>
      <c r="AW31" s="307"/>
      <c r="AX31" s="307"/>
      <c r="AY31" s="307"/>
      <c r="AZ31" s="307"/>
      <c r="BA31" s="307"/>
      <c r="BB31" s="307"/>
      <c r="BC31" s="307"/>
      <c r="BD31" s="308"/>
      <c r="BE31" s="308"/>
      <c r="BF31" s="308"/>
      <c r="BG31" s="308"/>
      <c r="BH31" s="308"/>
      <c r="BI31" s="308"/>
      <c r="BJ31" s="308"/>
      <c r="BK31" s="307"/>
      <c r="BL31" s="307"/>
      <c r="BM31" s="307"/>
      <c r="BN31" s="307"/>
      <c r="BO31" s="307"/>
      <c r="BP31" s="307"/>
      <c r="BQ31" s="307"/>
      <c r="BR31" s="307"/>
      <c r="BS31" s="307"/>
      <c r="BT31" s="307"/>
      <c r="BU31" s="307"/>
      <c r="BV31" s="307"/>
      <c r="BW31" s="307"/>
      <c r="BX31" s="307"/>
      <c r="BY31" s="307"/>
      <c r="BZ31" s="307"/>
      <c r="CA31" s="307"/>
      <c r="CB31" s="307"/>
      <c r="CC31" s="307"/>
      <c r="CD31" s="307"/>
      <c r="CE31" s="309"/>
      <c r="CF31" s="309"/>
      <c r="CG31" s="310"/>
      <c r="CH31" s="232"/>
      <c r="CI31" s="232"/>
      <c r="CJ31" s="232"/>
      <c r="CK31" s="232"/>
      <c r="CL31" s="233"/>
      <c r="CM31" s="233"/>
      <c r="CN31" s="233"/>
      <c r="CO31" s="233"/>
      <c r="CP31" s="233"/>
      <c r="CQ31" s="233"/>
      <c r="CR31" s="234"/>
      <c r="CS31" s="234"/>
      <c r="CT31" s="234"/>
      <c r="CU31" s="234"/>
      <c r="CV31" s="234"/>
      <c r="CW31" s="234"/>
      <c r="CX31" s="234"/>
      <c r="CY31" s="234"/>
      <c r="CZ31" s="234"/>
      <c r="DA31" s="234"/>
      <c r="DB31" s="234"/>
      <c r="DC31" s="234"/>
      <c r="DD31" s="234"/>
      <c r="DE31" s="234"/>
    </row>
    <row r="32" spans="1:257" ht="21" thickTop="1" thickBot="1">
      <c r="B32" s="307">
        <v>300</v>
      </c>
      <c r="C32" s="307">
        <v>1540</v>
      </c>
      <c r="D32" s="307">
        <v>400</v>
      </c>
      <c r="E32" s="307">
        <v>330</v>
      </c>
      <c r="F32" s="307">
        <v>1000</v>
      </c>
      <c r="G32" s="307">
        <v>400</v>
      </c>
      <c r="H32" s="307">
        <v>600</v>
      </c>
      <c r="I32" s="307">
        <v>550</v>
      </c>
      <c r="J32" s="307"/>
      <c r="K32" s="307">
        <v>360</v>
      </c>
      <c r="L32" s="307">
        <v>600</v>
      </c>
      <c r="M32" s="307">
        <v>500</v>
      </c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07"/>
      <c r="AK32" s="307"/>
      <c r="AL32" s="307"/>
      <c r="AM32" s="307"/>
      <c r="AN32" s="307"/>
      <c r="AO32" s="307"/>
      <c r="AP32" s="307"/>
      <c r="AQ32" s="307"/>
      <c r="AR32" s="307"/>
      <c r="AS32" s="307"/>
      <c r="AT32" s="307"/>
      <c r="AU32" s="307"/>
      <c r="AV32" s="307"/>
      <c r="AW32" s="307"/>
      <c r="AX32" s="307"/>
      <c r="AY32" s="307"/>
      <c r="AZ32" s="307"/>
      <c r="BA32" s="307"/>
      <c r="BB32" s="307"/>
      <c r="BC32" s="307"/>
      <c r="BD32" s="308"/>
      <c r="BE32" s="308"/>
      <c r="BF32" s="308"/>
      <c r="BG32" s="308"/>
      <c r="BH32" s="308"/>
      <c r="BI32" s="308"/>
      <c r="BJ32" s="308"/>
      <c r="BK32" s="307"/>
      <c r="BL32" s="307"/>
      <c r="BM32" s="307"/>
      <c r="BN32" s="307"/>
      <c r="BO32" s="307"/>
      <c r="BP32" s="307"/>
      <c r="BQ32" s="307"/>
      <c r="BR32" s="307"/>
      <c r="BS32" s="307"/>
      <c r="BT32" s="307"/>
      <c r="BU32" s="307"/>
      <c r="BV32" s="307"/>
      <c r="BW32" s="307"/>
      <c r="BX32" s="307"/>
      <c r="BY32" s="307"/>
      <c r="BZ32" s="307"/>
      <c r="CA32" s="307"/>
      <c r="CB32" s="307"/>
      <c r="CC32" s="307"/>
      <c r="CD32" s="307"/>
      <c r="CE32" s="309"/>
      <c r="CF32" s="309"/>
      <c r="CG32" s="310"/>
      <c r="CH32" s="232"/>
      <c r="CI32" s="232"/>
      <c r="CJ32" s="232"/>
      <c r="CK32" s="232"/>
      <c r="CL32" s="233"/>
      <c r="CM32" s="233"/>
      <c r="CN32" s="233"/>
      <c r="CO32" s="233"/>
      <c r="CP32" s="233"/>
      <c r="CQ32" s="233"/>
      <c r="CR32" s="234"/>
      <c r="CS32" s="234"/>
      <c r="CT32" s="234"/>
      <c r="CU32" s="234"/>
      <c r="CV32" s="234"/>
      <c r="CW32" s="234"/>
      <c r="CX32" s="234"/>
      <c r="CY32" s="234"/>
      <c r="CZ32" s="234"/>
      <c r="DA32" s="234"/>
      <c r="DB32" s="234"/>
      <c r="DC32" s="234"/>
      <c r="DD32" s="234"/>
      <c r="DE32" s="234"/>
    </row>
    <row r="33" spans="2:109" ht="38.25" customHeight="1" thickTop="1" thickBot="1">
      <c r="B33" s="307" t="s">
        <v>1361</v>
      </c>
      <c r="C33" s="307" t="s">
        <v>1362</v>
      </c>
      <c r="D33" s="307"/>
      <c r="E33" s="307" t="s">
        <v>1363</v>
      </c>
      <c r="F33" s="307" t="s">
        <v>1364</v>
      </c>
      <c r="G33" s="307" t="s">
        <v>1365</v>
      </c>
      <c r="H33" s="307" t="s">
        <v>1366</v>
      </c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  <c r="AG33" s="307"/>
      <c r="AH33" s="307"/>
      <c r="AI33" s="307"/>
      <c r="AJ33" s="307"/>
      <c r="AK33" s="307"/>
      <c r="AL33" s="307"/>
      <c r="AM33" s="307"/>
      <c r="AN33" s="307"/>
      <c r="AO33" s="307"/>
      <c r="AP33" s="307"/>
      <c r="AQ33" s="307"/>
      <c r="AR33" s="307"/>
      <c r="AS33" s="307"/>
      <c r="AT33" s="308"/>
      <c r="AU33" s="307"/>
      <c r="AV33" s="307"/>
      <c r="AW33" s="307"/>
      <c r="AX33" s="307"/>
      <c r="AY33" s="307"/>
      <c r="AZ33" s="307"/>
      <c r="BA33" s="307"/>
      <c r="BB33" s="307"/>
      <c r="BC33" s="307"/>
      <c r="BD33" s="308"/>
      <c r="BE33" s="308"/>
      <c r="BF33" s="308"/>
      <c r="BG33" s="308"/>
      <c r="BH33" s="308"/>
      <c r="BI33" s="308"/>
      <c r="BJ33" s="308"/>
      <c r="BK33" s="307"/>
      <c r="BL33" s="307"/>
      <c r="BM33" s="307"/>
      <c r="BN33" s="307"/>
      <c r="BO33" s="307"/>
      <c r="BP33" s="307"/>
      <c r="BQ33" s="307"/>
      <c r="BR33" s="307"/>
      <c r="BS33" s="307"/>
      <c r="BT33" s="307"/>
      <c r="BU33" s="307"/>
      <c r="BV33" s="307"/>
      <c r="BW33" s="307"/>
      <c r="BX33" s="307"/>
      <c r="BY33" s="307"/>
      <c r="BZ33" s="307"/>
      <c r="CA33" s="307"/>
      <c r="CB33" s="307"/>
      <c r="CC33" s="307"/>
      <c r="CD33" s="307"/>
      <c r="CE33" s="309"/>
      <c r="CF33" s="309"/>
      <c r="CG33" s="310"/>
      <c r="CH33" s="232"/>
      <c r="CI33" s="232"/>
      <c r="CJ33" s="232"/>
      <c r="CK33" s="232"/>
      <c r="CL33" s="233"/>
      <c r="CM33" s="233"/>
      <c r="CN33" s="233"/>
      <c r="CO33" s="233"/>
      <c r="CP33" s="233"/>
      <c r="CQ33" s="233"/>
      <c r="CR33" s="234"/>
      <c r="CS33" s="234"/>
      <c r="CT33" s="234"/>
      <c r="CU33" s="234"/>
      <c r="CV33" s="234"/>
      <c r="CW33" s="234"/>
      <c r="CX33" s="234"/>
      <c r="CY33" s="234"/>
      <c r="CZ33" s="234"/>
      <c r="DA33" s="234"/>
      <c r="DB33" s="234"/>
      <c r="DC33" s="234"/>
      <c r="DD33" s="234"/>
      <c r="DE33" s="234"/>
    </row>
    <row r="34" spans="2:109" ht="38.25" customHeight="1" thickTop="1" thickBot="1">
      <c r="B34" s="307">
        <v>700</v>
      </c>
      <c r="C34" s="307">
        <v>1700</v>
      </c>
      <c r="D34" s="307"/>
      <c r="E34" s="307">
        <v>400</v>
      </c>
      <c r="F34" s="307">
        <v>200</v>
      </c>
      <c r="G34" s="307">
        <v>500</v>
      </c>
      <c r="H34" s="307">
        <v>550</v>
      </c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  <c r="AA34" s="307"/>
      <c r="AB34" s="307"/>
      <c r="AC34" s="307"/>
      <c r="AD34" s="307"/>
      <c r="AE34" s="307"/>
      <c r="AF34" s="307"/>
      <c r="AG34" s="307"/>
      <c r="AH34" s="307"/>
      <c r="AI34" s="307"/>
      <c r="AJ34" s="307"/>
      <c r="AK34" s="307"/>
      <c r="AL34" s="307"/>
      <c r="AM34" s="307"/>
      <c r="AN34" s="307"/>
      <c r="AO34" s="307"/>
      <c r="AP34" s="307"/>
      <c r="AQ34" s="307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307"/>
      <c r="BC34" s="307"/>
      <c r="BD34" s="308"/>
      <c r="BE34" s="308"/>
      <c r="BF34" s="308"/>
      <c r="BG34" s="308"/>
      <c r="BH34" s="308"/>
      <c r="BI34" s="308"/>
      <c r="BJ34" s="308"/>
      <c r="BK34" s="307"/>
      <c r="BL34" s="307"/>
      <c r="BM34" s="307"/>
      <c r="BN34" s="307"/>
      <c r="BO34" s="307"/>
      <c r="BP34" s="307"/>
      <c r="BQ34" s="307"/>
      <c r="BR34" s="307"/>
      <c r="BS34" s="307"/>
      <c r="BT34" s="307"/>
      <c r="BU34" s="307"/>
      <c r="BV34" s="307"/>
      <c r="BW34" s="307"/>
      <c r="BX34" s="307"/>
      <c r="BY34" s="307"/>
      <c r="BZ34" s="307"/>
      <c r="CA34" s="307"/>
      <c r="CB34" s="307"/>
      <c r="CC34" s="307"/>
      <c r="CD34" s="307"/>
      <c r="CE34" s="309"/>
      <c r="CF34" s="309"/>
      <c r="CG34" s="310"/>
      <c r="CH34" s="232"/>
      <c r="CI34" s="232"/>
      <c r="CJ34" s="232"/>
      <c r="CK34" s="232"/>
      <c r="CL34" s="233"/>
      <c r="CM34" s="233"/>
      <c r="CN34" s="233"/>
      <c r="CO34" s="233"/>
      <c r="CP34" s="233"/>
      <c r="CQ34" s="233"/>
      <c r="CR34" s="234"/>
      <c r="CS34" s="234"/>
      <c r="CT34" s="234"/>
      <c r="CU34" s="234"/>
      <c r="CV34" s="234"/>
      <c r="CW34" s="234"/>
      <c r="CX34" s="234"/>
      <c r="CY34" s="234"/>
      <c r="CZ34" s="234"/>
      <c r="DA34" s="234"/>
      <c r="DB34" s="234"/>
      <c r="DC34" s="234"/>
      <c r="DD34" s="234"/>
      <c r="DE34" s="234"/>
    </row>
    <row r="35" spans="2:109" ht="38.25" customHeight="1" thickTop="1" thickBot="1">
      <c r="B35" s="307" t="s">
        <v>1367</v>
      </c>
      <c r="C35" s="307"/>
      <c r="D35" s="307" t="s">
        <v>1368</v>
      </c>
      <c r="E35" s="307" t="s">
        <v>1369</v>
      </c>
      <c r="F35" s="307" t="s">
        <v>1370</v>
      </c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7"/>
      <c r="AH35" s="307"/>
      <c r="AI35" s="307"/>
      <c r="AJ35" s="307"/>
      <c r="AK35" s="307"/>
      <c r="AL35" s="307"/>
      <c r="AM35" s="307"/>
      <c r="AN35" s="307"/>
      <c r="AO35" s="307"/>
      <c r="AP35" s="307"/>
      <c r="AQ35" s="307"/>
      <c r="AR35" s="307"/>
      <c r="AS35" s="307"/>
      <c r="AT35" s="307"/>
      <c r="AU35" s="307"/>
      <c r="AV35" s="307"/>
      <c r="AW35" s="307"/>
      <c r="AX35" s="307"/>
      <c r="AY35" s="307"/>
      <c r="AZ35" s="307"/>
      <c r="BA35" s="307"/>
      <c r="BB35" s="307"/>
      <c r="BC35" s="307"/>
      <c r="BD35" s="308"/>
      <c r="BE35" s="308"/>
      <c r="BF35" s="308"/>
      <c r="BG35" s="308"/>
      <c r="BH35" s="308"/>
      <c r="BI35" s="308"/>
      <c r="BJ35" s="308"/>
      <c r="BK35" s="307"/>
      <c r="BL35" s="307"/>
      <c r="BM35" s="307"/>
      <c r="BN35" s="307"/>
      <c r="BO35" s="307"/>
      <c r="BP35" s="307"/>
      <c r="BQ35" s="307"/>
      <c r="BR35" s="307"/>
      <c r="BS35" s="307"/>
      <c r="BT35" s="307"/>
      <c r="BU35" s="307"/>
      <c r="BV35" s="307"/>
      <c r="BW35" s="307"/>
      <c r="BX35" s="307"/>
      <c r="BY35" s="307"/>
      <c r="BZ35" s="307"/>
      <c r="CA35" s="307"/>
      <c r="CB35" s="307"/>
      <c r="CC35" s="307"/>
      <c r="CD35" s="307"/>
      <c r="CE35" s="309"/>
      <c r="CF35" s="309"/>
      <c r="CG35" s="310"/>
      <c r="CH35" s="232"/>
      <c r="CI35" s="232"/>
      <c r="CJ35" s="232"/>
      <c r="CK35" s="232"/>
      <c r="CL35" s="233"/>
      <c r="CM35" s="233"/>
      <c r="CN35" s="233"/>
      <c r="CO35" s="233"/>
      <c r="CP35" s="233"/>
      <c r="CQ35" s="233"/>
      <c r="CR35" s="234"/>
      <c r="CS35" s="234"/>
      <c r="CT35" s="234"/>
      <c r="CU35" s="234"/>
      <c r="CV35" s="234"/>
      <c r="CW35" s="234"/>
      <c r="CX35" s="234"/>
      <c r="CY35" s="234"/>
      <c r="CZ35" s="234"/>
      <c r="DA35" s="234"/>
      <c r="DB35" s="234"/>
      <c r="DC35" s="234"/>
      <c r="DD35" s="234"/>
      <c r="DE35" s="234"/>
    </row>
    <row r="36" spans="2:109" ht="38.25" customHeight="1" thickTop="1" thickBot="1">
      <c r="B36" s="307">
        <v>290</v>
      </c>
      <c r="C36" s="307"/>
      <c r="D36" s="307">
        <v>350</v>
      </c>
      <c r="E36" s="307">
        <v>400</v>
      </c>
      <c r="F36" s="307">
        <v>330</v>
      </c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  <c r="AG36" s="307"/>
      <c r="AH36" s="307"/>
      <c r="AI36" s="307"/>
      <c r="AJ36" s="307"/>
      <c r="AK36" s="307"/>
      <c r="AL36" s="307"/>
      <c r="AM36" s="307"/>
      <c r="AN36" s="307"/>
      <c r="AO36" s="307"/>
      <c r="AP36" s="307"/>
      <c r="AQ36" s="307"/>
      <c r="AR36" s="307"/>
      <c r="AS36" s="307"/>
      <c r="AT36" s="307"/>
      <c r="AU36" s="307"/>
      <c r="AV36" s="307"/>
      <c r="AW36" s="307"/>
      <c r="AX36" s="307"/>
      <c r="AY36" s="307"/>
      <c r="AZ36" s="307"/>
      <c r="BA36" s="307"/>
      <c r="BB36" s="307"/>
      <c r="BC36" s="307"/>
      <c r="BD36" s="307"/>
      <c r="BE36" s="307"/>
      <c r="BF36" s="307"/>
      <c r="BG36" s="307"/>
      <c r="BH36" s="307"/>
      <c r="BI36" s="307"/>
      <c r="BJ36" s="307"/>
      <c r="BK36" s="307"/>
      <c r="BL36" s="307"/>
      <c r="BM36" s="307"/>
      <c r="BN36" s="307"/>
      <c r="BO36" s="307"/>
      <c r="BP36" s="307"/>
      <c r="BQ36" s="307"/>
      <c r="BR36" s="307"/>
      <c r="BS36" s="307"/>
      <c r="BT36" s="307"/>
      <c r="BU36" s="307"/>
      <c r="BV36" s="307"/>
      <c r="BW36" s="307"/>
      <c r="BX36" s="307"/>
      <c r="BY36" s="307"/>
      <c r="BZ36" s="307"/>
      <c r="CA36" s="307"/>
      <c r="CB36" s="307"/>
      <c r="CC36" s="307"/>
      <c r="CD36" s="307"/>
      <c r="CE36" s="309"/>
      <c r="CF36" s="309"/>
      <c r="CG36" s="310"/>
      <c r="CH36" s="232"/>
      <c r="CI36" s="232"/>
      <c r="CJ36" s="232"/>
      <c r="CK36" s="232"/>
      <c r="CL36" s="233"/>
      <c r="CM36" s="233"/>
      <c r="CN36" s="233"/>
      <c r="CO36" s="233"/>
      <c r="CP36" s="233"/>
      <c r="CQ36" s="233"/>
      <c r="CR36" s="234"/>
      <c r="CS36" s="234"/>
      <c r="CT36" s="234"/>
      <c r="CU36" s="234"/>
      <c r="CV36" s="234"/>
      <c r="CW36" s="234"/>
      <c r="CX36" s="234"/>
      <c r="CY36" s="234"/>
      <c r="CZ36" s="234"/>
      <c r="DA36" s="234"/>
      <c r="DB36" s="234"/>
      <c r="DC36" s="234"/>
      <c r="DD36" s="234"/>
      <c r="DE36" s="234"/>
    </row>
    <row r="37" spans="2:109" ht="38.25" customHeight="1" thickTop="1" thickBot="1">
      <c r="B37" s="307" t="s">
        <v>1371</v>
      </c>
      <c r="C37" s="307" t="s">
        <v>1372</v>
      </c>
      <c r="D37" s="307" t="s">
        <v>1373</v>
      </c>
      <c r="E37" s="307" t="s">
        <v>1374</v>
      </c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7"/>
      <c r="AH37" s="307"/>
      <c r="AI37" s="307"/>
      <c r="AJ37" s="307"/>
      <c r="AK37" s="307"/>
      <c r="AL37" s="307"/>
      <c r="AM37" s="307"/>
      <c r="AN37" s="307"/>
      <c r="AO37" s="307"/>
      <c r="AP37" s="307"/>
      <c r="AQ37" s="307"/>
      <c r="AR37" s="307"/>
      <c r="AS37" s="307"/>
      <c r="AT37" s="307"/>
      <c r="AU37" s="307"/>
      <c r="AV37" s="307"/>
      <c r="AW37" s="307"/>
      <c r="AX37" s="307"/>
      <c r="AY37" s="307"/>
      <c r="AZ37" s="307"/>
      <c r="BA37" s="307"/>
      <c r="BB37" s="307"/>
      <c r="BC37" s="307"/>
      <c r="BD37" s="307"/>
      <c r="BE37" s="307"/>
      <c r="BF37" s="307"/>
      <c r="BG37" s="307"/>
      <c r="BH37" s="307"/>
      <c r="BI37" s="307"/>
      <c r="BJ37" s="307"/>
      <c r="BK37" s="307"/>
      <c r="BL37" s="307"/>
      <c r="BM37" s="307"/>
      <c r="BN37" s="307"/>
      <c r="BO37" s="307"/>
      <c r="BP37" s="307"/>
      <c r="BQ37" s="307"/>
      <c r="BR37" s="307"/>
      <c r="BS37" s="307"/>
      <c r="BT37" s="307"/>
      <c r="BU37" s="307"/>
      <c r="BV37" s="307"/>
      <c r="BW37" s="307"/>
      <c r="BX37" s="307"/>
      <c r="BY37" s="307"/>
      <c r="BZ37" s="307"/>
      <c r="CA37" s="307"/>
      <c r="CB37" s="307"/>
      <c r="CC37" s="307"/>
      <c r="CD37" s="307"/>
      <c r="CE37" s="309"/>
      <c r="CF37" s="309"/>
      <c r="CG37" s="310"/>
      <c r="CH37" s="232"/>
      <c r="CI37" s="232"/>
      <c r="CJ37" s="232"/>
      <c r="CK37" s="232"/>
      <c r="CL37" s="233"/>
      <c r="CM37" s="233"/>
      <c r="CN37" s="233"/>
      <c r="CO37" s="233"/>
      <c r="CP37" s="233"/>
      <c r="CQ37" s="233"/>
      <c r="CR37" s="234"/>
      <c r="CS37" s="234"/>
      <c r="CT37" s="234"/>
      <c r="CU37" s="234"/>
      <c r="CV37" s="234"/>
      <c r="CW37" s="234"/>
      <c r="CX37" s="234"/>
      <c r="CY37" s="234"/>
      <c r="CZ37" s="234"/>
      <c r="DA37" s="234"/>
      <c r="DB37" s="234"/>
      <c r="DC37" s="234"/>
      <c r="DD37" s="234"/>
      <c r="DE37" s="234"/>
    </row>
    <row r="38" spans="2:109" ht="38.25" customHeight="1" thickTop="1" thickBot="1">
      <c r="B38" s="307">
        <v>350</v>
      </c>
      <c r="C38" s="307">
        <v>180</v>
      </c>
      <c r="D38" s="307">
        <v>400</v>
      </c>
      <c r="E38" s="307">
        <v>120</v>
      </c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  <c r="AA38" s="307"/>
      <c r="AB38" s="307"/>
      <c r="AC38" s="307"/>
      <c r="AD38" s="307"/>
      <c r="AE38" s="307"/>
      <c r="AF38" s="307"/>
      <c r="AG38" s="307"/>
      <c r="AH38" s="307"/>
      <c r="AI38" s="307"/>
      <c r="AJ38" s="307"/>
      <c r="AK38" s="307"/>
      <c r="AL38" s="307"/>
      <c r="AM38" s="307"/>
      <c r="AN38" s="307"/>
      <c r="AO38" s="307"/>
      <c r="AP38" s="307"/>
      <c r="AQ38" s="307"/>
      <c r="AR38" s="307"/>
      <c r="AS38" s="307"/>
      <c r="AT38" s="307"/>
      <c r="AU38" s="307"/>
      <c r="AV38" s="307"/>
      <c r="AW38" s="307"/>
      <c r="AX38" s="307"/>
      <c r="AY38" s="307"/>
      <c r="AZ38" s="307"/>
      <c r="BA38" s="307"/>
      <c r="BB38" s="307"/>
      <c r="BC38" s="307"/>
      <c r="BD38" s="307"/>
      <c r="BE38" s="307"/>
      <c r="BF38" s="307"/>
      <c r="BG38" s="307"/>
      <c r="BH38" s="307"/>
      <c r="BI38" s="307"/>
      <c r="BJ38" s="307"/>
      <c r="BK38" s="307"/>
      <c r="BL38" s="307"/>
      <c r="BM38" s="307"/>
      <c r="BN38" s="307"/>
      <c r="BO38" s="307"/>
      <c r="BP38" s="307"/>
      <c r="BQ38" s="307"/>
      <c r="BR38" s="307"/>
      <c r="BS38" s="307"/>
      <c r="BT38" s="307"/>
      <c r="BU38" s="307"/>
      <c r="BV38" s="307"/>
      <c r="BW38" s="307"/>
      <c r="BX38" s="307"/>
      <c r="BY38" s="307"/>
      <c r="BZ38" s="307"/>
      <c r="CA38" s="307"/>
      <c r="CB38" s="307"/>
      <c r="CC38" s="307"/>
      <c r="CD38" s="307"/>
      <c r="CE38" s="309"/>
      <c r="CF38" s="309"/>
      <c r="CG38" s="310"/>
      <c r="CH38" s="232"/>
      <c r="CI38" s="232"/>
      <c r="CJ38" s="232"/>
      <c r="CK38" s="232"/>
      <c r="CL38" s="233"/>
      <c r="CM38" s="233"/>
      <c r="CN38" s="233"/>
      <c r="CO38" s="233"/>
      <c r="CP38" s="233"/>
      <c r="CQ38" s="233"/>
      <c r="CR38" s="234"/>
      <c r="CS38" s="234"/>
      <c r="CT38" s="234"/>
      <c r="CU38" s="234"/>
      <c r="CV38" s="234"/>
      <c r="CW38" s="234"/>
      <c r="CX38" s="234"/>
      <c r="CY38" s="234"/>
      <c r="CZ38" s="234"/>
      <c r="DA38" s="234"/>
      <c r="DB38" s="234"/>
      <c r="DC38" s="234"/>
      <c r="DD38" s="234"/>
      <c r="DE38" s="234"/>
    </row>
    <row r="39" spans="2:109" ht="38.25" customHeight="1" thickTop="1"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  <c r="AP39" s="232"/>
      <c r="AQ39" s="232"/>
      <c r="AR39" s="232"/>
      <c r="AS39" s="232"/>
      <c r="AT39" s="232"/>
      <c r="AU39" s="232"/>
      <c r="AV39" s="232"/>
      <c r="AW39" s="232"/>
      <c r="AX39" s="232"/>
      <c r="AY39" s="232"/>
      <c r="AZ39" s="232"/>
      <c r="BA39" s="232"/>
      <c r="BB39" s="232"/>
      <c r="BC39" s="232"/>
      <c r="BD39" s="232"/>
      <c r="BE39" s="232"/>
      <c r="BF39" s="232"/>
      <c r="BG39" s="232"/>
      <c r="BH39" s="232"/>
      <c r="BI39" s="232"/>
      <c r="BJ39" s="232"/>
      <c r="BK39" s="232"/>
      <c r="BL39" s="232"/>
      <c r="BM39" s="232"/>
      <c r="BN39" s="232"/>
      <c r="BO39" s="232"/>
      <c r="BP39" s="232"/>
      <c r="BQ39" s="232"/>
      <c r="BR39" s="232"/>
      <c r="BS39" s="232"/>
      <c r="BT39" s="232"/>
      <c r="BU39" s="232"/>
      <c r="BV39" s="232"/>
      <c r="BW39" s="232"/>
      <c r="BX39" s="232"/>
      <c r="BY39" s="232"/>
      <c r="BZ39" s="232"/>
      <c r="CA39" s="232"/>
      <c r="CB39" s="232"/>
      <c r="CC39" s="232"/>
      <c r="CD39" s="232"/>
      <c r="CE39" s="232"/>
      <c r="CF39" s="232"/>
      <c r="CG39" s="232"/>
      <c r="CH39" s="232"/>
      <c r="CI39" s="232"/>
      <c r="CJ39" s="232"/>
      <c r="CK39" s="232"/>
      <c r="CL39" s="233"/>
      <c r="CM39" s="233"/>
      <c r="CN39" s="233"/>
      <c r="CO39" s="233"/>
      <c r="CP39" s="233"/>
      <c r="CQ39" s="233"/>
      <c r="CR39" s="234"/>
      <c r="CS39" s="234"/>
      <c r="CT39" s="234"/>
      <c r="CU39" s="234"/>
      <c r="CV39" s="234"/>
      <c r="CW39" s="234"/>
      <c r="CX39" s="234"/>
      <c r="CY39" s="234"/>
      <c r="CZ39" s="234"/>
      <c r="DA39" s="234"/>
      <c r="DB39" s="234"/>
      <c r="DC39" s="234"/>
      <c r="DD39" s="234"/>
      <c r="DE39" s="234"/>
    </row>
    <row r="40" spans="2:109" ht="38.25" customHeight="1"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2"/>
      <c r="AX40" s="232"/>
      <c r="AY40" s="232"/>
      <c r="AZ40" s="232"/>
      <c r="BA40" s="232"/>
      <c r="BB40" s="232"/>
      <c r="BC40" s="232"/>
      <c r="BD40" s="232"/>
      <c r="BE40" s="232"/>
      <c r="BF40" s="232"/>
      <c r="BG40" s="232"/>
      <c r="BH40" s="232"/>
      <c r="BI40" s="232"/>
      <c r="BJ40" s="232"/>
      <c r="BK40" s="232"/>
      <c r="BL40" s="232"/>
      <c r="BM40" s="232"/>
      <c r="BN40" s="232"/>
      <c r="BO40" s="232"/>
      <c r="BP40" s="232"/>
      <c r="BQ40" s="232"/>
      <c r="BR40" s="232"/>
      <c r="BS40" s="232"/>
      <c r="BT40" s="232"/>
      <c r="BU40" s="232"/>
      <c r="BV40" s="232"/>
      <c r="BW40" s="232"/>
      <c r="BX40" s="232"/>
      <c r="BY40" s="232"/>
      <c r="BZ40" s="232"/>
      <c r="CA40" s="232"/>
      <c r="CB40" s="232"/>
      <c r="CC40" s="232"/>
      <c r="CD40" s="232"/>
      <c r="CE40" s="232"/>
      <c r="CF40" s="232"/>
      <c r="CG40" s="232"/>
      <c r="CH40" s="232"/>
      <c r="CI40" s="232"/>
      <c r="CJ40" s="232"/>
      <c r="CK40" s="232"/>
      <c r="CL40" s="233"/>
      <c r="CM40" s="233"/>
      <c r="CN40" s="233"/>
      <c r="CO40" s="233"/>
      <c r="CP40" s="233"/>
      <c r="CQ40" s="233"/>
      <c r="CR40" s="234"/>
      <c r="CS40" s="234"/>
      <c r="CT40" s="234"/>
      <c r="CU40" s="234"/>
      <c r="CV40" s="234"/>
      <c r="CW40" s="234"/>
      <c r="CX40" s="234"/>
      <c r="CY40" s="234"/>
      <c r="CZ40" s="234"/>
      <c r="DA40" s="234"/>
      <c r="DB40" s="234"/>
      <c r="DC40" s="234"/>
      <c r="DD40" s="234"/>
      <c r="DE40" s="234"/>
    </row>
    <row r="41" spans="2:109" ht="38.25" customHeight="1">
      <c r="C41" s="232"/>
      <c r="D41" s="232"/>
      <c r="E41" s="232"/>
      <c r="F41" s="232"/>
      <c r="G41" s="232"/>
      <c r="H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  <c r="AA41" s="232"/>
      <c r="AB41" s="232"/>
      <c r="AC41" s="232"/>
      <c r="AD41" s="232"/>
      <c r="AE41" s="232"/>
      <c r="AF41" s="232"/>
      <c r="AG41" s="232"/>
      <c r="AH41" s="232"/>
      <c r="AI41" s="232"/>
      <c r="AJ41" s="232"/>
      <c r="AK41" s="232"/>
      <c r="AL41" s="232"/>
      <c r="AM41" s="232"/>
      <c r="AN41" s="232"/>
      <c r="AO41" s="232"/>
      <c r="AP41" s="232"/>
      <c r="AQ41" s="232"/>
      <c r="AR41" s="232"/>
      <c r="AS41" s="232"/>
      <c r="AT41" s="232"/>
      <c r="AU41" s="232"/>
      <c r="AV41" s="232"/>
      <c r="AW41" s="232"/>
      <c r="AX41" s="232"/>
      <c r="AY41" s="232"/>
      <c r="AZ41" s="232"/>
      <c r="BA41" s="232"/>
      <c r="BB41" s="232"/>
      <c r="BC41" s="232"/>
      <c r="BD41" s="232"/>
      <c r="BE41" s="232"/>
      <c r="BF41" s="232"/>
      <c r="BG41" s="232"/>
      <c r="BH41" s="232"/>
      <c r="BI41" s="232"/>
      <c r="BJ41" s="232"/>
      <c r="BK41" s="232"/>
      <c r="BL41" s="232"/>
      <c r="BM41" s="232"/>
      <c r="BN41" s="232"/>
      <c r="BO41" s="232"/>
      <c r="BP41" s="232"/>
      <c r="BQ41" s="232"/>
      <c r="BR41" s="232"/>
      <c r="BS41" s="232"/>
      <c r="BT41" s="232"/>
      <c r="BU41" s="232"/>
      <c r="BV41" s="232"/>
      <c r="BW41" s="232"/>
      <c r="BX41" s="232"/>
      <c r="BY41" s="232"/>
      <c r="BZ41" s="232"/>
      <c r="CA41" s="232"/>
      <c r="CB41" s="232"/>
      <c r="CC41" s="232"/>
      <c r="CD41" s="232"/>
      <c r="CE41" s="232"/>
      <c r="CF41" s="232"/>
      <c r="CG41" s="232"/>
      <c r="CH41" s="232"/>
      <c r="CI41" s="232"/>
      <c r="CJ41" s="232"/>
      <c r="CK41" s="232"/>
      <c r="CL41" s="233"/>
      <c r="CM41" s="233"/>
      <c r="CN41" s="233"/>
      <c r="CO41" s="233"/>
      <c r="CP41" s="233"/>
      <c r="CQ41" s="233"/>
      <c r="CR41" s="234"/>
      <c r="CS41" s="234"/>
      <c r="CT41" s="234"/>
      <c r="CU41" s="234"/>
      <c r="CV41" s="234"/>
      <c r="CW41" s="234"/>
      <c r="CX41" s="234"/>
      <c r="CY41" s="234"/>
      <c r="CZ41" s="234"/>
      <c r="DA41" s="234"/>
      <c r="DB41" s="234"/>
      <c r="DC41" s="234"/>
      <c r="DD41" s="234"/>
      <c r="DE41" s="234"/>
    </row>
    <row r="42" spans="2:109" ht="38.25" customHeight="1"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2"/>
      <c r="AX42" s="232"/>
      <c r="AY42" s="232"/>
      <c r="AZ42" s="232"/>
      <c r="BA42" s="232"/>
      <c r="BB42" s="232"/>
      <c r="BC42" s="232"/>
      <c r="BD42" s="232"/>
      <c r="BE42" s="232"/>
      <c r="BF42" s="232"/>
      <c r="BG42" s="232"/>
      <c r="BH42" s="232"/>
      <c r="BI42" s="232"/>
      <c r="BJ42" s="232"/>
      <c r="BK42" s="232"/>
      <c r="BL42" s="232"/>
      <c r="BM42" s="232"/>
      <c r="BN42" s="232"/>
      <c r="BO42" s="232"/>
      <c r="BP42" s="232"/>
      <c r="BQ42" s="232"/>
      <c r="BR42" s="232"/>
      <c r="BS42" s="232"/>
      <c r="BT42" s="232"/>
      <c r="BU42" s="232"/>
      <c r="BV42" s="232"/>
      <c r="BW42" s="232"/>
      <c r="BX42" s="232"/>
      <c r="BY42" s="232"/>
      <c r="BZ42" s="232"/>
      <c r="CA42" s="232"/>
      <c r="CB42" s="232"/>
      <c r="CC42" s="232"/>
      <c r="CD42" s="232"/>
      <c r="CE42" s="232"/>
      <c r="CF42" s="232"/>
      <c r="CG42" s="232"/>
      <c r="CH42" s="232"/>
      <c r="CI42" s="232"/>
      <c r="CJ42" s="232"/>
      <c r="CK42" s="232"/>
      <c r="CL42" s="233"/>
      <c r="CM42" s="233"/>
      <c r="CN42" s="233"/>
      <c r="CO42" s="233"/>
      <c r="CP42" s="233"/>
      <c r="CQ42" s="233"/>
      <c r="CR42" s="234"/>
      <c r="CS42" s="234"/>
      <c r="CT42" s="234"/>
      <c r="CU42" s="234"/>
      <c r="CV42" s="234"/>
      <c r="CW42" s="234"/>
      <c r="CX42" s="234"/>
      <c r="CY42" s="234"/>
      <c r="CZ42" s="234"/>
      <c r="DA42" s="234"/>
      <c r="DB42" s="234"/>
      <c r="DC42" s="234"/>
      <c r="DD42" s="234"/>
      <c r="DE42" s="234"/>
    </row>
    <row r="43" spans="2:109" ht="38.25" customHeight="1"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  <c r="AP43" s="232"/>
      <c r="AQ43" s="232"/>
      <c r="AR43" s="232"/>
      <c r="AS43" s="232"/>
      <c r="AT43" s="232"/>
      <c r="AU43" s="232"/>
      <c r="AV43" s="232"/>
      <c r="AW43" s="232"/>
      <c r="AX43" s="232"/>
      <c r="AY43" s="232"/>
      <c r="AZ43" s="232"/>
      <c r="BA43" s="232"/>
      <c r="BB43" s="232"/>
      <c r="BC43" s="232"/>
      <c r="BD43" s="232"/>
      <c r="BE43" s="232"/>
      <c r="BF43" s="232"/>
      <c r="BG43" s="232"/>
      <c r="BH43" s="232"/>
      <c r="BI43" s="232"/>
      <c r="BJ43" s="232"/>
      <c r="BK43" s="232"/>
      <c r="BL43" s="232"/>
      <c r="BM43" s="232"/>
      <c r="BN43" s="232"/>
      <c r="BO43" s="232"/>
      <c r="BP43" s="232"/>
      <c r="BQ43" s="232"/>
      <c r="BR43" s="232"/>
      <c r="BS43" s="232"/>
      <c r="BT43" s="232"/>
      <c r="BU43" s="232"/>
      <c r="BV43" s="232"/>
      <c r="BW43" s="232"/>
      <c r="BX43" s="232"/>
      <c r="BY43" s="232"/>
      <c r="BZ43" s="232"/>
      <c r="CA43" s="232"/>
      <c r="CB43" s="232"/>
      <c r="CC43" s="232"/>
      <c r="CD43" s="232"/>
      <c r="CE43" s="232"/>
      <c r="CF43" s="232"/>
      <c r="CG43" s="232"/>
      <c r="CH43" s="232"/>
      <c r="CI43" s="232"/>
      <c r="CJ43" s="232"/>
      <c r="CK43" s="232"/>
      <c r="CL43" s="233"/>
      <c r="CM43" s="233"/>
      <c r="CN43" s="233"/>
      <c r="CO43" s="233"/>
      <c r="CP43" s="233"/>
      <c r="CQ43" s="233"/>
      <c r="CR43" s="234"/>
      <c r="CS43" s="234"/>
      <c r="CT43" s="234"/>
      <c r="CU43" s="234"/>
      <c r="CV43" s="234"/>
      <c r="CW43" s="234"/>
      <c r="CX43" s="234"/>
      <c r="CY43" s="234"/>
      <c r="CZ43" s="234"/>
      <c r="DA43" s="234"/>
      <c r="DB43" s="234"/>
      <c r="DC43" s="234"/>
      <c r="DD43" s="234"/>
      <c r="DE43" s="234"/>
    </row>
    <row r="44" spans="2:109" ht="38.25" customHeight="1"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  <c r="AZ44" s="232"/>
      <c r="BA44" s="232"/>
      <c r="BB44" s="232"/>
      <c r="BC44" s="232"/>
      <c r="BD44" s="232"/>
      <c r="BE44" s="232"/>
      <c r="BF44" s="232"/>
      <c r="BG44" s="232"/>
      <c r="BH44" s="232"/>
      <c r="BI44" s="232"/>
      <c r="BJ44" s="232"/>
      <c r="BK44" s="232"/>
      <c r="BL44" s="232"/>
      <c r="BM44" s="232"/>
      <c r="BN44" s="232"/>
      <c r="BO44" s="232"/>
      <c r="BP44" s="232"/>
      <c r="BQ44" s="232"/>
      <c r="BR44" s="232"/>
      <c r="BS44" s="232"/>
      <c r="BT44" s="232"/>
      <c r="BU44" s="232"/>
      <c r="BV44" s="232"/>
      <c r="BW44" s="232"/>
      <c r="BX44" s="232"/>
      <c r="BY44" s="232"/>
      <c r="BZ44" s="232"/>
      <c r="CA44" s="232"/>
      <c r="CB44" s="232"/>
      <c r="CC44" s="232"/>
      <c r="CD44" s="232"/>
      <c r="CE44" s="232"/>
      <c r="CF44" s="232"/>
      <c r="CG44" s="232"/>
      <c r="CH44" s="232"/>
      <c r="CI44" s="232"/>
      <c r="CJ44" s="232"/>
      <c r="CK44" s="232"/>
      <c r="CL44" s="233"/>
      <c r="CM44" s="233"/>
      <c r="CN44" s="233"/>
      <c r="CO44" s="233"/>
      <c r="CP44" s="233"/>
      <c r="CQ44" s="233"/>
      <c r="CR44" s="234"/>
      <c r="CS44" s="234"/>
      <c r="CT44" s="234"/>
      <c r="CU44" s="234"/>
      <c r="CV44" s="234"/>
      <c r="CW44" s="234"/>
      <c r="CX44" s="234"/>
      <c r="CY44" s="234"/>
      <c r="CZ44" s="234"/>
      <c r="DA44" s="234"/>
      <c r="DB44" s="234"/>
      <c r="DC44" s="234"/>
      <c r="DD44" s="234"/>
      <c r="DE44" s="234"/>
    </row>
    <row r="45" spans="2:109" ht="38.25" customHeight="1"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  <c r="AP45" s="232"/>
      <c r="AQ45" s="232"/>
      <c r="AR45" s="232"/>
      <c r="AS45" s="232"/>
      <c r="AT45" s="232"/>
      <c r="AU45" s="232"/>
      <c r="AV45" s="232"/>
      <c r="AW45" s="232"/>
      <c r="AX45" s="232"/>
      <c r="AY45" s="232"/>
      <c r="AZ45" s="232"/>
      <c r="BA45" s="232"/>
      <c r="BB45" s="232"/>
      <c r="BC45" s="232"/>
      <c r="BD45" s="232"/>
      <c r="BE45" s="232"/>
      <c r="BF45" s="232"/>
      <c r="BG45" s="232"/>
      <c r="BH45" s="232"/>
      <c r="BI45" s="232"/>
      <c r="BJ45" s="232"/>
      <c r="BK45" s="232"/>
      <c r="BL45" s="232"/>
      <c r="BM45" s="232"/>
      <c r="BN45" s="232"/>
      <c r="BO45" s="232"/>
      <c r="BP45" s="232"/>
      <c r="BQ45" s="232"/>
      <c r="BR45" s="232"/>
      <c r="BS45" s="232"/>
      <c r="BT45" s="232"/>
      <c r="BU45" s="232"/>
      <c r="BV45" s="232"/>
      <c r="BW45" s="232"/>
      <c r="BX45" s="232"/>
      <c r="BY45" s="232"/>
      <c r="BZ45" s="232"/>
      <c r="CA45" s="232"/>
      <c r="CB45" s="232"/>
      <c r="CC45" s="232"/>
      <c r="CD45" s="232"/>
      <c r="CE45" s="232"/>
      <c r="CF45" s="232"/>
      <c r="CG45" s="232"/>
      <c r="CH45" s="232"/>
      <c r="CI45" s="232"/>
      <c r="CJ45" s="232"/>
      <c r="CK45" s="232"/>
      <c r="CL45" s="233"/>
      <c r="CM45" s="233"/>
      <c r="CN45" s="233"/>
      <c r="CO45" s="233"/>
      <c r="CP45" s="233"/>
      <c r="CQ45" s="233"/>
      <c r="CR45" s="234"/>
      <c r="CS45" s="234"/>
      <c r="CT45" s="234"/>
      <c r="CU45" s="234"/>
      <c r="CV45" s="234"/>
      <c r="CW45" s="234"/>
      <c r="CX45" s="234"/>
      <c r="CY45" s="234"/>
      <c r="CZ45" s="234"/>
      <c r="DA45" s="234"/>
      <c r="DB45" s="234"/>
      <c r="DC45" s="234"/>
      <c r="DD45" s="234"/>
      <c r="DE45" s="234"/>
    </row>
    <row r="46" spans="2:109" ht="38.25" customHeight="1"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2"/>
      <c r="AX46" s="232"/>
      <c r="AY46" s="232"/>
      <c r="AZ46" s="232"/>
      <c r="BA46" s="232"/>
      <c r="BB46" s="232"/>
      <c r="BC46" s="232"/>
      <c r="BD46" s="232"/>
      <c r="BE46" s="232"/>
      <c r="BF46" s="232"/>
      <c r="BG46" s="232"/>
      <c r="BH46" s="232"/>
      <c r="BI46" s="232"/>
      <c r="BJ46" s="232"/>
      <c r="BK46" s="232"/>
      <c r="BL46" s="232"/>
      <c r="BM46" s="232"/>
      <c r="BN46" s="232"/>
      <c r="BO46" s="232"/>
      <c r="BP46" s="232"/>
      <c r="BQ46" s="232"/>
      <c r="BR46" s="232"/>
      <c r="BS46" s="232"/>
      <c r="BT46" s="232"/>
      <c r="BU46" s="232"/>
      <c r="BV46" s="232"/>
      <c r="BW46" s="232"/>
      <c r="BX46" s="232"/>
      <c r="BY46" s="232"/>
      <c r="BZ46" s="232"/>
      <c r="CA46" s="232"/>
      <c r="CB46" s="232"/>
      <c r="CC46" s="232"/>
      <c r="CD46" s="232"/>
      <c r="CE46" s="232"/>
      <c r="CF46" s="232"/>
      <c r="CG46" s="232"/>
      <c r="CH46" s="232"/>
      <c r="CI46" s="232"/>
      <c r="CJ46" s="232"/>
      <c r="CK46" s="232"/>
      <c r="CL46" s="233"/>
      <c r="CM46" s="233"/>
      <c r="CN46" s="233"/>
      <c r="CO46" s="233"/>
      <c r="CP46" s="233"/>
      <c r="CQ46" s="233"/>
      <c r="CR46" s="234"/>
      <c r="CS46" s="234"/>
      <c r="CT46" s="234"/>
      <c r="CU46" s="234"/>
      <c r="CV46" s="234"/>
      <c r="CW46" s="234"/>
      <c r="CX46" s="234"/>
      <c r="CY46" s="234"/>
      <c r="CZ46" s="234"/>
      <c r="DA46" s="234"/>
      <c r="DB46" s="234"/>
      <c r="DC46" s="234"/>
      <c r="DD46" s="234"/>
      <c r="DE46" s="234"/>
    </row>
    <row r="47" spans="2:109" ht="38.25" customHeight="1"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  <c r="AX47" s="232"/>
      <c r="AY47" s="232"/>
      <c r="AZ47" s="232"/>
      <c r="BA47" s="232"/>
      <c r="BB47" s="232"/>
      <c r="BC47" s="232"/>
      <c r="BD47" s="232"/>
      <c r="BE47" s="232"/>
      <c r="BF47" s="232"/>
      <c r="BG47" s="232"/>
      <c r="BH47" s="232"/>
      <c r="BI47" s="232"/>
      <c r="BJ47" s="232"/>
      <c r="BK47" s="232"/>
      <c r="BL47" s="232"/>
      <c r="BM47" s="232"/>
      <c r="BN47" s="232"/>
      <c r="BO47" s="232"/>
      <c r="BP47" s="232"/>
      <c r="BQ47" s="232"/>
      <c r="BR47" s="232"/>
      <c r="BS47" s="232"/>
      <c r="BT47" s="232"/>
      <c r="BU47" s="232"/>
      <c r="BV47" s="232"/>
      <c r="BW47" s="232"/>
      <c r="BX47" s="232"/>
      <c r="BY47" s="232"/>
      <c r="BZ47" s="232"/>
      <c r="CA47" s="232"/>
      <c r="CB47" s="232"/>
      <c r="CC47" s="232"/>
      <c r="CD47" s="232"/>
      <c r="CE47" s="232"/>
      <c r="CF47" s="232"/>
      <c r="CG47" s="232"/>
      <c r="CH47" s="232"/>
      <c r="CI47" s="232"/>
      <c r="CJ47" s="232"/>
      <c r="CK47" s="232"/>
      <c r="CL47" s="233"/>
      <c r="CM47" s="233"/>
      <c r="CN47" s="233"/>
      <c r="CO47" s="233"/>
      <c r="CP47" s="233"/>
      <c r="CQ47" s="233"/>
      <c r="CR47" s="234"/>
      <c r="CS47" s="234"/>
      <c r="CT47" s="234"/>
      <c r="CU47" s="234"/>
      <c r="CV47" s="234"/>
      <c r="CW47" s="234"/>
      <c r="CX47" s="234"/>
      <c r="CY47" s="234"/>
      <c r="CZ47" s="234"/>
      <c r="DA47" s="234"/>
      <c r="DB47" s="234"/>
      <c r="DC47" s="234"/>
      <c r="DD47" s="234"/>
      <c r="DE47" s="234"/>
    </row>
    <row r="48" spans="2:109" ht="38.25" customHeight="1"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  <c r="AX48" s="232"/>
      <c r="AY48" s="232"/>
      <c r="AZ48" s="232"/>
      <c r="BA48" s="232"/>
      <c r="BB48" s="232"/>
      <c r="BC48" s="232"/>
      <c r="BD48" s="232"/>
      <c r="BE48" s="232"/>
      <c r="BF48" s="232"/>
      <c r="BG48" s="232"/>
      <c r="BH48" s="232"/>
      <c r="BI48" s="232"/>
      <c r="BJ48" s="232"/>
      <c r="BK48" s="232"/>
      <c r="BL48" s="232"/>
      <c r="BM48" s="232"/>
      <c r="BN48" s="232"/>
      <c r="BO48" s="232"/>
      <c r="BP48" s="232"/>
      <c r="BQ48" s="232"/>
      <c r="BR48" s="232"/>
      <c r="BS48" s="232"/>
      <c r="BT48" s="232"/>
      <c r="BU48" s="232"/>
      <c r="BV48" s="232"/>
      <c r="BW48" s="232"/>
      <c r="BX48" s="232"/>
      <c r="BY48" s="232"/>
      <c r="BZ48" s="232"/>
      <c r="CA48" s="232"/>
      <c r="CB48" s="232"/>
      <c r="CC48" s="232"/>
      <c r="CD48" s="232"/>
      <c r="CE48" s="232"/>
      <c r="CF48" s="232"/>
      <c r="CG48" s="232"/>
      <c r="CH48" s="232"/>
      <c r="CI48" s="232"/>
      <c r="CJ48" s="232"/>
      <c r="CK48" s="232"/>
      <c r="CL48" s="233"/>
      <c r="CM48" s="233"/>
      <c r="CN48" s="233"/>
      <c r="CO48" s="233"/>
      <c r="CP48" s="233"/>
      <c r="CQ48" s="233"/>
      <c r="CR48" s="234"/>
      <c r="CS48" s="234"/>
      <c r="CT48" s="234"/>
      <c r="CU48" s="234"/>
      <c r="CV48" s="234"/>
      <c r="CW48" s="234"/>
      <c r="CX48" s="234"/>
      <c r="CY48" s="234"/>
      <c r="CZ48" s="234"/>
      <c r="DA48" s="234"/>
      <c r="DB48" s="234"/>
      <c r="DC48" s="234"/>
      <c r="DD48" s="234"/>
      <c r="DE48" s="234"/>
    </row>
    <row r="49" spans="3:125" ht="38.25" customHeight="1"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  <c r="AX49" s="232"/>
      <c r="AY49" s="232"/>
      <c r="AZ49" s="232"/>
      <c r="BA49" s="232"/>
      <c r="BB49" s="232"/>
      <c r="BC49" s="232"/>
      <c r="BD49" s="232"/>
      <c r="BE49" s="232"/>
      <c r="BF49" s="232"/>
      <c r="BG49" s="232"/>
      <c r="BH49" s="232"/>
      <c r="BI49" s="232"/>
      <c r="BJ49" s="232"/>
      <c r="BK49" s="232"/>
      <c r="BL49" s="232"/>
      <c r="BM49" s="232"/>
      <c r="BN49" s="232"/>
      <c r="BO49" s="232"/>
      <c r="BP49" s="232"/>
      <c r="BQ49" s="232"/>
      <c r="BR49" s="232"/>
      <c r="BS49" s="232"/>
      <c r="BT49" s="232"/>
      <c r="BU49" s="232"/>
      <c r="BV49" s="232"/>
      <c r="BW49" s="232"/>
      <c r="BX49" s="232"/>
      <c r="BY49" s="232"/>
      <c r="BZ49" s="232"/>
      <c r="CA49" s="232"/>
      <c r="CB49" s="232"/>
      <c r="CC49" s="232"/>
      <c r="CD49" s="232"/>
      <c r="CE49" s="232"/>
      <c r="CF49" s="232"/>
      <c r="CG49" s="232"/>
      <c r="CH49" s="232"/>
      <c r="CI49" s="232"/>
      <c r="CJ49" s="232"/>
      <c r="CK49" s="232"/>
      <c r="CL49" s="233"/>
      <c r="CM49" s="233"/>
      <c r="CN49" s="233"/>
      <c r="CO49" s="233"/>
      <c r="CP49" s="233"/>
      <c r="CQ49" s="233"/>
      <c r="CR49" s="234"/>
      <c r="CS49" s="234"/>
      <c r="CT49" s="234"/>
      <c r="CU49" s="234"/>
      <c r="CV49" s="234"/>
      <c r="CW49" s="234"/>
      <c r="CX49" s="234"/>
      <c r="CY49" s="234"/>
      <c r="CZ49" s="234"/>
      <c r="DA49" s="234"/>
      <c r="DB49" s="234"/>
      <c r="DC49" s="234"/>
      <c r="DD49" s="234"/>
      <c r="DE49" s="234"/>
    </row>
    <row r="50" spans="3:125" ht="38.25" customHeight="1"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2"/>
      <c r="AX50" s="232"/>
      <c r="AY50" s="232"/>
      <c r="AZ50" s="232"/>
      <c r="BA50" s="232"/>
      <c r="BB50" s="232"/>
      <c r="BC50" s="232"/>
      <c r="BD50" s="232"/>
      <c r="BE50" s="232"/>
      <c r="BF50" s="232"/>
      <c r="BG50" s="232"/>
      <c r="BH50" s="232"/>
      <c r="BI50" s="232"/>
      <c r="BJ50" s="232"/>
      <c r="BK50" s="232"/>
      <c r="BL50" s="232"/>
      <c r="BM50" s="232"/>
      <c r="BN50" s="232"/>
      <c r="BO50" s="232"/>
      <c r="BP50" s="232"/>
      <c r="BQ50" s="232"/>
      <c r="BR50" s="232"/>
      <c r="BS50" s="232"/>
      <c r="BT50" s="232"/>
      <c r="BU50" s="232"/>
      <c r="BV50" s="232"/>
      <c r="BW50" s="232"/>
      <c r="BX50" s="232"/>
      <c r="BY50" s="232"/>
      <c r="BZ50" s="232"/>
      <c r="CA50" s="232"/>
      <c r="CB50" s="232"/>
      <c r="CC50" s="232"/>
      <c r="CD50" s="232"/>
      <c r="CE50" s="232"/>
      <c r="CF50" s="232"/>
      <c r="CG50" s="232"/>
      <c r="CH50" s="232"/>
      <c r="CI50" s="232"/>
      <c r="CJ50" s="232"/>
      <c r="CK50" s="232"/>
      <c r="CL50" s="233"/>
      <c r="CM50" s="233"/>
      <c r="CN50" s="233"/>
      <c r="CO50" s="233"/>
      <c r="CP50" s="233"/>
      <c r="CQ50" s="233"/>
      <c r="CR50" s="234"/>
      <c r="CS50" s="234"/>
      <c r="CT50" s="234"/>
      <c r="CU50" s="234"/>
      <c r="CV50" s="234"/>
      <c r="CW50" s="234"/>
      <c r="CX50" s="234"/>
      <c r="CY50" s="234"/>
      <c r="CZ50" s="234"/>
      <c r="DA50" s="234"/>
      <c r="DB50" s="234"/>
      <c r="DC50" s="234"/>
      <c r="DD50" s="234"/>
      <c r="DE50" s="234"/>
    </row>
    <row r="51" spans="3:125" ht="38.25" customHeight="1"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  <c r="AP51" s="232"/>
      <c r="AQ51" s="232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2"/>
      <c r="BK51" s="232"/>
      <c r="BL51" s="232"/>
      <c r="BM51" s="232"/>
      <c r="BN51" s="232"/>
      <c r="BO51" s="232"/>
      <c r="BP51" s="232"/>
      <c r="BQ51" s="232"/>
      <c r="BR51" s="232"/>
      <c r="BS51" s="232"/>
      <c r="BT51" s="232"/>
      <c r="BU51" s="232"/>
      <c r="BV51" s="232"/>
      <c r="BW51" s="232"/>
      <c r="BX51" s="232"/>
      <c r="BY51" s="232"/>
      <c r="BZ51" s="232"/>
      <c r="CA51" s="232"/>
      <c r="CB51" s="232"/>
      <c r="CC51" s="232"/>
      <c r="CD51" s="232"/>
      <c r="CE51" s="232"/>
      <c r="CF51" s="232"/>
      <c r="CG51" s="232"/>
      <c r="CH51" s="232"/>
      <c r="CI51" s="232"/>
      <c r="CJ51" s="232"/>
      <c r="CK51" s="232"/>
      <c r="CL51" s="233"/>
      <c r="CM51" s="233"/>
      <c r="CN51" s="233"/>
      <c r="CO51" s="233"/>
      <c r="CP51" s="233"/>
      <c r="CQ51" s="233"/>
      <c r="CR51" s="234"/>
      <c r="CS51" s="234"/>
      <c r="CT51" s="234"/>
      <c r="CU51" s="234"/>
      <c r="CV51" s="234"/>
      <c r="CW51" s="234"/>
      <c r="CX51" s="234"/>
      <c r="CY51" s="234"/>
      <c r="CZ51" s="234"/>
      <c r="DA51" s="234"/>
      <c r="DB51" s="234"/>
      <c r="DC51" s="234"/>
      <c r="DD51" s="234"/>
      <c r="DE51" s="234"/>
    </row>
    <row r="52" spans="3:125" ht="38.25" customHeight="1"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  <c r="AX52" s="232"/>
      <c r="AY52" s="232"/>
      <c r="AZ52" s="232"/>
      <c r="BA52" s="232"/>
      <c r="BB52" s="232"/>
      <c r="BC52" s="232"/>
      <c r="BD52" s="232"/>
      <c r="BE52" s="232"/>
      <c r="BF52" s="232"/>
      <c r="BG52" s="232"/>
      <c r="BH52" s="232"/>
      <c r="BI52" s="232"/>
      <c r="BJ52" s="232"/>
      <c r="BK52" s="232"/>
      <c r="BL52" s="232"/>
      <c r="BM52" s="232"/>
      <c r="BN52" s="232"/>
      <c r="BO52" s="232"/>
      <c r="BP52" s="232"/>
      <c r="BQ52" s="232"/>
      <c r="BR52" s="232"/>
      <c r="BS52" s="232"/>
      <c r="BT52" s="232"/>
      <c r="BU52" s="232"/>
      <c r="BV52" s="232"/>
      <c r="BW52" s="232"/>
      <c r="BX52" s="232"/>
      <c r="BY52" s="232"/>
      <c r="BZ52" s="232"/>
      <c r="CA52" s="232"/>
      <c r="CB52" s="232"/>
      <c r="CC52" s="232"/>
      <c r="CD52" s="232"/>
      <c r="CE52" s="232"/>
      <c r="CF52" s="232"/>
      <c r="CG52" s="232"/>
      <c r="CH52" s="232"/>
      <c r="CI52" s="232"/>
      <c r="CJ52" s="232"/>
      <c r="CK52" s="232"/>
      <c r="CL52" s="233"/>
      <c r="CM52" s="233"/>
      <c r="CN52" s="233"/>
      <c r="CO52" s="233"/>
      <c r="CP52" s="233"/>
      <c r="CQ52" s="233"/>
      <c r="CR52" s="234"/>
      <c r="CS52" s="234"/>
      <c r="CT52" s="234"/>
      <c r="CU52" s="234"/>
      <c r="CV52" s="234"/>
      <c r="CW52" s="234"/>
      <c r="CX52" s="234"/>
      <c r="CY52" s="234"/>
      <c r="CZ52" s="234"/>
      <c r="DA52" s="234"/>
      <c r="DB52" s="234"/>
      <c r="DC52" s="234"/>
      <c r="DD52" s="234"/>
      <c r="DE52" s="234"/>
    </row>
    <row r="53" spans="3:125" ht="38.25" customHeight="1"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  <c r="BK53" s="232"/>
      <c r="BL53" s="232"/>
      <c r="BM53" s="232"/>
      <c r="BN53" s="232"/>
      <c r="BO53" s="232"/>
      <c r="BP53" s="232"/>
      <c r="BQ53" s="232"/>
      <c r="BR53" s="232"/>
      <c r="BS53" s="232"/>
      <c r="BT53" s="232"/>
      <c r="BU53" s="232"/>
      <c r="BV53" s="232"/>
      <c r="BW53" s="232"/>
      <c r="BX53" s="232"/>
      <c r="BY53" s="232"/>
      <c r="BZ53" s="232"/>
      <c r="CA53" s="232"/>
      <c r="CB53" s="232"/>
      <c r="CC53" s="232"/>
      <c r="CD53" s="232"/>
      <c r="CE53" s="232"/>
      <c r="CF53" s="232"/>
      <c r="CG53" s="232"/>
      <c r="CH53" s="232"/>
      <c r="CI53" s="232"/>
      <c r="CJ53" s="232"/>
      <c r="CK53" s="232"/>
      <c r="CL53" s="233"/>
      <c r="CM53" s="233"/>
      <c r="CN53" s="233"/>
      <c r="CO53" s="233"/>
      <c r="CP53" s="233"/>
      <c r="CQ53" s="233"/>
      <c r="CR53" s="234"/>
      <c r="CS53" s="234"/>
      <c r="CT53" s="234"/>
      <c r="CU53" s="234"/>
      <c r="CV53" s="234"/>
      <c r="CW53" s="234"/>
      <c r="CX53" s="234"/>
      <c r="CY53" s="234"/>
      <c r="CZ53" s="234"/>
      <c r="DA53" s="234"/>
      <c r="DB53" s="234"/>
      <c r="DC53" s="234"/>
      <c r="DD53" s="234"/>
      <c r="DE53" s="234"/>
    </row>
    <row r="54" spans="3:125" ht="38.25" customHeight="1"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  <c r="AX54" s="232"/>
      <c r="AY54" s="232"/>
      <c r="AZ54" s="232"/>
      <c r="BA54" s="232"/>
      <c r="BB54" s="232"/>
      <c r="BC54" s="232"/>
      <c r="BD54" s="232"/>
      <c r="BE54" s="232"/>
      <c r="BF54" s="232"/>
      <c r="BG54" s="232"/>
      <c r="BH54" s="232"/>
      <c r="BI54" s="232"/>
      <c r="BJ54" s="232"/>
      <c r="BK54" s="232"/>
      <c r="BL54" s="232"/>
      <c r="BM54" s="232"/>
      <c r="BN54" s="232"/>
      <c r="BO54" s="232"/>
      <c r="BP54" s="232"/>
      <c r="BQ54" s="232"/>
      <c r="BR54" s="232"/>
      <c r="BS54" s="232"/>
      <c r="BT54" s="232"/>
      <c r="BU54" s="232"/>
      <c r="BV54" s="232"/>
      <c r="BW54" s="232"/>
      <c r="BX54" s="232"/>
      <c r="BY54" s="232"/>
      <c r="BZ54" s="232"/>
      <c r="CA54" s="232"/>
      <c r="CB54" s="232"/>
      <c r="CC54" s="232"/>
      <c r="CD54" s="232"/>
      <c r="CE54" s="232"/>
      <c r="CF54" s="232"/>
      <c r="CG54" s="232"/>
      <c r="CH54" s="232"/>
      <c r="CI54" s="232"/>
      <c r="CJ54" s="232"/>
      <c r="CK54" s="232"/>
      <c r="CL54" s="233"/>
      <c r="CM54" s="233"/>
      <c r="CN54" s="233"/>
      <c r="CO54" s="233"/>
      <c r="CP54" s="233"/>
      <c r="CQ54" s="233"/>
      <c r="CR54" s="234"/>
      <c r="CS54" s="234"/>
      <c r="CT54" s="234"/>
      <c r="CU54" s="234"/>
      <c r="CV54" s="234"/>
      <c r="CW54" s="234"/>
      <c r="CX54" s="234"/>
      <c r="CY54" s="234"/>
      <c r="CZ54" s="234"/>
      <c r="DA54" s="234"/>
      <c r="DB54" s="234"/>
      <c r="DC54" s="234"/>
      <c r="DD54" s="234"/>
      <c r="DE54" s="234"/>
    </row>
    <row r="55" spans="3:125" ht="38.25" customHeight="1"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2"/>
      <c r="BL55" s="232"/>
      <c r="BM55" s="232"/>
      <c r="BN55" s="232"/>
      <c r="BO55" s="232"/>
      <c r="BP55" s="232"/>
      <c r="BQ55" s="232"/>
      <c r="BR55" s="232"/>
      <c r="BS55" s="232"/>
      <c r="BT55" s="232"/>
      <c r="BU55" s="232"/>
      <c r="BV55" s="232"/>
      <c r="BW55" s="232"/>
      <c r="BX55" s="232"/>
      <c r="BY55" s="232"/>
      <c r="BZ55" s="232"/>
      <c r="CA55" s="232"/>
      <c r="CB55" s="232"/>
      <c r="CC55" s="232"/>
      <c r="CD55" s="232"/>
      <c r="CE55" s="232"/>
      <c r="CF55" s="232"/>
      <c r="CG55" s="232"/>
      <c r="CH55" s="232"/>
      <c r="CI55" s="232"/>
      <c r="CJ55" s="232"/>
      <c r="CK55" s="232"/>
      <c r="CL55" s="233"/>
      <c r="CM55" s="233"/>
      <c r="CN55" s="233"/>
      <c r="CO55" s="233"/>
      <c r="CP55" s="233"/>
      <c r="CQ55" s="233"/>
      <c r="CR55" s="234"/>
      <c r="CS55" s="234"/>
      <c r="CT55" s="234"/>
      <c r="CU55" s="234"/>
      <c r="CV55" s="234"/>
      <c r="CW55" s="234"/>
      <c r="CX55" s="234"/>
      <c r="CY55" s="234"/>
      <c r="CZ55" s="234"/>
      <c r="DA55" s="234"/>
      <c r="DB55" s="234"/>
      <c r="DC55" s="234"/>
      <c r="DD55" s="234"/>
      <c r="DE55" s="234"/>
    </row>
    <row r="56" spans="3:125" ht="38.25" customHeight="1"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  <c r="AP56" s="232"/>
      <c r="AQ56" s="232"/>
      <c r="AR56" s="232"/>
      <c r="AS56" s="232"/>
      <c r="AT56" s="232"/>
      <c r="AU56" s="232"/>
      <c r="AV56" s="232"/>
      <c r="AW56" s="232"/>
      <c r="AX56" s="232"/>
      <c r="AY56" s="232"/>
      <c r="AZ56" s="232"/>
      <c r="BA56" s="232"/>
      <c r="BB56" s="232"/>
      <c r="BC56" s="232"/>
      <c r="BD56" s="232"/>
      <c r="BE56" s="232"/>
      <c r="BF56" s="232"/>
      <c r="BG56" s="232"/>
      <c r="BH56" s="232"/>
      <c r="BI56" s="232"/>
      <c r="BJ56" s="232"/>
      <c r="BK56" s="232"/>
      <c r="BL56" s="232"/>
      <c r="BM56" s="232"/>
      <c r="BN56" s="232"/>
      <c r="BO56" s="232"/>
      <c r="BP56" s="232"/>
      <c r="BQ56" s="232"/>
      <c r="BR56" s="232"/>
      <c r="BS56" s="232"/>
      <c r="BT56" s="232"/>
      <c r="BU56" s="232"/>
      <c r="BV56" s="232"/>
      <c r="BW56" s="232"/>
      <c r="BX56" s="232"/>
      <c r="BY56" s="232"/>
      <c r="BZ56" s="232"/>
      <c r="CA56" s="232"/>
      <c r="CB56" s="232"/>
      <c r="CC56" s="232"/>
      <c r="CD56" s="232"/>
      <c r="CE56" s="232"/>
      <c r="CF56" s="232"/>
      <c r="CG56" s="232"/>
      <c r="CH56" s="232"/>
      <c r="CI56" s="232"/>
      <c r="CJ56" s="232"/>
      <c r="CK56" s="232"/>
      <c r="CL56" s="233"/>
      <c r="CM56" s="233"/>
      <c r="CN56" s="233"/>
      <c r="CO56" s="233"/>
      <c r="CP56" s="233"/>
      <c r="CQ56" s="233"/>
      <c r="CR56" s="234"/>
      <c r="CS56" s="234"/>
      <c r="CT56" s="234"/>
      <c r="CU56" s="234"/>
      <c r="CV56" s="234"/>
      <c r="CW56" s="234"/>
      <c r="CX56" s="234"/>
      <c r="CY56" s="234"/>
      <c r="CZ56" s="234"/>
      <c r="DA56" s="234"/>
      <c r="DB56" s="234"/>
      <c r="DC56" s="234"/>
      <c r="DD56" s="234"/>
      <c r="DE56" s="234"/>
    </row>
    <row r="57" spans="3:125" ht="38.25" customHeight="1"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  <c r="AX57" s="232"/>
      <c r="AY57" s="232"/>
      <c r="AZ57" s="232"/>
      <c r="BA57" s="232"/>
      <c r="BB57" s="232"/>
      <c r="BC57" s="232"/>
      <c r="BD57" s="232"/>
      <c r="BE57" s="232"/>
      <c r="BF57" s="232"/>
      <c r="BG57" s="232"/>
      <c r="BH57" s="232"/>
      <c r="BI57" s="232"/>
      <c r="BJ57" s="232"/>
      <c r="BK57" s="232"/>
      <c r="BL57" s="232"/>
      <c r="BM57" s="232"/>
      <c r="BN57" s="232"/>
      <c r="BO57" s="232"/>
      <c r="BP57" s="232"/>
      <c r="BQ57" s="232"/>
      <c r="BR57" s="232"/>
      <c r="BS57" s="232"/>
      <c r="BT57" s="232"/>
      <c r="BU57" s="232"/>
      <c r="BV57" s="232"/>
      <c r="BW57" s="232"/>
      <c r="BX57" s="232"/>
      <c r="BY57" s="232"/>
      <c r="BZ57" s="232"/>
      <c r="CA57" s="232"/>
      <c r="CB57" s="232"/>
      <c r="CC57" s="232"/>
      <c r="CD57" s="232"/>
      <c r="CE57" s="232"/>
      <c r="CF57" s="232"/>
      <c r="CG57" s="232"/>
      <c r="CH57" s="232"/>
      <c r="CI57" s="232"/>
      <c r="CJ57" s="232"/>
      <c r="CK57" s="232"/>
      <c r="CL57" s="233"/>
      <c r="CM57" s="233"/>
      <c r="CN57" s="233"/>
      <c r="CO57" s="233"/>
      <c r="CP57" s="233"/>
      <c r="CQ57" s="233"/>
      <c r="CR57" s="234"/>
      <c r="CS57" s="234"/>
      <c r="CT57" s="234"/>
      <c r="CU57" s="234"/>
      <c r="CV57" s="234"/>
      <c r="CW57" s="234"/>
      <c r="CX57" s="234"/>
      <c r="CY57" s="234"/>
      <c r="CZ57" s="234"/>
      <c r="DA57" s="234"/>
      <c r="DB57" s="234"/>
      <c r="DC57" s="234"/>
      <c r="DD57" s="234"/>
      <c r="DE57" s="234"/>
    </row>
    <row r="58" spans="3:125" ht="38.25" customHeight="1"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  <c r="AP58" s="232"/>
      <c r="AQ58" s="232"/>
      <c r="AR58" s="232"/>
      <c r="AS58" s="232"/>
      <c r="AT58" s="232"/>
      <c r="AU58" s="232"/>
      <c r="AV58" s="232"/>
      <c r="AW58" s="232"/>
      <c r="AX58" s="232"/>
      <c r="AY58" s="232"/>
      <c r="AZ58" s="232"/>
      <c r="BA58" s="232"/>
      <c r="BB58" s="232"/>
      <c r="BC58" s="232"/>
      <c r="BD58" s="232"/>
      <c r="BE58" s="232"/>
      <c r="BF58" s="232"/>
      <c r="BG58" s="232"/>
      <c r="BH58" s="232"/>
      <c r="BI58" s="232"/>
      <c r="BJ58" s="232"/>
      <c r="BK58" s="232"/>
      <c r="BL58" s="232"/>
      <c r="BM58" s="232"/>
      <c r="BN58" s="232"/>
      <c r="BO58" s="232"/>
      <c r="BP58" s="232"/>
      <c r="BQ58" s="232"/>
      <c r="BR58" s="232"/>
      <c r="BS58" s="232"/>
      <c r="BT58" s="232"/>
      <c r="BU58" s="232"/>
      <c r="BV58" s="232"/>
      <c r="BW58" s="232"/>
      <c r="BX58" s="232"/>
      <c r="BY58" s="232"/>
      <c r="BZ58" s="232"/>
      <c r="CA58" s="232"/>
      <c r="CB58" s="232"/>
      <c r="CC58" s="232"/>
      <c r="CD58" s="232"/>
      <c r="CE58" s="232"/>
      <c r="CF58" s="232"/>
      <c r="CG58" s="232"/>
      <c r="CH58" s="232"/>
      <c r="CI58" s="232"/>
      <c r="CJ58" s="232"/>
      <c r="CK58" s="232"/>
      <c r="CL58" s="233"/>
      <c r="CM58" s="233"/>
      <c r="CN58" s="233"/>
      <c r="CO58" s="233"/>
      <c r="CP58" s="233"/>
      <c r="CQ58" s="233"/>
      <c r="CR58" s="234"/>
      <c r="CS58" s="234"/>
      <c r="CT58" s="234"/>
      <c r="CU58" s="234"/>
      <c r="CV58" s="234"/>
      <c r="CW58" s="234"/>
      <c r="CX58" s="234"/>
      <c r="CY58" s="234"/>
      <c r="CZ58" s="234"/>
      <c r="DA58" s="234"/>
      <c r="DB58" s="234"/>
      <c r="DC58" s="234"/>
      <c r="DD58" s="234"/>
      <c r="DE58" s="234"/>
    </row>
    <row r="59" spans="3:125" ht="38.25" customHeight="1"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  <c r="AP59" s="232"/>
      <c r="AQ59" s="232"/>
      <c r="AR59" s="232"/>
      <c r="AS59" s="232"/>
      <c r="AT59" s="232"/>
      <c r="AU59" s="232"/>
      <c r="AV59" s="232"/>
      <c r="AW59" s="232"/>
      <c r="AX59" s="232"/>
      <c r="AY59" s="232"/>
      <c r="AZ59" s="232"/>
      <c r="BA59" s="232"/>
      <c r="BB59" s="232"/>
      <c r="BC59" s="232"/>
      <c r="BD59" s="232"/>
      <c r="BE59" s="232"/>
      <c r="BF59" s="232"/>
      <c r="BG59" s="232"/>
      <c r="BH59" s="232"/>
      <c r="BI59" s="232"/>
      <c r="BJ59" s="232"/>
      <c r="BK59" s="232"/>
      <c r="BL59" s="232"/>
      <c r="BM59" s="232"/>
      <c r="BN59" s="232"/>
      <c r="BO59" s="232"/>
      <c r="BP59" s="232"/>
      <c r="BQ59" s="232"/>
      <c r="BR59" s="232"/>
      <c r="BS59" s="232"/>
      <c r="BT59" s="232"/>
      <c r="BU59" s="232"/>
      <c r="BV59" s="232"/>
      <c r="BW59" s="232"/>
      <c r="BX59" s="232"/>
      <c r="BY59" s="232"/>
      <c r="BZ59" s="232"/>
      <c r="CA59" s="232"/>
      <c r="CB59" s="232"/>
      <c r="CC59" s="232"/>
      <c r="CD59" s="232"/>
      <c r="CE59" s="232"/>
      <c r="CF59" s="232"/>
      <c r="CG59" s="232"/>
      <c r="CH59" s="232"/>
      <c r="CI59" s="232"/>
      <c r="CJ59" s="232"/>
      <c r="CK59" s="232"/>
      <c r="CL59" s="233"/>
      <c r="CM59" s="233"/>
      <c r="CN59" s="233"/>
      <c r="CO59" s="233"/>
      <c r="CP59" s="233"/>
      <c r="CQ59" s="233"/>
      <c r="CR59" s="234"/>
      <c r="CS59" s="234"/>
      <c r="CT59" s="234"/>
      <c r="CU59" s="234"/>
      <c r="CV59" s="234"/>
      <c r="CW59" s="234"/>
      <c r="CX59" s="234"/>
      <c r="CY59" s="234"/>
      <c r="CZ59" s="234"/>
      <c r="DA59" s="234"/>
      <c r="DB59" s="234"/>
      <c r="DC59" s="234"/>
      <c r="DD59" s="234"/>
      <c r="DE59" s="234"/>
    </row>
    <row r="60" spans="3:125" ht="38.25" customHeight="1"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  <c r="AX60" s="232"/>
      <c r="AY60" s="232"/>
      <c r="AZ60" s="232"/>
      <c r="BA60" s="232"/>
      <c r="BB60" s="232"/>
      <c r="BC60" s="232"/>
      <c r="BD60" s="232"/>
      <c r="BE60" s="232"/>
      <c r="BF60" s="232"/>
      <c r="BG60" s="232"/>
      <c r="BH60" s="232"/>
      <c r="BI60" s="232"/>
      <c r="BJ60" s="232"/>
      <c r="BK60" s="232"/>
      <c r="BL60" s="232"/>
      <c r="BM60" s="232"/>
      <c r="BN60" s="232"/>
      <c r="BO60" s="232"/>
      <c r="BP60" s="232"/>
      <c r="BQ60" s="232"/>
      <c r="BR60" s="232"/>
      <c r="BS60" s="232"/>
      <c r="BT60" s="232"/>
      <c r="BU60" s="232"/>
      <c r="BV60" s="232"/>
      <c r="BW60" s="232"/>
      <c r="BX60" s="232"/>
      <c r="BY60" s="232"/>
      <c r="BZ60" s="232"/>
      <c r="CA60" s="232"/>
      <c r="CB60" s="232"/>
      <c r="CC60" s="232"/>
      <c r="CD60" s="232"/>
      <c r="CE60" s="232"/>
      <c r="CF60" s="232"/>
      <c r="CG60" s="232"/>
      <c r="CH60" s="232"/>
      <c r="CI60" s="232"/>
      <c r="CJ60" s="232"/>
      <c r="CK60" s="232"/>
      <c r="CL60" s="233"/>
      <c r="CM60" s="233"/>
      <c r="CN60" s="233"/>
      <c r="CO60" s="233"/>
      <c r="CP60" s="233"/>
      <c r="CQ60" s="233"/>
      <c r="CR60" s="234"/>
      <c r="CS60" s="234"/>
      <c r="CT60" s="234"/>
      <c r="CU60" s="234"/>
      <c r="CV60" s="234"/>
      <c r="CW60" s="234"/>
      <c r="CX60" s="234"/>
      <c r="CY60" s="234"/>
      <c r="CZ60" s="234"/>
      <c r="DA60" s="234"/>
      <c r="DB60" s="234"/>
      <c r="DC60" s="234"/>
      <c r="DD60" s="234"/>
      <c r="DE60" s="234"/>
    </row>
    <row r="61" spans="3:125" ht="38.25" customHeight="1"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  <c r="AM61" s="232"/>
      <c r="AN61" s="232"/>
      <c r="AO61" s="232"/>
      <c r="AP61" s="232"/>
      <c r="AQ61" s="232"/>
      <c r="AR61" s="232"/>
      <c r="AS61" s="232"/>
      <c r="AT61" s="232"/>
      <c r="AU61" s="232"/>
      <c r="AV61" s="232"/>
      <c r="AW61" s="232"/>
      <c r="AX61" s="232"/>
      <c r="AY61" s="232"/>
      <c r="AZ61" s="232"/>
      <c r="BA61" s="232"/>
      <c r="BB61" s="232"/>
      <c r="BC61" s="232"/>
      <c r="BD61" s="232"/>
      <c r="BE61" s="232"/>
      <c r="BF61" s="232"/>
      <c r="BG61" s="232"/>
      <c r="BH61" s="232"/>
      <c r="BI61" s="232"/>
      <c r="BJ61" s="232"/>
      <c r="BK61" s="232"/>
      <c r="BL61" s="232"/>
      <c r="BM61" s="232"/>
      <c r="BN61" s="232"/>
      <c r="BO61" s="232"/>
      <c r="BP61" s="232"/>
      <c r="BQ61" s="232"/>
      <c r="BR61" s="232"/>
      <c r="BS61" s="232"/>
      <c r="BT61" s="232"/>
      <c r="BU61" s="232"/>
      <c r="BV61" s="232"/>
      <c r="BW61" s="232"/>
      <c r="BX61" s="232"/>
      <c r="BY61" s="232"/>
      <c r="BZ61" s="232"/>
      <c r="CA61" s="232"/>
      <c r="CB61" s="232"/>
      <c r="CC61" s="232"/>
      <c r="CD61" s="232"/>
      <c r="CE61" s="232"/>
      <c r="CF61" s="232"/>
      <c r="CG61" s="232"/>
      <c r="CH61" s="232"/>
      <c r="CI61" s="232"/>
      <c r="CJ61" s="232"/>
      <c r="CK61" s="232"/>
      <c r="CL61" s="233"/>
      <c r="CM61" s="233"/>
      <c r="CN61" s="233"/>
      <c r="CO61" s="233"/>
      <c r="CP61" s="233"/>
      <c r="CQ61" s="233"/>
      <c r="CR61" s="234"/>
      <c r="CS61" s="234"/>
      <c r="CT61" s="234"/>
      <c r="CU61" s="234"/>
      <c r="CV61" s="234"/>
      <c r="CW61" s="234"/>
      <c r="CX61" s="234"/>
      <c r="CY61" s="234"/>
      <c r="CZ61" s="234"/>
      <c r="DA61" s="234"/>
      <c r="DB61" s="234"/>
      <c r="DC61" s="234"/>
      <c r="DD61" s="234"/>
      <c r="DE61" s="234"/>
    </row>
    <row r="62" spans="3:125" ht="38.25" customHeight="1"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  <c r="AX62" s="232"/>
      <c r="AY62" s="232"/>
      <c r="AZ62" s="232"/>
      <c r="BA62" s="232"/>
      <c r="BB62" s="232"/>
      <c r="BC62" s="232"/>
      <c r="BD62" s="232"/>
      <c r="BE62" s="232"/>
      <c r="BF62" s="232"/>
      <c r="BG62" s="232"/>
      <c r="BH62" s="232"/>
      <c r="BI62" s="232"/>
      <c r="BJ62" s="232"/>
      <c r="BK62" s="232"/>
      <c r="BL62" s="232"/>
      <c r="BM62" s="232"/>
      <c r="BN62" s="232"/>
      <c r="BO62" s="232"/>
      <c r="BP62" s="232"/>
      <c r="BQ62" s="232"/>
      <c r="BR62" s="232"/>
      <c r="BS62" s="232"/>
      <c r="BT62" s="232"/>
      <c r="BU62" s="232"/>
      <c r="BV62" s="232"/>
      <c r="BW62" s="232"/>
      <c r="BX62" s="232"/>
      <c r="BY62" s="232"/>
      <c r="BZ62" s="232"/>
      <c r="CA62" s="232"/>
      <c r="CB62" s="232"/>
      <c r="CC62" s="232"/>
      <c r="CD62" s="232"/>
      <c r="CE62" s="232"/>
      <c r="CF62" s="232"/>
      <c r="CG62" s="232"/>
      <c r="CH62" s="232"/>
      <c r="CI62" s="232"/>
      <c r="CJ62" s="232"/>
      <c r="CK62" s="232"/>
      <c r="CL62" s="233"/>
      <c r="CM62" s="233"/>
      <c r="CN62" s="233"/>
      <c r="CO62" s="233"/>
      <c r="CP62" s="233"/>
      <c r="CQ62" s="233"/>
      <c r="CR62" s="234"/>
      <c r="CS62" s="234"/>
      <c r="CT62" s="234"/>
      <c r="CU62" s="234"/>
      <c r="CV62" s="234"/>
      <c r="CW62" s="234"/>
      <c r="CX62" s="234"/>
      <c r="CY62" s="234"/>
      <c r="CZ62" s="234"/>
      <c r="DA62" s="234"/>
      <c r="DB62" s="234"/>
      <c r="DC62" s="234"/>
      <c r="DD62" s="234"/>
      <c r="DE62" s="234"/>
    </row>
    <row r="63" spans="3:125" ht="38.25" customHeight="1"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  <c r="AM63" s="232"/>
      <c r="AN63" s="232"/>
      <c r="AO63" s="232"/>
      <c r="AP63" s="232"/>
      <c r="AQ63" s="232"/>
      <c r="AR63" s="232"/>
      <c r="AS63" s="232"/>
      <c r="AT63" s="232"/>
      <c r="AU63" s="232"/>
      <c r="AV63" s="232"/>
      <c r="AW63" s="232"/>
      <c r="AX63" s="232"/>
      <c r="AY63" s="232"/>
      <c r="AZ63" s="232"/>
      <c r="BA63" s="232"/>
      <c r="BB63" s="232"/>
      <c r="BC63" s="232"/>
      <c r="BD63" s="232"/>
      <c r="BE63" s="232"/>
      <c r="BF63" s="232"/>
      <c r="BG63" s="232"/>
      <c r="BH63" s="232"/>
      <c r="BI63" s="232"/>
      <c r="BJ63" s="232"/>
      <c r="BK63" s="232"/>
      <c r="BL63" s="232"/>
      <c r="BM63" s="232"/>
      <c r="BN63" s="232"/>
      <c r="BO63" s="232"/>
      <c r="BP63" s="232"/>
      <c r="BQ63" s="232"/>
      <c r="BR63" s="232"/>
      <c r="BS63" s="232"/>
      <c r="BT63" s="232"/>
      <c r="BU63" s="232"/>
      <c r="BV63" s="232"/>
      <c r="BW63" s="232"/>
      <c r="BX63" s="232"/>
      <c r="BY63" s="232"/>
      <c r="BZ63" s="232"/>
      <c r="CA63" s="232"/>
      <c r="CB63" s="232"/>
      <c r="CC63" s="232"/>
      <c r="CD63" s="232"/>
      <c r="CE63" s="232"/>
      <c r="CF63" s="232"/>
      <c r="CG63" s="232"/>
      <c r="CH63" s="232"/>
      <c r="CI63" s="232"/>
      <c r="CJ63" s="232"/>
      <c r="CK63" s="232"/>
      <c r="CL63" s="233"/>
      <c r="CM63" s="233"/>
      <c r="CN63" s="233"/>
      <c r="CO63" s="233"/>
      <c r="CP63" s="233"/>
      <c r="CQ63" s="233"/>
      <c r="CR63" s="234"/>
      <c r="CS63" s="234"/>
      <c r="CT63" s="234"/>
      <c r="CU63" s="234"/>
      <c r="CV63" s="234"/>
      <c r="CW63" s="234"/>
      <c r="CX63" s="234"/>
      <c r="CY63" s="234"/>
      <c r="CZ63" s="234"/>
      <c r="DA63" s="234"/>
      <c r="DB63" s="234"/>
      <c r="DC63" s="234"/>
      <c r="DD63" s="234"/>
      <c r="DE63" s="234"/>
    </row>
    <row r="64" spans="3:125" ht="38.25" customHeight="1"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  <c r="AM64" s="232"/>
      <c r="AN64" s="232"/>
      <c r="AO64" s="232"/>
      <c r="AP64" s="232"/>
      <c r="AQ64" s="232"/>
      <c r="AR64" s="232"/>
      <c r="AS64" s="232"/>
      <c r="AT64" s="232"/>
      <c r="AU64" s="232"/>
      <c r="AV64" s="232"/>
      <c r="AW64" s="232"/>
      <c r="AX64" s="232"/>
      <c r="AY64" s="232"/>
      <c r="AZ64" s="232"/>
      <c r="BA64" s="232"/>
      <c r="BB64" s="232"/>
      <c r="BC64" s="232"/>
      <c r="BD64" s="232"/>
      <c r="BE64" s="232"/>
      <c r="BF64" s="232"/>
      <c r="BG64" s="232"/>
      <c r="BH64" s="232"/>
      <c r="BI64" s="232"/>
      <c r="BJ64" s="232"/>
      <c r="BK64" s="232"/>
      <c r="BL64" s="232"/>
      <c r="BM64" s="232"/>
      <c r="BN64" s="232"/>
      <c r="BO64" s="232"/>
      <c r="BP64" s="232"/>
      <c r="BQ64" s="232"/>
      <c r="BR64" s="232"/>
      <c r="BS64" s="232"/>
      <c r="BT64" s="232"/>
      <c r="BU64" s="232"/>
      <c r="BV64" s="232"/>
      <c r="BW64" s="232"/>
      <c r="BX64" s="232"/>
      <c r="BY64" s="232"/>
      <c r="BZ64" s="232"/>
      <c r="CA64" s="232"/>
      <c r="CB64" s="232"/>
      <c r="CC64" s="232"/>
      <c r="CD64" s="232"/>
      <c r="CE64" s="232"/>
      <c r="CF64" s="232"/>
      <c r="CG64" s="232"/>
      <c r="CH64" s="232"/>
      <c r="CI64" s="232"/>
      <c r="CJ64" s="232"/>
      <c r="CK64" s="232"/>
      <c r="CL64" s="233"/>
      <c r="CM64" s="233"/>
      <c r="CN64" s="233"/>
      <c r="CO64" s="233"/>
      <c r="CP64" s="233"/>
      <c r="CQ64" s="233"/>
      <c r="CR64" s="234"/>
      <c r="CS64" s="234"/>
      <c r="CT64" s="234"/>
      <c r="CU64" s="234"/>
      <c r="CV64" s="234"/>
      <c r="CW64" s="234"/>
      <c r="CX64" s="234"/>
      <c r="CY64" s="234"/>
      <c r="CZ64" s="234"/>
      <c r="DA64" s="234"/>
      <c r="DB64" s="234"/>
      <c r="DC64" s="234"/>
      <c r="DD64" s="234"/>
      <c r="DE64" s="234"/>
      <c r="DJ64" s="158"/>
      <c r="DK64" s="158"/>
      <c r="DL64" s="158"/>
      <c r="DM64" s="158"/>
      <c r="DN64" s="158"/>
      <c r="DO64" s="158"/>
      <c r="DP64" s="158"/>
      <c r="DQ64" s="158"/>
      <c r="DR64" s="158"/>
      <c r="DS64" s="158"/>
      <c r="DT64" s="158"/>
      <c r="DU64" s="158"/>
    </row>
    <row r="65" spans="3:109" ht="38.25" customHeight="1"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  <c r="AM65" s="232"/>
      <c r="AN65" s="232"/>
      <c r="AO65" s="232"/>
      <c r="AP65" s="232"/>
      <c r="AQ65" s="232"/>
      <c r="AR65" s="232"/>
      <c r="AS65" s="232"/>
      <c r="AT65" s="232"/>
      <c r="AU65" s="232"/>
      <c r="AV65" s="232"/>
      <c r="AW65" s="232"/>
      <c r="AX65" s="232"/>
      <c r="AY65" s="232"/>
      <c r="AZ65" s="232"/>
      <c r="BA65" s="232"/>
      <c r="BB65" s="232"/>
      <c r="BC65" s="232"/>
      <c r="BD65" s="232"/>
      <c r="BE65" s="232"/>
      <c r="BF65" s="232"/>
      <c r="BG65" s="232"/>
      <c r="BH65" s="232"/>
      <c r="BI65" s="232"/>
      <c r="BJ65" s="232"/>
      <c r="BK65" s="232"/>
      <c r="BL65" s="232"/>
      <c r="BM65" s="232"/>
      <c r="BN65" s="232"/>
      <c r="BO65" s="232"/>
      <c r="BP65" s="232"/>
      <c r="BQ65" s="232"/>
      <c r="BR65" s="232"/>
      <c r="BS65" s="232"/>
      <c r="BT65" s="232"/>
      <c r="BU65" s="232"/>
      <c r="BV65" s="232"/>
      <c r="BW65" s="232"/>
      <c r="BX65" s="232"/>
      <c r="BY65" s="232"/>
      <c r="BZ65" s="232"/>
      <c r="CA65" s="232"/>
      <c r="CB65" s="232"/>
      <c r="CC65" s="232"/>
      <c r="CD65" s="232"/>
      <c r="CE65" s="232"/>
      <c r="CF65" s="232"/>
      <c r="CG65" s="232"/>
      <c r="CH65" s="232"/>
      <c r="CI65" s="232"/>
      <c r="CJ65" s="232"/>
      <c r="CK65" s="232"/>
      <c r="CL65" s="233"/>
      <c r="CM65" s="233"/>
      <c r="CN65" s="233"/>
      <c r="CO65" s="233"/>
      <c r="CP65" s="233"/>
      <c r="CQ65" s="233"/>
      <c r="CR65" s="234"/>
      <c r="CS65" s="234"/>
      <c r="CT65" s="234"/>
      <c r="CU65" s="234"/>
      <c r="CV65" s="234"/>
      <c r="CW65" s="234"/>
      <c r="CX65" s="234"/>
      <c r="CY65" s="234"/>
      <c r="CZ65" s="234"/>
      <c r="DA65" s="234"/>
      <c r="DB65" s="234"/>
      <c r="DC65" s="234"/>
      <c r="DD65" s="234"/>
      <c r="DE65" s="234"/>
    </row>
    <row r="66" spans="3:109" ht="38.25" customHeight="1"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  <c r="AM66" s="232"/>
      <c r="AN66" s="232"/>
      <c r="AO66" s="232"/>
      <c r="AP66" s="232"/>
      <c r="AQ66" s="232"/>
      <c r="AR66" s="232"/>
      <c r="AS66" s="232"/>
      <c r="AT66" s="232"/>
      <c r="AU66" s="232"/>
      <c r="AV66" s="232"/>
      <c r="AW66" s="232"/>
      <c r="AX66" s="232"/>
      <c r="AY66" s="232"/>
      <c r="AZ66" s="232"/>
      <c r="BA66" s="232"/>
      <c r="BB66" s="232"/>
      <c r="BC66" s="232"/>
      <c r="BD66" s="232"/>
      <c r="BE66" s="232"/>
      <c r="BF66" s="232"/>
      <c r="BG66" s="232"/>
      <c r="BH66" s="232"/>
      <c r="BI66" s="232"/>
      <c r="BJ66" s="232"/>
      <c r="BK66" s="232"/>
      <c r="BL66" s="232"/>
      <c r="BM66" s="232"/>
      <c r="BN66" s="232"/>
      <c r="BO66" s="232"/>
      <c r="BP66" s="232"/>
      <c r="BQ66" s="232"/>
      <c r="BR66" s="232"/>
      <c r="BS66" s="232"/>
      <c r="BT66" s="232"/>
      <c r="BU66" s="232"/>
      <c r="BV66" s="232"/>
      <c r="BW66" s="232"/>
      <c r="BX66" s="232"/>
      <c r="BY66" s="232"/>
      <c r="BZ66" s="232"/>
      <c r="CA66" s="232"/>
      <c r="CB66" s="232"/>
      <c r="CC66" s="232"/>
      <c r="CD66" s="232"/>
      <c r="CE66" s="232"/>
      <c r="CF66" s="232"/>
      <c r="CG66" s="232"/>
      <c r="CH66" s="232"/>
      <c r="CI66" s="232"/>
      <c r="CJ66" s="232"/>
      <c r="CK66" s="232"/>
      <c r="CL66" s="233"/>
      <c r="CM66" s="233"/>
      <c r="CN66" s="233"/>
      <c r="CO66" s="233"/>
      <c r="CP66" s="233"/>
      <c r="CQ66" s="233"/>
      <c r="CR66" s="234"/>
      <c r="CS66" s="234"/>
      <c r="CT66" s="234"/>
      <c r="CU66" s="234"/>
      <c r="CV66" s="234"/>
      <c r="CW66" s="234"/>
      <c r="CX66" s="234"/>
      <c r="CY66" s="234"/>
      <c r="CZ66" s="234"/>
      <c r="DA66" s="234"/>
      <c r="DB66" s="234"/>
      <c r="DC66" s="234"/>
      <c r="DD66" s="234"/>
      <c r="DE66" s="234"/>
    </row>
    <row r="67" spans="3:109" ht="38.25" customHeight="1"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  <c r="AP67" s="232"/>
      <c r="AQ67" s="232"/>
      <c r="AR67" s="232"/>
      <c r="AS67" s="232"/>
      <c r="AT67" s="232"/>
      <c r="AU67" s="232"/>
      <c r="AV67" s="232"/>
      <c r="AW67" s="232"/>
      <c r="AX67" s="232"/>
      <c r="AY67" s="232"/>
      <c r="AZ67" s="232"/>
      <c r="BA67" s="232"/>
      <c r="BB67" s="232"/>
      <c r="BC67" s="232"/>
      <c r="BD67" s="232"/>
      <c r="BE67" s="232"/>
      <c r="BF67" s="232"/>
      <c r="BG67" s="232"/>
      <c r="BH67" s="232"/>
      <c r="BI67" s="232"/>
      <c r="BJ67" s="232"/>
      <c r="BK67" s="232"/>
      <c r="BL67" s="232"/>
      <c r="BM67" s="232"/>
      <c r="BN67" s="232"/>
      <c r="BO67" s="232"/>
      <c r="BP67" s="232"/>
      <c r="BQ67" s="232"/>
      <c r="BR67" s="232"/>
      <c r="BS67" s="232"/>
      <c r="BT67" s="232"/>
      <c r="BU67" s="232"/>
      <c r="BV67" s="232"/>
      <c r="BW67" s="232"/>
      <c r="BX67" s="232"/>
      <c r="BY67" s="232"/>
      <c r="BZ67" s="232"/>
      <c r="CA67" s="232"/>
      <c r="CB67" s="232"/>
      <c r="CC67" s="232"/>
      <c r="CD67" s="232"/>
      <c r="CE67" s="232"/>
      <c r="CF67" s="232"/>
      <c r="CG67" s="232"/>
      <c r="CH67" s="232"/>
      <c r="CI67" s="232"/>
      <c r="CJ67" s="232"/>
      <c r="CK67" s="232"/>
      <c r="CL67" s="233"/>
      <c r="CM67" s="233"/>
      <c r="CN67" s="233"/>
      <c r="CO67" s="233"/>
      <c r="CP67" s="233"/>
      <c r="CQ67" s="233"/>
      <c r="CR67" s="234"/>
      <c r="CS67" s="234"/>
      <c r="CT67" s="234"/>
      <c r="CU67" s="234"/>
      <c r="CV67" s="234"/>
      <c r="CW67" s="234"/>
      <c r="CX67" s="234"/>
      <c r="CY67" s="234"/>
      <c r="CZ67" s="234"/>
      <c r="DA67" s="234"/>
      <c r="DB67" s="234"/>
      <c r="DC67" s="234"/>
      <c r="DD67" s="234"/>
      <c r="DE67" s="234"/>
    </row>
    <row r="68" spans="3:109" ht="38.25" customHeight="1"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  <c r="AP68" s="232"/>
      <c r="AQ68" s="232"/>
      <c r="AR68" s="232"/>
      <c r="AS68" s="232"/>
      <c r="AT68" s="232"/>
      <c r="AU68" s="232"/>
      <c r="AV68" s="232"/>
      <c r="AW68" s="232"/>
      <c r="AX68" s="232"/>
      <c r="AY68" s="232"/>
      <c r="AZ68" s="232"/>
      <c r="BA68" s="232"/>
      <c r="BB68" s="232"/>
      <c r="BC68" s="232"/>
      <c r="BD68" s="232"/>
      <c r="BE68" s="232"/>
      <c r="BF68" s="232"/>
      <c r="BG68" s="232"/>
      <c r="BH68" s="232"/>
      <c r="BI68" s="232"/>
      <c r="BJ68" s="232"/>
      <c r="BK68" s="232"/>
      <c r="BL68" s="232"/>
      <c r="BM68" s="232"/>
      <c r="BN68" s="232"/>
      <c r="BO68" s="232"/>
      <c r="BP68" s="232"/>
      <c r="BQ68" s="232"/>
      <c r="BR68" s="232"/>
      <c r="BS68" s="232"/>
      <c r="BT68" s="232"/>
      <c r="BU68" s="232"/>
      <c r="BV68" s="232"/>
      <c r="BW68" s="232"/>
      <c r="BX68" s="232"/>
      <c r="BY68" s="232"/>
      <c r="BZ68" s="232"/>
      <c r="CA68" s="232"/>
      <c r="CB68" s="232"/>
      <c r="CC68" s="232"/>
      <c r="CD68" s="232"/>
      <c r="CE68" s="232"/>
      <c r="CF68" s="232"/>
      <c r="CG68" s="232"/>
      <c r="CH68" s="232"/>
      <c r="CI68" s="232"/>
      <c r="CJ68" s="232"/>
      <c r="CK68" s="232"/>
      <c r="CL68" s="233"/>
      <c r="CM68" s="233"/>
      <c r="CN68" s="233"/>
      <c r="CO68" s="233"/>
      <c r="CP68" s="233"/>
      <c r="CQ68" s="233"/>
      <c r="CR68" s="234"/>
      <c r="CS68" s="234"/>
      <c r="CT68" s="234"/>
      <c r="CU68" s="234"/>
      <c r="CV68" s="234"/>
      <c r="CW68" s="234"/>
      <c r="CX68" s="234"/>
      <c r="CY68" s="234"/>
      <c r="CZ68" s="234"/>
      <c r="DA68" s="234"/>
      <c r="DB68" s="234"/>
      <c r="DC68" s="234"/>
      <c r="DD68" s="234"/>
      <c r="DE68" s="234"/>
    </row>
    <row r="69" spans="3:109" ht="38.25" customHeight="1"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  <c r="AM69" s="232"/>
      <c r="AN69" s="232"/>
      <c r="AO69" s="232"/>
      <c r="AP69" s="232"/>
      <c r="AQ69" s="232"/>
      <c r="AR69" s="232"/>
      <c r="AS69" s="232"/>
      <c r="AT69" s="232"/>
      <c r="AU69" s="232"/>
      <c r="AV69" s="232"/>
      <c r="AW69" s="232"/>
      <c r="AX69" s="232"/>
      <c r="AY69" s="232"/>
      <c r="AZ69" s="232"/>
      <c r="BA69" s="232"/>
      <c r="BB69" s="232"/>
      <c r="BC69" s="232"/>
      <c r="BD69" s="232"/>
      <c r="BE69" s="232"/>
      <c r="BF69" s="232"/>
      <c r="BG69" s="232"/>
      <c r="BH69" s="232"/>
      <c r="BI69" s="232"/>
      <c r="BJ69" s="232"/>
      <c r="BK69" s="232"/>
      <c r="BL69" s="232"/>
      <c r="BM69" s="232"/>
      <c r="BN69" s="232"/>
      <c r="BO69" s="232"/>
      <c r="BP69" s="232"/>
      <c r="BQ69" s="232"/>
      <c r="BR69" s="232"/>
      <c r="BS69" s="232"/>
      <c r="BT69" s="232"/>
      <c r="BU69" s="232"/>
      <c r="BV69" s="232"/>
      <c r="BW69" s="232"/>
      <c r="BX69" s="232"/>
      <c r="BY69" s="232"/>
      <c r="BZ69" s="232"/>
      <c r="CA69" s="232"/>
      <c r="CB69" s="232"/>
      <c r="CC69" s="232"/>
      <c r="CD69" s="232"/>
      <c r="CE69" s="232"/>
      <c r="CF69" s="232"/>
      <c r="CG69" s="232"/>
      <c r="CH69" s="232"/>
      <c r="CI69" s="232"/>
      <c r="CJ69" s="232"/>
      <c r="CK69" s="232"/>
      <c r="CL69" s="233"/>
      <c r="CM69" s="233"/>
      <c r="CN69" s="233"/>
      <c r="CO69" s="233"/>
      <c r="CP69" s="233"/>
      <c r="CQ69" s="233"/>
      <c r="CR69" s="234"/>
      <c r="CS69" s="234"/>
      <c r="CT69" s="234"/>
      <c r="CU69" s="234"/>
      <c r="CV69" s="234"/>
      <c r="CW69" s="234"/>
      <c r="CX69" s="234"/>
      <c r="CY69" s="234"/>
      <c r="CZ69" s="234"/>
      <c r="DA69" s="234"/>
      <c r="DB69" s="234"/>
      <c r="DC69" s="234"/>
      <c r="DD69" s="234"/>
      <c r="DE69" s="234"/>
    </row>
    <row r="70" spans="3:109" ht="38.25" customHeight="1"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  <c r="AU70" s="232"/>
      <c r="AV70" s="232"/>
      <c r="AW70" s="232"/>
      <c r="AX70" s="232"/>
      <c r="AY70" s="232"/>
      <c r="AZ70" s="232"/>
      <c r="BA70" s="232"/>
      <c r="BB70" s="232"/>
      <c r="BC70" s="232"/>
      <c r="BD70" s="232"/>
      <c r="BE70" s="232"/>
      <c r="BF70" s="232"/>
      <c r="BG70" s="232"/>
      <c r="BH70" s="232"/>
      <c r="BI70" s="232"/>
      <c r="BJ70" s="232"/>
      <c r="BK70" s="232"/>
      <c r="BL70" s="232"/>
      <c r="BM70" s="232"/>
      <c r="BN70" s="232"/>
      <c r="BO70" s="232"/>
      <c r="BP70" s="232"/>
      <c r="BQ70" s="232"/>
      <c r="BR70" s="232"/>
      <c r="BS70" s="232"/>
      <c r="BT70" s="232"/>
      <c r="BU70" s="232"/>
      <c r="BV70" s="232"/>
      <c r="BW70" s="232"/>
      <c r="BX70" s="232"/>
      <c r="BY70" s="232"/>
      <c r="BZ70" s="232"/>
      <c r="CA70" s="232"/>
      <c r="CB70" s="232"/>
      <c r="CC70" s="232"/>
      <c r="CD70" s="232"/>
      <c r="CE70" s="232"/>
      <c r="CF70" s="232"/>
      <c r="CG70" s="232"/>
      <c r="CH70" s="232"/>
      <c r="CI70" s="232"/>
      <c r="CJ70" s="232"/>
      <c r="CK70" s="232"/>
      <c r="CL70" s="233"/>
      <c r="CM70" s="233"/>
      <c r="CN70" s="233"/>
      <c r="CO70" s="233"/>
      <c r="CP70" s="233"/>
      <c r="CQ70" s="233"/>
      <c r="CR70" s="234"/>
      <c r="CS70" s="234"/>
      <c r="CT70" s="234"/>
      <c r="CU70" s="234"/>
      <c r="CV70" s="234"/>
      <c r="CW70" s="234"/>
      <c r="CX70" s="234"/>
      <c r="CY70" s="234"/>
      <c r="CZ70" s="234"/>
      <c r="DA70" s="234"/>
      <c r="DB70" s="234"/>
      <c r="DC70" s="234"/>
      <c r="DD70" s="234"/>
      <c r="DE70" s="234"/>
    </row>
    <row r="71" spans="3:109" ht="38.25" customHeight="1"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  <c r="AP71" s="232"/>
      <c r="AQ71" s="232"/>
      <c r="AR71" s="232"/>
      <c r="AS71" s="232"/>
      <c r="AT71" s="232"/>
      <c r="AU71" s="232"/>
      <c r="AV71" s="232"/>
      <c r="AW71" s="232"/>
      <c r="AX71" s="232"/>
      <c r="AY71" s="232"/>
      <c r="AZ71" s="232"/>
      <c r="BA71" s="232"/>
      <c r="BB71" s="232"/>
      <c r="BC71" s="232"/>
      <c r="BD71" s="232"/>
      <c r="BE71" s="232"/>
      <c r="BF71" s="232"/>
      <c r="BG71" s="232"/>
      <c r="BH71" s="232"/>
      <c r="BI71" s="232"/>
      <c r="BJ71" s="232"/>
      <c r="BK71" s="232"/>
      <c r="BL71" s="232"/>
      <c r="BM71" s="232"/>
      <c r="BN71" s="232"/>
      <c r="BO71" s="232"/>
      <c r="BP71" s="232"/>
      <c r="BQ71" s="232"/>
      <c r="BR71" s="232"/>
      <c r="BS71" s="232"/>
      <c r="BT71" s="232"/>
      <c r="BU71" s="232"/>
      <c r="BV71" s="232"/>
      <c r="BW71" s="232"/>
      <c r="BX71" s="232"/>
      <c r="BY71" s="232"/>
      <c r="BZ71" s="232"/>
      <c r="CA71" s="232"/>
      <c r="CB71" s="232"/>
      <c r="CC71" s="232"/>
      <c r="CD71" s="232"/>
      <c r="CE71" s="232"/>
      <c r="CF71" s="232"/>
      <c r="CG71" s="232"/>
      <c r="CH71" s="232"/>
      <c r="CI71" s="232"/>
      <c r="CJ71" s="232"/>
      <c r="CK71" s="232"/>
      <c r="CL71" s="233"/>
      <c r="CM71" s="233"/>
      <c r="CN71" s="233"/>
      <c r="CO71" s="233"/>
      <c r="CP71" s="233"/>
      <c r="CQ71" s="233"/>
      <c r="CR71" s="234"/>
      <c r="CS71" s="234"/>
      <c r="CT71" s="234"/>
      <c r="CU71" s="234"/>
      <c r="CV71" s="234"/>
      <c r="CW71" s="234"/>
      <c r="CX71" s="234"/>
      <c r="CY71" s="234"/>
      <c r="CZ71" s="234"/>
      <c r="DA71" s="234"/>
      <c r="DB71" s="234"/>
      <c r="DC71" s="234"/>
      <c r="DD71" s="234"/>
      <c r="DE71" s="234"/>
    </row>
    <row r="72" spans="3:109" ht="38.25" customHeight="1"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  <c r="AP72" s="232"/>
      <c r="AQ72" s="232"/>
      <c r="AR72" s="232"/>
      <c r="AS72" s="232"/>
      <c r="AT72" s="232"/>
      <c r="AU72" s="232"/>
      <c r="AV72" s="232"/>
      <c r="AW72" s="232"/>
      <c r="AX72" s="232"/>
      <c r="AY72" s="232"/>
      <c r="AZ72" s="232"/>
      <c r="BA72" s="232"/>
      <c r="BB72" s="232"/>
      <c r="BC72" s="232"/>
      <c r="BD72" s="232"/>
      <c r="BE72" s="232"/>
      <c r="BF72" s="232"/>
      <c r="BG72" s="232"/>
      <c r="BH72" s="232"/>
      <c r="BI72" s="232"/>
      <c r="BJ72" s="232"/>
      <c r="BK72" s="232"/>
      <c r="BL72" s="232"/>
      <c r="BM72" s="232"/>
      <c r="BN72" s="232"/>
      <c r="BO72" s="232"/>
      <c r="BP72" s="232"/>
      <c r="BQ72" s="232"/>
      <c r="BR72" s="232"/>
      <c r="BS72" s="232"/>
      <c r="BT72" s="232"/>
      <c r="BU72" s="232"/>
      <c r="BV72" s="232"/>
      <c r="BW72" s="232"/>
      <c r="BX72" s="232"/>
      <c r="BY72" s="232"/>
      <c r="BZ72" s="232"/>
      <c r="CA72" s="232"/>
      <c r="CB72" s="232"/>
      <c r="CC72" s="232"/>
      <c r="CD72" s="232"/>
      <c r="CE72" s="232"/>
      <c r="CF72" s="232"/>
      <c r="CG72" s="232"/>
      <c r="CH72" s="232"/>
      <c r="CI72" s="232"/>
      <c r="CJ72" s="232"/>
      <c r="CK72" s="232"/>
      <c r="CL72" s="233"/>
      <c r="CM72" s="233"/>
      <c r="CN72" s="233"/>
      <c r="CO72" s="233"/>
      <c r="CP72" s="233"/>
      <c r="CQ72" s="233"/>
      <c r="CR72" s="234"/>
      <c r="CS72" s="234"/>
      <c r="CT72" s="234"/>
      <c r="CU72" s="234"/>
      <c r="CV72" s="234"/>
      <c r="CW72" s="234"/>
      <c r="CX72" s="234"/>
      <c r="CY72" s="234"/>
      <c r="CZ72" s="234"/>
      <c r="DA72" s="234"/>
      <c r="DB72" s="234"/>
      <c r="DC72" s="234"/>
      <c r="DD72" s="234"/>
      <c r="DE72" s="234"/>
    </row>
    <row r="73" spans="3:109" ht="38.25" customHeight="1"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  <c r="AP73" s="232"/>
      <c r="AQ73" s="232"/>
      <c r="AR73" s="232"/>
      <c r="AS73" s="232"/>
      <c r="AT73" s="232"/>
      <c r="AU73" s="232"/>
      <c r="AV73" s="232"/>
      <c r="AW73" s="232"/>
      <c r="AX73" s="232"/>
      <c r="AY73" s="232"/>
      <c r="AZ73" s="232"/>
      <c r="BA73" s="232"/>
      <c r="BB73" s="232"/>
      <c r="BC73" s="232"/>
      <c r="BD73" s="232"/>
      <c r="BE73" s="232"/>
      <c r="BF73" s="232"/>
      <c r="BG73" s="232"/>
      <c r="BH73" s="232"/>
      <c r="BI73" s="232"/>
      <c r="BJ73" s="232"/>
      <c r="BK73" s="232"/>
      <c r="BL73" s="232"/>
      <c r="BM73" s="232"/>
      <c r="BN73" s="232"/>
      <c r="BO73" s="232"/>
      <c r="BP73" s="232"/>
      <c r="BQ73" s="232"/>
      <c r="BR73" s="232"/>
      <c r="BS73" s="232"/>
      <c r="BT73" s="232"/>
      <c r="BU73" s="232"/>
      <c r="BV73" s="232"/>
      <c r="BW73" s="232"/>
      <c r="BX73" s="232"/>
      <c r="BY73" s="232"/>
      <c r="BZ73" s="232"/>
      <c r="CA73" s="232"/>
      <c r="CB73" s="232"/>
      <c r="CC73" s="232"/>
      <c r="CD73" s="232"/>
      <c r="CE73" s="232"/>
      <c r="CF73" s="232"/>
      <c r="CG73" s="232"/>
      <c r="CH73" s="232"/>
      <c r="CI73" s="232"/>
      <c r="CJ73" s="232"/>
      <c r="CK73" s="232"/>
      <c r="CL73" s="233"/>
      <c r="CM73" s="233"/>
      <c r="CN73" s="233"/>
      <c r="CO73" s="233"/>
      <c r="CP73" s="233"/>
      <c r="CQ73" s="233"/>
      <c r="CR73" s="234"/>
      <c r="CS73" s="234"/>
      <c r="CT73" s="234"/>
      <c r="CU73" s="234"/>
      <c r="CV73" s="234"/>
      <c r="CW73" s="234"/>
      <c r="CX73" s="234"/>
      <c r="CY73" s="234"/>
      <c r="CZ73" s="234"/>
      <c r="DA73" s="234"/>
      <c r="DB73" s="234"/>
      <c r="DC73" s="234"/>
      <c r="DD73" s="234"/>
      <c r="DE73" s="234"/>
    </row>
    <row r="74" spans="3:109" ht="38.25" customHeight="1"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232"/>
      <c r="AN74" s="232"/>
      <c r="AO74" s="232"/>
      <c r="AP74" s="232"/>
      <c r="AQ74" s="232"/>
      <c r="AR74" s="232"/>
      <c r="AS74" s="232"/>
      <c r="AT74" s="232"/>
      <c r="AU74" s="232"/>
      <c r="AV74" s="232"/>
      <c r="AW74" s="232"/>
      <c r="AX74" s="232"/>
      <c r="AY74" s="232"/>
      <c r="AZ74" s="232"/>
      <c r="BA74" s="232"/>
      <c r="BB74" s="232"/>
      <c r="BC74" s="232"/>
      <c r="BD74" s="232"/>
      <c r="BE74" s="232"/>
      <c r="BF74" s="232"/>
      <c r="BG74" s="232"/>
      <c r="BH74" s="232"/>
      <c r="BI74" s="232"/>
      <c r="BJ74" s="232"/>
      <c r="BK74" s="232"/>
      <c r="BL74" s="232"/>
      <c r="BM74" s="232"/>
      <c r="BN74" s="232"/>
      <c r="BO74" s="232"/>
      <c r="BP74" s="232"/>
      <c r="BQ74" s="232"/>
      <c r="BR74" s="232"/>
      <c r="BS74" s="232"/>
      <c r="BT74" s="232"/>
      <c r="BU74" s="232"/>
      <c r="BV74" s="232"/>
      <c r="BW74" s="232"/>
      <c r="BX74" s="232"/>
      <c r="BY74" s="232"/>
      <c r="BZ74" s="232"/>
      <c r="CA74" s="232"/>
      <c r="CB74" s="232"/>
      <c r="CC74" s="232"/>
      <c r="CD74" s="232"/>
      <c r="CE74" s="232"/>
      <c r="CF74" s="232"/>
      <c r="CG74" s="232"/>
      <c r="CH74" s="232"/>
      <c r="CI74" s="232"/>
      <c r="CJ74" s="232"/>
      <c r="CK74" s="232"/>
      <c r="CL74" s="233"/>
      <c r="CM74" s="233"/>
      <c r="CN74" s="233"/>
      <c r="CO74" s="233"/>
      <c r="CP74" s="233"/>
      <c r="CQ74" s="233"/>
      <c r="CR74" s="234"/>
      <c r="CS74" s="234"/>
      <c r="CT74" s="234"/>
      <c r="CU74" s="234"/>
      <c r="CV74" s="234"/>
      <c r="CW74" s="234"/>
      <c r="CX74" s="234"/>
      <c r="CY74" s="234"/>
      <c r="CZ74" s="234"/>
      <c r="DA74" s="234"/>
      <c r="DB74" s="234"/>
      <c r="DC74" s="234"/>
      <c r="DD74" s="234"/>
      <c r="DE74" s="234"/>
    </row>
    <row r="75" spans="3:109" ht="38.25" customHeight="1"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232"/>
      <c r="AN75" s="232"/>
      <c r="AO75" s="232"/>
      <c r="AP75" s="232"/>
      <c r="AQ75" s="232"/>
      <c r="AR75" s="232"/>
      <c r="AS75" s="232"/>
      <c r="AT75" s="232"/>
      <c r="AU75" s="232"/>
      <c r="AV75" s="232"/>
      <c r="AW75" s="232"/>
      <c r="AX75" s="232"/>
      <c r="AY75" s="232"/>
      <c r="AZ75" s="232"/>
      <c r="BA75" s="232"/>
      <c r="BB75" s="232"/>
      <c r="BC75" s="232"/>
      <c r="BD75" s="232"/>
      <c r="BE75" s="232"/>
      <c r="BF75" s="232"/>
      <c r="BG75" s="232"/>
      <c r="BH75" s="232"/>
      <c r="BI75" s="232"/>
      <c r="BJ75" s="232"/>
      <c r="BK75" s="232"/>
      <c r="BL75" s="232"/>
      <c r="BM75" s="232"/>
      <c r="BN75" s="232"/>
      <c r="BO75" s="232"/>
      <c r="BP75" s="232"/>
      <c r="BQ75" s="232"/>
      <c r="BR75" s="232"/>
      <c r="BS75" s="232"/>
      <c r="BT75" s="232"/>
      <c r="BU75" s="232"/>
      <c r="BV75" s="232"/>
      <c r="BW75" s="232"/>
      <c r="BX75" s="232"/>
      <c r="BY75" s="232"/>
      <c r="BZ75" s="232"/>
      <c r="CA75" s="232"/>
      <c r="CB75" s="232"/>
      <c r="CC75" s="232"/>
      <c r="CD75" s="232"/>
      <c r="CE75" s="232"/>
      <c r="CF75" s="232"/>
      <c r="CG75" s="232"/>
      <c r="CH75" s="232"/>
      <c r="CI75" s="232"/>
      <c r="CJ75" s="232"/>
      <c r="CK75" s="232"/>
      <c r="CL75" s="233"/>
      <c r="CM75" s="233"/>
      <c r="CN75" s="233"/>
      <c r="CO75" s="233"/>
      <c r="CP75" s="233"/>
      <c r="CQ75" s="233"/>
      <c r="CR75" s="234"/>
      <c r="CS75" s="234"/>
      <c r="CT75" s="234"/>
      <c r="CU75" s="234"/>
      <c r="CV75" s="234"/>
      <c r="CW75" s="234"/>
      <c r="CX75" s="234"/>
      <c r="CY75" s="234"/>
      <c r="CZ75" s="234"/>
      <c r="DA75" s="234"/>
      <c r="DB75" s="234"/>
      <c r="DC75" s="234"/>
      <c r="DD75" s="234"/>
      <c r="DE75" s="234"/>
    </row>
    <row r="76" spans="3:109" ht="38.25" customHeight="1"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32"/>
      <c r="AQ76" s="232"/>
      <c r="AR76" s="232"/>
      <c r="AS76" s="232"/>
      <c r="AT76" s="232"/>
      <c r="AU76" s="232"/>
      <c r="AV76" s="232"/>
      <c r="AW76" s="232"/>
      <c r="AX76" s="232"/>
      <c r="AY76" s="232"/>
      <c r="AZ76" s="232"/>
      <c r="BA76" s="232"/>
      <c r="BB76" s="232"/>
      <c r="BC76" s="232"/>
      <c r="BD76" s="232"/>
      <c r="BE76" s="232"/>
      <c r="BF76" s="232"/>
      <c r="BG76" s="232"/>
      <c r="BH76" s="232"/>
      <c r="BI76" s="232"/>
      <c r="BJ76" s="232"/>
      <c r="BK76" s="232"/>
      <c r="BL76" s="232"/>
      <c r="BM76" s="232"/>
      <c r="BN76" s="232"/>
      <c r="BO76" s="232"/>
      <c r="BP76" s="232"/>
      <c r="BQ76" s="232"/>
      <c r="BR76" s="232"/>
      <c r="BS76" s="232"/>
      <c r="BT76" s="232"/>
      <c r="BU76" s="232"/>
      <c r="BV76" s="232"/>
      <c r="BW76" s="232"/>
      <c r="BX76" s="232"/>
      <c r="BY76" s="232"/>
      <c r="BZ76" s="232"/>
      <c r="CA76" s="232"/>
      <c r="CB76" s="232"/>
      <c r="CC76" s="232"/>
      <c r="CD76" s="232"/>
      <c r="CE76" s="232"/>
      <c r="CF76" s="232"/>
      <c r="CG76" s="232"/>
      <c r="CH76" s="232"/>
      <c r="CI76" s="232"/>
      <c r="CJ76" s="232"/>
      <c r="CK76" s="232"/>
      <c r="CL76" s="233"/>
      <c r="CM76" s="233"/>
      <c r="CN76" s="233"/>
      <c r="CO76" s="233"/>
      <c r="CP76" s="233"/>
      <c r="CQ76" s="233"/>
      <c r="CR76" s="234"/>
      <c r="CS76" s="234"/>
      <c r="CT76" s="234"/>
      <c r="CU76" s="234"/>
      <c r="CV76" s="234"/>
      <c r="CW76" s="234"/>
      <c r="CX76" s="234"/>
      <c r="CY76" s="234"/>
      <c r="CZ76" s="234"/>
      <c r="DA76" s="234"/>
      <c r="DB76" s="234"/>
      <c r="DC76" s="234"/>
      <c r="DD76" s="234"/>
      <c r="DE76" s="234"/>
    </row>
    <row r="77" spans="3:109" ht="38.25" customHeight="1"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  <c r="AM77" s="232"/>
      <c r="AN77" s="232"/>
      <c r="AO77" s="232"/>
      <c r="AP77" s="232"/>
      <c r="AQ77" s="232"/>
      <c r="AR77" s="232"/>
      <c r="AS77" s="232"/>
      <c r="AT77" s="232"/>
      <c r="AU77" s="232"/>
      <c r="AV77" s="232"/>
      <c r="AW77" s="232"/>
      <c r="AX77" s="232"/>
      <c r="AY77" s="232"/>
      <c r="AZ77" s="232"/>
      <c r="BA77" s="232"/>
      <c r="BB77" s="232"/>
      <c r="BC77" s="232"/>
      <c r="BD77" s="232"/>
      <c r="BE77" s="232"/>
      <c r="BF77" s="232"/>
      <c r="BG77" s="232"/>
      <c r="BH77" s="232"/>
      <c r="BI77" s="232"/>
      <c r="BJ77" s="232"/>
      <c r="BK77" s="232"/>
      <c r="BL77" s="232"/>
      <c r="BM77" s="232"/>
      <c r="BN77" s="232"/>
      <c r="BO77" s="232"/>
      <c r="BP77" s="232"/>
      <c r="BQ77" s="232"/>
      <c r="BR77" s="232"/>
      <c r="BS77" s="232"/>
      <c r="BT77" s="232"/>
      <c r="BU77" s="232"/>
      <c r="BV77" s="232"/>
      <c r="BW77" s="232"/>
      <c r="BX77" s="232"/>
      <c r="BY77" s="232"/>
      <c r="BZ77" s="232"/>
      <c r="CA77" s="232"/>
      <c r="CB77" s="232"/>
      <c r="CC77" s="232"/>
      <c r="CD77" s="232"/>
      <c r="CE77" s="232"/>
      <c r="CF77" s="232"/>
      <c r="CG77" s="232"/>
      <c r="CH77" s="232"/>
      <c r="CI77" s="232"/>
      <c r="CJ77" s="232"/>
      <c r="CK77" s="232"/>
      <c r="CL77" s="233"/>
      <c r="CM77" s="233"/>
      <c r="CN77" s="233"/>
      <c r="CO77" s="233"/>
      <c r="CP77" s="233"/>
      <c r="CQ77" s="233"/>
      <c r="CR77" s="234"/>
      <c r="CS77" s="234"/>
      <c r="CT77" s="234"/>
      <c r="CU77" s="234"/>
      <c r="CV77" s="234"/>
      <c r="CW77" s="234"/>
      <c r="CX77" s="234"/>
      <c r="CY77" s="234"/>
      <c r="CZ77" s="234"/>
      <c r="DA77" s="234"/>
      <c r="DB77" s="234"/>
      <c r="DC77" s="234"/>
      <c r="DD77" s="234"/>
      <c r="DE77" s="234"/>
    </row>
    <row r="78" spans="3:109" ht="38.25" customHeight="1">
      <c r="CL78" s="234"/>
      <c r="CM78" s="234"/>
      <c r="CN78" s="234"/>
      <c r="CO78" s="234"/>
      <c r="CP78" s="234"/>
      <c r="CQ78" s="234"/>
      <c r="CR78" s="234"/>
      <c r="CS78" s="234"/>
      <c r="CT78" s="234"/>
      <c r="CU78" s="234"/>
      <c r="CV78" s="234"/>
      <c r="CW78" s="234"/>
      <c r="CX78" s="234"/>
      <c r="CY78" s="234"/>
      <c r="CZ78" s="234"/>
      <c r="DA78" s="234"/>
      <c r="DB78" s="234"/>
      <c r="DC78" s="234"/>
      <c r="DD78" s="234"/>
      <c r="DE78" s="234"/>
    </row>
    <row r="79" spans="3:109" ht="38.25" customHeight="1">
      <c r="CL79" s="234"/>
      <c r="CM79" s="234"/>
      <c r="CN79" s="234"/>
      <c r="CO79" s="234"/>
      <c r="CP79" s="234"/>
      <c r="CQ79" s="234"/>
      <c r="CR79" s="234"/>
      <c r="CS79" s="234"/>
      <c r="CT79" s="234"/>
      <c r="CU79" s="234"/>
      <c r="CV79" s="234"/>
      <c r="CW79" s="234"/>
      <c r="CX79" s="234"/>
      <c r="CY79" s="234"/>
      <c r="CZ79" s="234"/>
      <c r="DA79" s="234"/>
      <c r="DB79" s="234"/>
      <c r="DC79" s="234"/>
      <c r="DD79" s="234"/>
      <c r="DE79" s="234"/>
    </row>
    <row r="80" spans="3:109" ht="38.25" customHeight="1">
      <c r="CL80" s="234"/>
      <c r="CM80" s="234"/>
      <c r="CN80" s="234"/>
      <c r="CO80" s="234"/>
      <c r="CP80" s="234"/>
      <c r="CQ80" s="234"/>
      <c r="CR80" s="234"/>
      <c r="CS80" s="234"/>
      <c r="CT80" s="234"/>
      <c r="CU80" s="234"/>
      <c r="CV80" s="234"/>
      <c r="CW80" s="234"/>
      <c r="CX80" s="234"/>
      <c r="CY80" s="234"/>
      <c r="CZ80" s="234"/>
      <c r="DA80" s="234"/>
      <c r="DB80" s="234"/>
      <c r="DC80" s="234"/>
      <c r="DD80" s="234"/>
      <c r="DE80" s="234"/>
    </row>
    <row r="81" spans="90:109" ht="38.25" customHeight="1">
      <c r="CL81" s="234"/>
      <c r="CM81" s="234"/>
      <c r="CN81" s="234"/>
      <c r="CO81" s="234"/>
      <c r="CP81" s="234"/>
      <c r="CQ81" s="234"/>
      <c r="CR81" s="234"/>
      <c r="CS81" s="234"/>
      <c r="CT81" s="234"/>
      <c r="CU81" s="234"/>
      <c r="CV81" s="234"/>
      <c r="CW81" s="234"/>
      <c r="CX81" s="234"/>
      <c r="CY81" s="234"/>
      <c r="CZ81" s="234"/>
      <c r="DA81" s="234"/>
      <c r="DB81" s="234"/>
      <c r="DC81" s="234"/>
      <c r="DD81" s="234"/>
      <c r="DE81" s="234"/>
    </row>
    <row r="82" spans="90:109" ht="38.25" customHeight="1">
      <c r="CL82" s="234"/>
      <c r="CM82" s="234"/>
      <c r="CN82" s="234"/>
      <c r="CO82" s="234"/>
      <c r="CP82" s="234"/>
      <c r="CQ82" s="234"/>
      <c r="CR82" s="234"/>
      <c r="CS82" s="234"/>
      <c r="CT82" s="234"/>
      <c r="CU82" s="234"/>
      <c r="CV82" s="234"/>
      <c r="CW82" s="234"/>
      <c r="CX82" s="234"/>
      <c r="CY82" s="234"/>
      <c r="CZ82" s="234"/>
      <c r="DA82" s="234"/>
      <c r="DB82" s="234"/>
      <c r="DC82" s="234"/>
      <c r="DD82" s="234"/>
      <c r="DE82" s="234"/>
    </row>
    <row r="83" spans="90:109" ht="38.25" customHeight="1">
      <c r="CL83" s="234"/>
      <c r="CM83" s="234"/>
      <c r="CN83" s="234"/>
      <c r="CO83" s="234"/>
      <c r="CP83" s="234"/>
      <c r="CQ83" s="234"/>
      <c r="CR83" s="234"/>
      <c r="CS83" s="234"/>
      <c r="CT83" s="234"/>
      <c r="CU83" s="234"/>
      <c r="CV83" s="234"/>
      <c r="CW83" s="234"/>
      <c r="CX83" s="234"/>
      <c r="CY83" s="234"/>
      <c r="CZ83" s="234"/>
      <c r="DA83" s="234"/>
      <c r="DB83" s="234"/>
      <c r="DC83" s="234"/>
      <c r="DD83" s="234"/>
      <c r="DE83" s="234"/>
    </row>
    <row r="84" spans="90:109" ht="38.25" customHeight="1">
      <c r="CL84" s="234"/>
      <c r="CM84" s="234"/>
      <c r="CN84" s="234"/>
      <c r="CO84" s="234"/>
      <c r="CP84" s="234"/>
      <c r="CQ84" s="234"/>
      <c r="CR84" s="234"/>
      <c r="CS84" s="234"/>
      <c r="CT84" s="234"/>
      <c r="CU84" s="234"/>
      <c r="CV84" s="234"/>
      <c r="CW84" s="234"/>
      <c r="CX84" s="234"/>
      <c r="CY84" s="234"/>
      <c r="CZ84" s="234"/>
      <c r="DA84" s="234"/>
      <c r="DB84" s="234"/>
      <c r="DC84" s="234"/>
      <c r="DD84" s="234"/>
      <c r="DE84" s="234"/>
    </row>
    <row r="85" spans="90:109" ht="38.25" customHeight="1">
      <c r="CL85" s="234"/>
      <c r="CM85" s="234"/>
      <c r="CN85" s="234"/>
      <c r="CO85" s="234"/>
      <c r="CP85" s="234"/>
      <c r="CQ85" s="234"/>
      <c r="CR85" s="234"/>
      <c r="CS85" s="234"/>
      <c r="CT85" s="234"/>
      <c r="CU85" s="234"/>
      <c r="CV85" s="234"/>
      <c r="CW85" s="234"/>
      <c r="CX85" s="234"/>
      <c r="CY85" s="234"/>
      <c r="CZ85" s="234"/>
      <c r="DA85" s="234"/>
      <c r="DB85" s="234"/>
      <c r="DC85" s="234"/>
      <c r="DD85" s="234"/>
      <c r="DE85" s="234"/>
    </row>
    <row r="86" spans="90:109" ht="38.25" customHeight="1">
      <c r="CL86" s="234"/>
      <c r="CM86" s="234"/>
      <c r="CN86" s="234"/>
      <c r="CO86" s="234"/>
      <c r="CP86" s="234"/>
      <c r="CQ86" s="234"/>
      <c r="CR86" s="234"/>
      <c r="CS86" s="234"/>
      <c r="CT86" s="234"/>
      <c r="CU86" s="234"/>
      <c r="CV86" s="234"/>
      <c r="CW86" s="234"/>
      <c r="CX86" s="234"/>
      <c r="CY86" s="234"/>
      <c r="CZ86" s="234"/>
      <c r="DA86" s="234"/>
      <c r="DB86" s="234"/>
      <c r="DC86" s="234"/>
      <c r="DD86" s="234"/>
      <c r="DE86" s="234"/>
    </row>
    <row r="87" spans="90:109" ht="38.25" customHeight="1">
      <c r="CL87" s="234"/>
      <c r="CM87" s="234"/>
      <c r="CN87" s="234"/>
      <c r="CO87" s="234"/>
      <c r="CP87" s="234"/>
      <c r="CQ87" s="234"/>
      <c r="CR87" s="234"/>
      <c r="CS87" s="234"/>
      <c r="CT87" s="234"/>
      <c r="CU87" s="234"/>
      <c r="CV87" s="234"/>
      <c r="CW87" s="234"/>
      <c r="CX87" s="234"/>
      <c r="CY87" s="234"/>
      <c r="CZ87" s="234"/>
      <c r="DA87" s="234"/>
      <c r="DB87" s="234"/>
      <c r="DC87" s="234"/>
      <c r="DD87" s="234"/>
      <c r="DE87" s="234"/>
    </row>
    <row r="88" spans="90:109" ht="38.25" customHeight="1">
      <c r="CL88" s="234"/>
      <c r="CM88" s="234"/>
      <c r="CN88" s="234"/>
      <c r="CO88" s="234"/>
      <c r="CP88" s="234"/>
      <c r="CQ88" s="234"/>
      <c r="CR88" s="234"/>
      <c r="CS88" s="234"/>
      <c r="CT88" s="234"/>
      <c r="CU88" s="234"/>
      <c r="CV88" s="234"/>
      <c r="CW88" s="234"/>
      <c r="CX88" s="234"/>
      <c r="CY88" s="234"/>
      <c r="CZ88" s="234"/>
      <c r="DA88" s="234"/>
      <c r="DB88" s="234"/>
      <c r="DC88" s="234"/>
      <c r="DD88" s="234"/>
      <c r="DE88" s="234"/>
    </row>
    <row r="89" spans="90:109" ht="38.25" customHeight="1">
      <c r="CL89" s="234"/>
      <c r="CM89" s="234"/>
      <c r="CN89" s="234"/>
      <c r="CO89" s="234"/>
      <c r="CP89" s="234"/>
      <c r="CQ89" s="234"/>
      <c r="CR89" s="234"/>
      <c r="CS89" s="234"/>
      <c r="CT89" s="234"/>
      <c r="CU89" s="234"/>
      <c r="CV89" s="234"/>
      <c r="CW89" s="234"/>
      <c r="CX89" s="234"/>
      <c r="CY89" s="234"/>
      <c r="CZ89" s="234"/>
      <c r="DA89" s="234"/>
      <c r="DB89" s="234"/>
      <c r="DC89" s="234"/>
      <c r="DD89" s="234"/>
      <c r="DE89" s="234"/>
    </row>
    <row r="90" spans="90:109" ht="38.25" customHeight="1">
      <c r="CL90" s="234"/>
      <c r="CM90" s="234"/>
      <c r="CN90" s="234"/>
      <c r="CO90" s="234"/>
      <c r="CP90" s="234"/>
      <c r="CQ90" s="234"/>
      <c r="CR90" s="234"/>
      <c r="CS90" s="234"/>
      <c r="CT90" s="234"/>
      <c r="CU90" s="234"/>
      <c r="CV90" s="234"/>
      <c r="CW90" s="234"/>
      <c r="CX90" s="234"/>
      <c r="CY90" s="234"/>
      <c r="CZ90" s="234"/>
      <c r="DA90" s="234"/>
      <c r="DB90" s="234"/>
      <c r="DC90" s="234"/>
      <c r="DD90" s="234"/>
      <c r="DE90" s="234"/>
    </row>
    <row r="91" spans="90:109" ht="38.25" customHeight="1">
      <c r="CL91" s="234"/>
      <c r="CM91" s="234"/>
      <c r="CN91" s="234"/>
      <c r="CO91" s="234"/>
      <c r="CP91" s="234"/>
      <c r="CQ91" s="234"/>
      <c r="CR91" s="234"/>
      <c r="CS91" s="234"/>
      <c r="CT91" s="234"/>
      <c r="CU91" s="234"/>
      <c r="CV91" s="234"/>
      <c r="CW91" s="234"/>
      <c r="CX91" s="234"/>
      <c r="CY91" s="234"/>
      <c r="CZ91" s="234"/>
      <c r="DA91" s="234"/>
      <c r="DB91" s="234"/>
      <c r="DC91" s="234"/>
      <c r="DD91" s="234"/>
      <c r="DE91" s="234"/>
    </row>
    <row r="92" spans="90:109" ht="38.25" customHeight="1">
      <c r="CL92" s="234"/>
      <c r="CM92" s="234"/>
      <c r="CN92" s="234"/>
      <c r="CO92" s="234"/>
      <c r="CP92" s="234"/>
      <c r="CQ92" s="234"/>
      <c r="CR92" s="234"/>
      <c r="CS92" s="234"/>
      <c r="CT92" s="234"/>
      <c r="CU92" s="234"/>
      <c r="CV92" s="234"/>
      <c r="CW92" s="234"/>
      <c r="CX92" s="234"/>
      <c r="CY92" s="234"/>
      <c r="CZ92" s="234"/>
      <c r="DA92" s="234"/>
      <c r="DB92" s="234"/>
      <c r="DC92" s="234"/>
      <c r="DD92" s="234"/>
      <c r="DE92" s="234"/>
    </row>
    <row r="93" spans="90:109" ht="38.25" customHeight="1">
      <c r="CL93" s="234"/>
      <c r="CM93" s="234"/>
      <c r="CN93" s="234"/>
      <c r="CO93" s="234"/>
      <c r="CP93" s="234"/>
      <c r="CQ93" s="234"/>
      <c r="CR93" s="234"/>
      <c r="CS93" s="234"/>
      <c r="CT93" s="234"/>
      <c r="CU93" s="234"/>
      <c r="CV93" s="234"/>
      <c r="CW93" s="234"/>
      <c r="CX93" s="234"/>
      <c r="CY93" s="234"/>
      <c r="CZ93" s="234"/>
      <c r="DA93" s="234"/>
      <c r="DB93" s="234"/>
      <c r="DC93" s="234"/>
      <c r="DD93" s="234"/>
      <c r="DE93" s="234"/>
    </row>
    <row r="94" spans="90:109" ht="38.25" customHeight="1">
      <c r="CL94" s="234"/>
      <c r="CM94" s="234"/>
      <c r="CN94" s="234"/>
      <c r="CO94" s="234"/>
      <c r="CP94" s="234"/>
      <c r="CQ94" s="234"/>
      <c r="CR94" s="234"/>
      <c r="CS94" s="234"/>
      <c r="CT94" s="234"/>
      <c r="CU94" s="234"/>
      <c r="CV94" s="234"/>
      <c r="CW94" s="234"/>
      <c r="CX94" s="234"/>
      <c r="CY94" s="234"/>
      <c r="CZ94" s="234"/>
      <c r="DA94" s="234"/>
      <c r="DB94" s="234"/>
      <c r="DC94" s="234"/>
      <c r="DD94" s="234"/>
      <c r="DE94" s="234"/>
    </row>
    <row r="95" spans="90:109" ht="38.25" customHeight="1">
      <c r="CL95" s="234"/>
      <c r="CM95" s="234"/>
      <c r="CN95" s="234"/>
      <c r="CO95" s="234"/>
      <c r="CP95" s="234"/>
      <c r="CQ95" s="234"/>
      <c r="CR95" s="234"/>
      <c r="CS95" s="234"/>
      <c r="CT95" s="234"/>
      <c r="CU95" s="234"/>
      <c r="CV95" s="234"/>
      <c r="CW95" s="234"/>
      <c r="CX95" s="234"/>
      <c r="CY95" s="234"/>
      <c r="CZ95" s="234"/>
      <c r="DA95" s="234"/>
      <c r="DB95" s="234"/>
      <c r="DC95" s="234"/>
      <c r="DD95" s="234"/>
      <c r="DE95" s="234"/>
    </row>
    <row r="96" spans="90:109" ht="38.25" customHeight="1">
      <c r="CL96" s="234"/>
      <c r="CM96" s="234"/>
      <c r="CN96" s="234"/>
      <c r="CO96" s="234"/>
      <c r="CP96" s="234"/>
      <c r="CQ96" s="234"/>
      <c r="CR96" s="234"/>
      <c r="CS96" s="234"/>
      <c r="CT96" s="234"/>
      <c r="CU96" s="234"/>
      <c r="CV96" s="234"/>
      <c r="CW96" s="234"/>
      <c r="CX96" s="234"/>
      <c r="CY96" s="234"/>
      <c r="CZ96" s="234"/>
      <c r="DA96" s="234"/>
      <c r="DB96" s="234"/>
      <c r="DC96" s="234"/>
      <c r="DD96" s="234"/>
      <c r="DE96" s="234"/>
    </row>
    <row r="97" spans="90:109" ht="38.25" customHeight="1">
      <c r="CL97" s="234"/>
      <c r="CM97" s="234"/>
      <c r="CN97" s="234"/>
      <c r="CO97" s="234"/>
      <c r="CP97" s="234"/>
      <c r="CQ97" s="234"/>
      <c r="CR97" s="234"/>
      <c r="CS97" s="234"/>
      <c r="CT97" s="234"/>
      <c r="CU97" s="234"/>
      <c r="CV97" s="234"/>
      <c r="CW97" s="234"/>
      <c r="CX97" s="234"/>
      <c r="CY97" s="234"/>
      <c r="CZ97" s="234"/>
      <c r="DA97" s="234"/>
      <c r="DB97" s="234"/>
      <c r="DC97" s="234"/>
      <c r="DD97" s="234"/>
      <c r="DE97" s="234"/>
    </row>
    <row r="98" spans="90:109" ht="38.25" customHeight="1">
      <c r="CL98" s="234"/>
      <c r="CM98" s="234"/>
      <c r="CN98" s="234"/>
      <c r="CO98" s="234"/>
      <c r="CP98" s="234"/>
      <c r="CQ98" s="234"/>
      <c r="CR98" s="234"/>
      <c r="CS98" s="234"/>
      <c r="CT98" s="234"/>
      <c r="CU98" s="234"/>
      <c r="CV98" s="234"/>
      <c r="CW98" s="234"/>
      <c r="CX98" s="234"/>
      <c r="CY98" s="234"/>
      <c r="CZ98" s="234"/>
      <c r="DA98" s="234"/>
      <c r="DB98" s="234"/>
      <c r="DC98" s="234"/>
      <c r="DD98" s="234"/>
      <c r="DE98" s="234"/>
    </row>
    <row r="99" spans="90:109" ht="38.25" customHeight="1">
      <c r="CL99" s="234"/>
      <c r="CM99" s="234"/>
      <c r="CN99" s="234"/>
      <c r="CO99" s="234"/>
      <c r="CP99" s="234"/>
      <c r="CQ99" s="234"/>
      <c r="CR99" s="234"/>
      <c r="CS99" s="234"/>
      <c r="CT99" s="234"/>
      <c r="CU99" s="234"/>
      <c r="CV99" s="234"/>
      <c r="CW99" s="234"/>
      <c r="CX99" s="234"/>
      <c r="CY99" s="234"/>
      <c r="CZ99" s="234"/>
      <c r="DA99" s="234"/>
      <c r="DB99" s="234"/>
      <c r="DC99" s="234"/>
      <c r="DD99" s="234"/>
      <c r="DE99" s="234"/>
    </row>
    <row r="100" spans="90:109" ht="38.25" customHeight="1">
      <c r="CL100" s="234"/>
      <c r="CM100" s="234"/>
      <c r="CN100" s="234"/>
      <c r="CO100" s="234"/>
      <c r="CP100" s="234"/>
      <c r="CQ100" s="234"/>
      <c r="CR100" s="234"/>
      <c r="CS100" s="234"/>
      <c r="CT100" s="234"/>
      <c r="CU100" s="234"/>
      <c r="CV100" s="234"/>
      <c r="CW100" s="234"/>
      <c r="CX100" s="234"/>
      <c r="CY100" s="234"/>
      <c r="CZ100" s="234"/>
      <c r="DA100" s="234"/>
      <c r="DB100" s="234"/>
      <c r="DC100" s="234"/>
      <c r="DD100" s="234"/>
      <c r="DE100" s="234"/>
    </row>
    <row r="101" spans="90:109" ht="38.25" customHeight="1">
      <c r="CL101" s="234"/>
      <c r="CM101" s="234"/>
      <c r="CN101" s="234"/>
      <c r="CO101" s="234"/>
      <c r="CP101" s="234"/>
      <c r="CQ101" s="234"/>
      <c r="CR101" s="234"/>
      <c r="CS101" s="234"/>
      <c r="CT101" s="234"/>
      <c r="CU101" s="234"/>
      <c r="CV101" s="234"/>
      <c r="CW101" s="234"/>
      <c r="CX101" s="234"/>
      <c r="CY101" s="234"/>
      <c r="CZ101" s="234"/>
      <c r="DA101" s="234"/>
      <c r="DB101" s="234"/>
      <c r="DC101" s="234"/>
      <c r="DD101" s="234"/>
      <c r="DE101" s="234"/>
    </row>
    <row r="102" spans="90:109" ht="38.25" customHeight="1">
      <c r="CL102" s="234"/>
      <c r="CM102" s="234"/>
      <c r="CN102" s="234"/>
      <c r="CO102" s="234"/>
      <c r="CP102" s="234"/>
      <c r="CQ102" s="234"/>
      <c r="CR102" s="234"/>
      <c r="CS102" s="234"/>
      <c r="CT102" s="234"/>
      <c r="CU102" s="234"/>
      <c r="CV102" s="234"/>
      <c r="CW102" s="234"/>
      <c r="CX102" s="234"/>
      <c r="CY102" s="234"/>
      <c r="CZ102" s="234"/>
      <c r="DA102" s="234"/>
      <c r="DB102" s="234"/>
      <c r="DC102" s="234"/>
      <c r="DD102" s="234"/>
      <c r="DE102" s="234"/>
    </row>
    <row r="103" spans="90:109" ht="38.25" customHeight="1">
      <c r="CL103" s="234"/>
      <c r="CM103" s="234"/>
      <c r="CN103" s="234"/>
      <c r="CO103" s="234"/>
      <c r="CP103" s="234"/>
      <c r="CQ103" s="234"/>
      <c r="CR103" s="234"/>
      <c r="CS103" s="234"/>
      <c r="CT103" s="234"/>
      <c r="CU103" s="234"/>
      <c r="CV103" s="234"/>
      <c r="CW103" s="234"/>
      <c r="CX103" s="234"/>
      <c r="CY103" s="234"/>
      <c r="CZ103" s="234"/>
      <c r="DA103" s="234"/>
      <c r="DB103" s="234"/>
      <c r="DC103" s="234"/>
      <c r="DD103" s="234"/>
      <c r="DE103" s="234"/>
    </row>
    <row r="104" spans="90:109" ht="38.25" customHeight="1">
      <c r="CL104" s="234"/>
      <c r="CM104" s="234"/>
      <c r="CN104" s="234"/>
      <c r="CO104" s="234"/>
      <c r="CP104" s="234"/>
      <c r="CQ104" s="234"/>
      <c r="CR104" s="234"/>
      <c r="CS104" s="234"/>
      <c r="CT104" s="234"/>
      <c r="CU104" s="234"/>
      <c r="CV104" s="234"/>
      <c r="CW104" s="234"/>
      <c r="CX104" s="234"/>
      <c r="CY104" s="234"/>
      <c r="CZ104" s="234"/>
      <c r="DA104" s="234"/>
      <c r="DB104" s="234"/>
      <c r="DC104" s="234"/>
      <c r="DD104" s="234"/>
      <c r="DE104" s="234"/>
    </row>
    <row r="105" spans="90:109" ht="38.25" customHeight="1">
      <c r="CL105" s="234"/>
      <c r="CM105" s="234"/>
      <c r="CN105" s="234"/>
      <c r="CO105" s="234"/>
      <c r="CP105" s="234"/>
      <c r="CQ105" s="234"/>
      <c r="CR105" s="234"/>
      <c r="CS105" s="234"/>
      <c r="CT105" s="234"/>
      <c r="CU105" s="234"/>
      <c r="CV105" s="234"/>
      <c r="CW105" s="234"/>
      <c r="CX105" s="234"/>
      <c r="CY105" s="234"/>
      <c r="CZ105" s="234"/>
      <c r="DA105" s="234"/>
      <c r="DB105" s="234"/>
      <c r="DC105" s="234"/>
      <c r="DD105" s="234"/>
      <c r="DE105" s="234"/>
    </row>
    <row r="106" spans="90:109" ht="38.25" customHeight="1">
      <c r="CL106" s="234"/>
      <c r="CM106" s="234"/>
      <c r="CN106" s="234"/>
      <c r="CO106" s="234"/>
      <c r="CP106" s="234"/>
      <c r="CQ106" s="234"/>
      <c r="CR106" s="234"/>
      <c r="CS106" s="234"/>
      <c r="CT106" s="234"/>
      <c r="CU106" s="234"/>
      <c r="CV106" s="234"/>
      <c r="CW106" s="234"/>
      <c r="CX106" s="234"/>
      <c r="CY106" s="234"/>
      <c r="CZ106" s="234"/>
      <c r="DA106" s="234"/>
      <c r="DB106" s="234"/>
      <c r="DC106" s="234"/>
      <c r="DD106" s="234"/>
      <c r="DE106" s="234"/>
    </row>
    <row r="107" spans="90:109" ht="38.25" customHeight="1">
      <c r="CL107" s="234"/>
      <c r="CM107" s="234"/>
      <c r="CN107" s="234"/>
      <c r="CO107" s="234"/>
      <c r="CP107" s="234"/>
      <c r="CQ107" s="234"/>
      <c r="CR107" s="234"/>
      <c r="CS107" s="234"/>
      <c r="CT107" s="234"/>
      <c r="CU107" s="234"/>
      <c r="CV107" s="234"/>
      <c r="CW107" s="234"/>
      <c r="CX107" s="234"/>
      <c r="CY107" s="234"/>
      <c r="CZ107" s="234"/>
      <c r="DA107" s="234"/>
      <c r="DB107" s="234"/>
      <c r="DC107" s="234"/>
      <c r="DD107" s="234"/>
      <c r="DE107" s="234"/>
    </row>
    <row r="108" spans="90:109" ht="38.25" customHeight="1">
      <c r="CL108" s="234"/>
      <c r="CM108" s="234"/>
      <c r="CN108" s="234"/>
      <c r="CO108" s="234"/>
      <c r="CP108" s="234"/>
      <c r="CQ108" s="234"/>
      <c r="CR108" s="234"/>
      <c r="CS108" s="234"/>
      <c r="CT108" s="234"/>
      <c r="CU108" s="234"/>
      <c r="CV108" s="234"/>
      <c r="CW108" s="234"/>
      <c r="CX108" s="234"/>
      <c r="CY108" s="234"/>
      <c r="CZ108" s="234"/>
      <c r="DA108" s="234"/>
      <c r="DB108" s="234"/>
      <c r="DC108" s="234"/>
      <c r="DD108" s="234"/>
      <c r="DE108" s="234"/>
    </row>
    <row r="109" spans="90:109" ht="38.25" customHeight="1">
      <c r="CL109" s="234"/>
      <c r="CM109" s="234"/>
      <c r="CN109" s="234"/>
      <c r="CO109" s="234"/>
      <c r="CP109" s="234"/>
      <c r="CQ109" s="234"/>
      <c r="CR109" s="234"/>
      <c r="CS109" s="234"/>
      <c r="CT109" s="234"/>
      <c r="CU109" s="234"/>
      <c r="CV109" s="234"/>
      <c r="CW109" s="234"/>
      <c r="CX109" s="234"/>
      <c r="CY109" s="234"/>
      <c r="CZ109" s="234"/>
      <c r="DA109" s="234"/>
      <c r="DB109" s="234"/>
      <c r="DC109" s="234"/>
      <c r="DD109" s="234"/>
      <c r="DE109" s="234"/>
    </row>
    <row r="110" spans="90:109" ht="38.25" customHeight="1">
      <c r="CL110" s="234"/>
      <c r="CM110" s="234"/>
      <c r="CN110" s="234"/>
      <c r="CO110" s="234"/>
      <c r="CP110" s="234"/>
      <c r="CQ110" s="234"/>
      <c r="CR110" s="234"/>
      <c r="CS110" s="234"/>
      <c r="CT110" s="234"/>
      <c r="CU110" s="234"/>
      <c r="CV110" s="234"/>
      <c r="CW110" s="234"/>
      <c r="CX110" s="234"/>
      <c r="CY110" s="234"/>
      <c r="CZ110" s="234"/>
      <c r="DA110" s="234"/>
      <c r="DB110" s="234"/>
      <c r="DC110" s="234"/>
      <c r="DD110" s="234"/>
      <c r="DE110" s="234"/>
    </row>
    <row r="111" spans="90:109" ht="38.25" customHeight="1">
      <c r="CL111" s="234"/>
      <c r="CM111" s="234"/>
      <c r="CN111" s="234"/>
      <c r="CO111" s="234"/>
      <c r="CP111" s="234"/>
      <c r="CQ111" s="234"/>
      <c r="CR111" s="234"/>
      <c r="CS111" s="234"/>
      <c r="CT111" s="234"/>
      <c r="CU111" s="234"/>
      <c r="CV111" s="234"/>
      <c r="CW111" s="234"/>
      <c r="CX111" s="234"/>
      <c r="CY111" s="234"/>
      <c r="CZ111" s="234"/>
      <c r="DA111" s="234"/>
      <c r="DB111" s="234"/>
      <c r="DC111" s="234"/>
      <c r="DD111" s="234"/>
      <c r="DE111" s="234"/>
    </row>
    <row r="112" spans="90:109" ht="38.25" customHeight="1">
      <c r="CL112" s="234"/>
      <c r="CM112" s="234"/>
      <c r="CN112" s="234"/>
      <c r="CO112" s="234"/>
      <c r="CP112" s="234"/>
      <c r="CQ112" s="234"/>
      <c r="CR112" s="234"/>
      <c r="CS112" s="234"/>
      <c r="CT112" s="234"/>
      <c r="CU112" s="234"/>
      <c r="CV112" s="234"/>
      <c r="CW112" s="234"/>
      <c r="CX112" s="234"/>
      <c r="CY112" s="234"/>
      <c r="CZ112" s="234"/>
      <c r="DA112" s="234"/>
      <c r="DB112" s="234"/>
      <c r="DC112" s="234"/>
      <c r="DD112" s="234"/>
      <c r="DE112" s="234"/>
    </row>
    <row r="113" spans="90:109" ht="38.25" customHeight="1">
      <c r="CL113" s="234"/>
      <c r="CM113" s="234"/>
      <c r="CN113" s="234"/>
      <c r="CO113" s="234"/>
      <c r="CP113" s="234"/>
      <c r="CQ113" s="234"/>
      <c r="CR113" s="234"/>
      <c r="CS113" s="234"/>
      <c r="CT113" s="234"/>
      <c r="CU113" s="234"/>
      <c r="CV113" s="234"/>
      <c r="CW113" s="234"/>
      <c r="CX113" s="234"/>
      <c r="CY113" s="234"/>
      <c r="CZ113" s="234"/>
      <c r="DA113" s="234"/>
      <c r="DB113" s="234"/>
      <c r="DC113" s="234"/>
      <c r="DD113" s="234"/>
      <c r="DE113" s="234"/>
    </row>
    <row r="114" spans="90:109" ht="38.25" customHeight="1">
      <c r="CL114" s="234"/>
      <c r="CM114" s="234"/>
      <c r="CN114" s="234"/>
      <c r="CO114" s="234"/>
      <c r="CP114" s="234"/>
      <c r="CQ114" s="234"/>
      <c r="CR114" s="234"/>
      <c r="CS114" s="234"/>
      <c r="CT114" s="234"/>
      <c r="CU114" s="234"/>
      <c r="CV114" s="234"/>
      <c r="CW114" s="234"/>
      <c r="CX114" s="234"/>
      <c r="CY114" s="234"/>
      <c r="CZ114" s="234"/>
      <c r="DA114" s="234"/>
      <c r="DB114" s="234"/>
      <c r="DC114" s="234"/>
      <c r="DD114" s="234"/>
      <c r="DE114" s="234"/>
    </row>
    <row r="115" spans="90:109" ht="38.25" customHeight="1">
      <c r="CL115" s="234"/>
      <c r="CM115" s="234"/>
      <c r="CN115" s="234"/>
      <c r="CO115" s="234"/>
      <c r="CP115" s="234"/>
      <c r="CQ115" s="234"/>
      <c r="CR115" s="234"/>
      <c r="CS115" s="234"/>
      <c r="CT115" s="234"/>
      <c r="CU115" s="234"/>
      <c r="CV115" s="234"/>
      <c r="CW115" s="234"/>
      <c r="CX115" s="234"/>
      <c r="CY115" s="234"/>
      <c r="CZ115" s="234"/>
      <c r="DA115" s="234"/>
      <c r="DB115" s="234"/>
      <c r="DC115" s="234"/>
      <c r="DD115" s="234"/>
      <c r="DE115" s="234"/>
    </row>
    <row r="116" spans="90:109" ht="38.25" customHeight="1">
      <c r="CL116" s="234"/>
      <c r="CM116" s="234"/>
      <c r="CN116" s="234"/>
      <c r="CO116" s="234"/>
      <c r="CP116" s="234"/>
      <c r="CQ116" s="234"/>
      <c r="CR116" s="234"/>
      <c r="CS116" s="234"/>
      <c r="CT116" s="234"/>
      <c r="CU116" s="234"/>
      <c r="CV116" s="234"/>
      <c r="CW116" s="234"/>
      <c r="CX116" s="234"/>
      <c r="CY116" s="234"/>
      <c r="CZ116" s="234"/>
      <c r="DA116" s="234"/>
      <c r="DB116" s="234"/>
      <c r="DC116" s="234"/>
      <c r="DD116" s="234"/>
      <c r="DE116" s="234"/>
    </row>
    <row r="117" spans="90:109" ht="38.25" customHeight="1">
      <c r="CL117" s="234"/>
      <c r="CM117" s="234"/>
      <c r="CN117" s="234"/>
      <c r="CO117" s="234"/>
      <c r="CP117" s="234"/>
      <c r="CQ117" s="234"/>
      <c r="CR117" s="234"/>
      <c r="CS117" s="234"/>
      <c r="CT117" s="234"/>
      <c r="CU117" s="234"/>
      <c r="CV117" s="234"/>
      <c r="CW117" s="234"/>
      <c r="CX117" s="234"/>
      <c r="CY117" s="234"/>
      <c r="CZ117" s="234"/>
      <c r="DA117" s="234"/>
      <c r="DB117" s="234"/>
      <c r="DC117" s="234"/>
      <c r="DD117" s="234"/>
      <c r="DE117" s="234"/>
    </row>
    <row r="118" spans="90:109" ht="38.25" customHeight="1">
      <c r="CL118" s="234"/>
      <c r="CM118" s="234"/>
      <c r="CN118" s="234"/>
      <c r="CO118" s="234"/>
      <c r="CP118" s="234"/>
      <c r="CQ118" s="234"/>
      <c r="CR118" s="234"/>
      <c r="CS118" s="234"/>
      <c r="CT118" s="234"/>
      <c r="CU118" s="234"/>
      <c r="CV118" s="234"/>
      <c r="CW118" s="234"/>
      <c r="CX118" s="234"/>
      <c r="CY118" s="234"/>
      <c r="CZ118" s="234"/>
      <c r="DA118" s="234"/>
      <c r="DB118" s="234"/>
      <c r="DC118" s="234"/>
      <c r="DD118" s="234"/>
      <c r="DE118" s="234"/>
    </row>
    <row r="119" spans="90:109">
      <c r="CL119" s="234"/>
      <c r="CM119" s="234"/>
      <c r="CN119" s="234"/>
      <c r="CO119" s="234"/>
      <c r="CP119" s="234"/>
      <c r="CQ119" s="234"/>
      <c r="CR119" s="234"/>
      <c r="CS119" s="234"/>
      <c r="CT119" s="234"/>
      <c r="CU119" s="234"/>
      <c r="CV119" s="234"/>
      <c r="CW119" s="234"/>
      <c r="CX119" s="234"/>
      <c r="CY119" s="234"/>
      <c r="CZ119" s="234"/>
      <c r="DA119" s="234"/>
      <c r="DB119" s="234"/>
      <c r="DC119" s="234"/>
      <c r="DD119" s="234"/>
      <c r="DE119" s="234"/>
    </row>
    <row r="120" spans="90:109">
      <c r="CL120" s="234"/>
      <c r="CM120" s="234"/>
      <c r="CN120" s="234"/>
      <c r="CO120" s="234"/>
      <c r="CP120" s="234"/>
      <c r="CQ120" s="234"/>
      <c r="CR120" s="234"/>
      <c r="CS120" s="234"/>
      <c r="CT120" s="234"/>
      <c r="CU120" s="234"/>
      <c r="CV120" s="234"/>
      <c r="CW120" s="234"/>
      <c r="CX120" s="234"/>
      <c r="CY120" s="234"/>
      <c r="CZ120" s="234"/>
      <c r="DA120" s="234"/>
      <c r="DB120" s="234"/>
      <c r="DC120" s="234"/>
      <c r="DD120" s="234"/>
      <c r="DE120" s="234"/>
    </row>
    <row r="121" spans="90:109">
      <c r="CL121" s="234"/>
      <c r="CM121" s="234"/>
      <c r="CN121" s="234"/>
      <c r="CO121" s="234"/>
      <c r="CP121" s="234"/>
      <c r="CQ121" s="234"/>
      <c r="CR121" s="234"/>
      <c r="CS121" s="234"/>
      <c r="CT121" s="234"/>
      <c r="CU121" s="234"/>
      <c r="CV121" s="234"/>
      <c r="CW121" s="234"/>
      <c r="CX121" s="234"/>
      <c r="CY121" s="234"/>
      <c r="CZ121" s="234"/>
      <c r="DA121" s="234"/>
      <c r="DB121" s="234"/>
      <c r="DC121" s="234"/>
      <c r="DD121" s="234"/>
      <c r="DE121" s="234"/>
    </row>
    <row r="122" spans="90:109">
      <c r="CL122" s="234"/>
      <c r="CM122" s="234"/>
      <c r="CN122" s="234"/>
      <c r="CO122" s="234"/>
      <c r="CP122" s="234"/>
      <c r="CQ122" s="234"/>
      <c r="CR122" s="234"/>
      <c r="CS122" s="234"/>
      <c r="CT122" s="234"/>
      <c r="CU122" s="234"/>
      <c r="CV122" s="234"/>
      <c r="CW122" s="234"/>
      <c r="CX122" s="234"/>
      <c r="CY122" s="234"/>
      <c r="CZ122" s="234"/>
      <c r="DA122" s="234"/>
      <c r="DB122" s="234"/>
      <c r="DC122" s="234"/>
      <c r="DD122" s="234"/>
      <c r="DE122" s="234"/>
    </row>
    <row r="123" spans="90:109">
      <c r="CL123" s="234"/>
      <c r="CM123" s="234"/>
      <c r="CN123" s="234"/>
      <c r="CO123" s="234"/>
      <c r="CP123" s="234"/>
      <c r="CQ123" s="234"/>
      <c r="CR123" s="234"/>
      <c r="CS123" s="234"/>
      <c r="CT123" s="234"/>
      <c r="CU123" s="234"/>
      <c r="CV123" s="234"/>
      <c r="CW123" s="234"/>
      <c r="CX123" s="234"/>
      <c r="CY123" s="234"/>
      <c r="CZ123" s="234"/>
      <c r="DA123" s="234"/>
      <c r="DB123" s="234"/>
      <c r="DC123" s="234"/>
      <c r="DD123" s="234"/>
      <c r="DE123" s="234"/>
    </row>
    <row r="124" spans="90:109">
      <c r="CL124" s="234"/>
      <c r="CM124" s="234"/>
      <c r="CN124" s="234"/>
      <c r="CO124" s="234"/>
      <c r="CP124" s="234"/>
      <c r="CQ124" s="234"/>
      <c r="CR124" s="234"/>
      <c r="CS124" s="234"/>
      <c r="CT124" s="234"/>
      <c r="CU124" s="234"/>
      <c r="CV124" s="234"/>
      <c r="CW124" s="234"/>
      <c r="CX124" s="234"/>
      <c r="CY124" s="234"/>
      <c r="CZ124" s="234"/>
      <c r="DA124" s="234"/>
      <c r="DB124" s="234"/>
      <c r="DC124" s="234"/>
      <c r="DD124" s="234"/>
      <c r="DE124" s="234"/>
    </row>
    <row r="125" spans="90:109">
      <c r="CL125" s="234"/>
      <c r="CM125" s="234"/>
      <c r="CN125" s="234"/>
      <c r="CO125" s="234"/>
      <c r="CP125" s="234"/>
      <c r="CQ125" s="234"/>
      <c r="CR125" s="234"/>
      <c r="CS125" s="234"/>
      <c r="CT125" s="234"/>
      <c r="CU125" s="234"/>
      <c r="CV125" s="234"/>
      <c r="CW125" s="234"/>
      <c r="CX125" s="234"/>
      <c r="CY125" s="234"/>
      <c r="CZ125" s="234"/>
      <c r="DA125" s="234"/>
      <c r="DB125" s="234"/>
      <c r="DC125" s="234"/>
      <c r="DD125" s="234"/>
      <c r="DE125" s="234"/>
    </row>
    <row r="126" spans="90:109">
      <c r="CL126" s="234"/>
      <c r="CM126" s="234"/>
      <c r="CN126" s="234"/>
      <c r="CO126" s="234"/>
      <c r="CP126" s="234"/>
      <c r="CQ126" s="234"/>
      <c r="CR126" s="234"/>
      <c r="CS126" s="234"/>
      <c r="CT126" s="234"/>
      <c r="CU126" s="234"/>
      <c r="CV126" s="234"/>
      <c r="CW126" s="234"/>
      <c r="CX126" s="234"/>
      <c r="CY126" s="234"/>
      <c r="CZ126" s="234"/>
      <c r="DA126" s="234"/>
      <c r="DB126" s="234"/>
      <c r="DC126" s="234"/>
      <c r="DD126" s="234"/>
      <c r="DE126" s="234"/>
    </row>
    <row r="127" spans="90:109">
      <c r="CL127" s="234"/>
      <c r="CM127" s="234"/>
      <c r="CN127" s="234"/>
      <c r="CO127" s="234"/>
      <c r="CP127" s="234"/>
      <c r="CQ127" s="234"/>
      <c r="CR127" s="234"/>
      <c r="CS127" s="234"/>
      <c r="CT127" s="234"/>
      <c r="CU127" s="234"/>
      <c r="CV127" s="234"/>
      <c r="CW127" s="234"/>
      <c r="CX127" s="234"/>
      <c r="CY127" s="234"/>
      <c r="CZ127" s="234"/>
      <c r="DA127" s="234"/>
      <c r="DB127" s="234"/>
      <c r="DC127" s="234"/>
      <c r="DD127" s="234"/>
      <c r="DE127" s="234"/>
    </row>
    <row r="128" spans="90:109">
      <c r="CL128" s="234"/>
      <c r="CM128" s="234"/>
      <c r="CN128" s="234"/>
      <c r="CO128" s="234"/>
      <c r="CP128" s="234"/>
      <c r="CQ128" s="234"/>
      <c r="CR128" s="234"/>
      <c r="CS128" s="234"/>
      <c r="CT128" s="234"/>
      <c r="CU128" s="234"/>
      <c r="CV128" s="234"/>
      <c r="CW128" s="234"/>
      <c r="CX128" s="234"/>
      <c r="CY128" s="234"/>
      <c r="CZ128" s="234"/>
      <c r="DA128" s="234"/>
      <c r="DB128" s="234"/>
      <c r="DC128" s="234"/>
      <c r="DD128" s="234"/>
      <c r="DE128" s="234"/>
    </row>
    <row r="129" spans="90:109">
      <c r="CL129" s="234"/>
      <c r="CM129" s="234"/>
      <c r="CN129" s="234"/>
      <c r="CO129" s="234"/>
      <c r="CP129" s="234"/>
      <c r="CQ129" s="234"/>
      <c r="CR129" s="234"/>
      <c r="CS129" s="234"/>
      <c r="CT129" s="234"/>
      <c r="CU129" s="234"/>
      <c r="CV129" s="234"/>
      <c r="CW129" s="234"/>
      <c r="CX129" s="234"/>
      <c r="CY129" s="234"/>
      <c r="CZ129" s="234"/>
      <c r="DA129" s="234"/>
      <c r="DB129" s="234"/>
      <c r="DC129" s="234"/>
      <c r="DD129" s="234"/>
      <c r="DE129" s="234"/>
    </row>
  </sheetData>
  <mergeCells count="12">
    <mergeCell ref="B17:B18"/>
    <mergeCell ref="B19:B20"/>
    <mergeCell ref="B21:B22"/>
    <mergeCell ref="B23:B24"/>
    <mergeCell ref="B25:B26"/>
    <mergeCell ref="B27:B28"/>
    <mergeCell ref="B5:B6"/>
    <mergeCell ref="B7:B8"/>
    <mergeCell ref="B9:B10"/>
    <mergeCell ref="B11:B12"/>
    <mergeCell ref="B13:B14"/>
    <mergeCell ref="B15:B16"/>
  </mergeCells>
  <pageMargins left="0" right="0" top="0" bottom="0" header="0" footer="0"/>
  <pageSetup paperSize="9" scale="50" orientation="landscape" r:id="rId1"/>
  <colBreaks count="2" manualBreakCount="2">
    <brk id="63" max="37" man="1"/>
    <brk id="80" max="37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4EEA-3927-4DA9-B8B2-7225A4C02391}">
  <dimension ref="A1:IV18"/>
  <sheetViews>
    <sheetView zoomScale="70" zoomScaleNormal="70" workbookViewId="0">
      <pane xSplit="1" topLeftCell="B1" activePane="topRight" state="frozen"/>
      <selection activeCell="H18" sqref="H18"/>
      <selection pane="topRight" activeCell="O26" sqref="O26"/>
    </sheetView>
  </sheetViews>
  <sheetFormatPr defaultRowHeight="18"/>
  <cols>
    <col min="1" max="1" width="19.81640625" style="158" customWidth="1"/>
    <col min="2" max="2" width="8.7265625" style="158"/>
    <col min="3" max="3" width="11.36328125" style="158" customWidth="1"/>
    <col min="4" max="5" width="8.7265625" style="158"/>
    <col min="6" max="6" width="13.08984375" style="158" customWidth="1"/>
    <col min="7" max="7" width="12.6328125" style="158" customWidth="1"/>
    <col min="8" max="8" width="8.7265625" style="158"/>
    <col min="9" max="9" width="12.90625" style="158" customWidth="1"/>
    <col min="10" max="15" width="8.7265625" style="158"/>
    <col min="16" max="16" width="10.90625" style="158" customWidth="1"/>
    <col min="17" max="35" width="8.7265625" style="158"/>
    <col min="36" max="36" width="10" style="158" customWidth="1"/>
    <col min="37" max="42" width="8.7265625" style="158"/>
    <col min="43" max="43" width="10.453125" style="158" bestFit="1" customWidth="1"/>
    <col min="44" max="49" width="8.7265625" style="158"/>
    <col min="50" max="50" width="14" style="158" customWidth="1"/>
    <col min="51" max="61" width="8.7265625" style="158"/>
    <col min="62" max="62" width="12.90625" style="158" customWidth="1"/>
    <col min="63" max="63" width="13.36328125" style="158" customWidth="1"/>
    <col min="64" max="75" width="8.7265625" style="158"/>
    <col min="76" max="76" width="10" style="158" customWidth="1"/>
    <col min="77" max="88" width="8.7265625" style="158"/>
    <col min="89" max="89" width="12.81640625" style="158" customWidth="1"/>
    <col min="90" max="256" width="8.7265625" style="158"/>
    <col min="257" max="257" width="19.81640625" style="158" customWidth="1"/>
    <col min="258" max="258" width="8.7265625" style="158"/>
    <col min="259" max="259" width="11.36328125" style="158" customWidth="1"/>
    <col min="260" max="261" width="8.7265625" style="158"/>
    <col min="262" max="262" width="13.08984375" style="158" customWidth="1"/>
    <col min="263" max="263" width="12.6328125" style="158" customWidth="1"/>
    <col min="264" max="264" width="8.7265625" style="158"/>
    <col min="265" max="265" width="12.90625" style="158" customWidth="1"/>
    <col min="266" max="271" width="8.7265625" style="158"/>
    <col min="272" max="272" width="10.90625" style="158" customWidth="1"/>
    <col min="273" max="298" width="8.7265625" style="158"/>
    <col min="299" max="299" width="10.453125" style="158" bestFit="1" customWidth="1"/>
    <col min="300" max="305" width="8.7265625" style="158"/>
    <col min="306" max="306" width="14" style="158" customWidth="1"/>
    <col min="307" max="317" width="8.7265625" style="158"/>
    <col min="318" max="318" width="12.90625" style="158" customWidth="1"/>
    <col min="319" max="319" width="13.36328125" style="158" customWidth="1"/>
    <col min="320" max="344" width="8.7265625" style="158"/>
    <col min="345" max="345" width="12.81640625" style="158" customWidth="1"/>
    <col min="346" max="512" width="8.7265625" style="158"/>
    <col min="513" max="513" width="19.81640625" style="158" customWidth="1"/>
    <col min="514" max="514" width="8.7265625" style="158"/>
    <col min="515" max="515" width="11.36328125" style="158" customWidth="1"/>
    <col min="516" max="517" width="8.7265625" style="158"/>
    <col min="518" max="518" width="13.08984375" style="158" customWidth="1"/>
    <col min="519" max="519" width="12.6328125" style="158" customWidth="1"/>
    <col min="520" max="520" width="8.7265625" style="158"/>
    <col min="521" max="521" width="12.90625" style="158" customWidth="1"/>
    <col min="522" max="527" width="8.7265625" style="158"/>
    <col min="528" max="528" width="10.90625" style="158" customWidth="1"/>
    <col min="529" max="554" width="8.7265625" style="158"/>
    <col min="555" max="555" width="10.453125" style="158" bestFit="1" customWidth="1"/>
    <col min="556" max="561" width="8.7265625" style="158"/>
    <col min="562" max="562" width="14" style="158" customWidth="1"/>
    <col min="563" max="573" width="8.7265625" style="158"/>
    <col min="574" max="574" width="12.90625" style="158" customWidth="1"/>
    <col min="575" max="575" width="13.36328125" style="158" customWidth="1"/>
    <col min="576" max="600" width="8.7265625" style="158"/>
    <col min="601" max="601" width="12.81640625" style="158" customWidth="1"/>
    <col min="602" max="768" width="8.7265625" style="158"/>
    <col min="769" max="769" width="19.81640625" style="158" customWidth="1"/>
    <col min="770" max="770" width="8.7265625" style="158"/>
    <col min="771" max="771" width="11.36328125" style="158" customWidth="1"/>
    <col min="772" max="773" width="8.7265625" style="158"/>
    <col min="774" max="774" width="13.08984375" style="158" customWidth="1"/>
    <col min="775" max="775" width="12.6328125" style="158" customWidth="1"/>
    <col min="776" max="776" width="8.7265625" style="158"/>
    <col min="777" max="777" width="12.90625" style="158" customWidth="1"/>
    <col min="778" max="783" width="8.7265625" style="158"/>
    <col min="784" max="784" width="10.90625" style="158" customWidth="1"/>
    <col min="785" max="810" width="8.7265625" style="158"/>
    <col min="811" max="811" width="10.453125" style="158" bestFit="1" customWidth="1"/>
    <col min="812" max="817" width="8.7265625" style="158"/>
    <col min="818" max="818" width="14" style="158" customWidth="1"/>
    <col min="819" max="829" width="8.7265625" style="158"/>
    <col min="830" max="830" width="12.90625" style="158" customWidth="1"/>
    <col min="831" max="831" width="13.36328125" style="158" customWidth="1"/>
    <col min="832" max="856" width="8.7265625" style="158"/>
    <col min="857" max="857" width="12.81640625" style="158" customWidth="1"/>
    <col min="858" max="1024" width="8.7265625" style="158"/>
    <col min="1025" max="1025" width="19.81640625" style="158" customWidth="1"/>
    <col min="1026" max="1026" width="8.7265625" style="158"/>
    <col min="1027" max="1027" width="11.36328125" style="158" customWidth="1"/>
    <col min="1028" max="1029" width="8.7265625" style="158"/>
    <col min="1030" max="1030" width="13.08984375" style="158" customWidth="1"/>
    <col min="1031" max="1031" width="12.6328125" style="158" customWidth="1"/>
    <col min="1032" max="1032" width="8.7265625" style="158"/>
    <col min="1033" max="1033" width="12.90625" style="158" customWidth="1"/>
    <col min="1034" max="1039" width="8.7265625" style="158"/>
    <col min="1040" max="1040" width="10.90625" style="158" customWidth="1"/>
    <col min="1041" max="1066" width="8.7265625" style="158"/>
    <col min="1067" max="1067" width="10.453125" style="158" bestFit="1" customWidth="1"/>
    <col min="1068" max="1073" width="8.7265625" style="158"/>
    <col min="1074" max="1074" width="14" style="158" customWidth="1"/>
    <col min="1075" max="1085" width="8.7265625" style="158"/>
    <col min="1086" max="1086" width="12.90625" style="158" customWidth="1"/>
    <col min="1087" max="1087" width="13.36328125" style="158" customWidth="1"/>
    <col min="1088" max="1112" width="8.7265625" style="158"/>
    <col min="1113" max="1113" width="12.81640625" style="158" customWidth="1"/>
    <col min="1114" max="1280" width="8.7265625" style="158"/>
    <col min="1281" max="1281" width="19.81640625" style="158" customWidth="1"/>
    <col min="1282" max="1282" width="8.7265625" style="158"/>
    <col min="1283" max="1283" width="11.36328125" style="158" customWidth="1"/>
    <col min="1284" max="1285" width="8.7265625" style="158"/>
    <col min="1286" max="1286" width="13.08984375" style="158" customWidth="1"/>
    <col min="1287" max="1287" width="12.6328125" style="158" customWidth="1"/>
    <col min="1288" max="1288" width="8.7265625" style="158"/>
    <col min="1289" max="1289" width="12.90625" style="158" customWidth="1"/>
    <col min="1290" max="1295" width="8.7265625" style="158"/>
    <col min="1296" max="1296" width="10.90625" style="158" customWidth="1"/>
    <col min="1297" max="1322" width="8.7265625" style="158"/>
    <col min="1323" max="1323" width="10.453125" style="158" bestFit="1" customWidth="1"/>
    <col min="1324" max="1329" width="8.7265625" style="158"/>
    <col min="1330" max="1330" width="14" style="158" customWidth="1"/>
    <col min="1331" max="1341" width="8.7265625" style="158"/>
    <col min="1342" max="1342" width="12.90625" style="158" customWidth="1"/>
    <col min="1343" max="1343" width="13.36328125" style="158" customWidth="1"/>
    <col min="1344" max="1368" width="8.7265625" style="158"/>
    <col min="1369" max="1369" width="12.81640625" style="158" customWidth="1"/>
    <col min="1370" max="1536" width="8.7265625" style="158"/>
    <col min="1537" max="1537" width="19.81640625" style="158" customWidth="1"/>
    <col min="1538" max="1538" width="8.7265625" style="158"/>
    <col min="1539" max="1539" width="11.36328125" style="158" customWidth="1"/>
    <col min="1540" max="1541" width="8.7265625" style="158"/>
    <col min="1542" max="1542" width="13.08984375" style="158" customWidth="1"/>
    <col min="1543" max="1543" width="12.6328125" style="158" customWidth="1"/>
    <col min="1544" max="1544" width="8.7265625" style="158"/>
    <col min="1545" max="1545" width="12.90625" style="158" customWidth="1"/>
    <col min="1546" max="1551" width="8.7265625" style="158"/>
    <col min="1552" max="1552" width="10.90625" style="158" customWidth="1"/>
    <col min="1553" max="1578" width="8.7265625" style="158"/>
    <col min="1579" max="1579" width="10.453125" style="158" bestFit="1" customWidth="1"/>
    <col min="1580" max="1585" width="8.7265625" style="158"/>
    <col min="1586" max="1586" width="14" style="158" customWidth="1"/>
    <col min="1587" max="1597" width="8.7265625" style="158"/>
    <col min="1598" max="1598" width="12.90625" style="158" customWidth="1"/>
    <col min="1599" max="1599" width="13.36328125" style="158" customWidth="1"/>
    <col min="1600" max="1624" width="8.7265625" style="158"/>
    <col min="1625" max="1625" width="12.81640625" style="158" customWidth="1"/>
    <col min="1626" max="1792" width="8.7265625" style="158"/>
    <col min="1793" max="1793" width="19.81640625" style="158" customWidth="1"/>
    <col min="1794" max="1794" width="8.7265625" style="158"/>
    <col min="1795" max="1795" width="11.36328125" style="158" customWidth="1"/>
    <col min="1796" max="1797" width="8.7265625" style="158"/>
    <col min="1798" max="1798" width="13.08984375" style="158" customWidth="1"/>
    <col min="1799" max="1799" width="12.6328125" style="158" customWidth="1"/>
    <col min="1800" max="1800" width="8.7265625" style="158"/>
    <col min="1801" max="1801" width="12.90625" style="158" customWidth="1"/>
    <col min="1802" max="1807" width="8.7265625" style="158"/>
    <col min="1808" max="1808" width="10.90625" style="158" customWidth="1"/>
    <col min="1809" max="1834" width="8.7265625" style="158"/>
    <col min="1835" max="1835" width="10.453125" style="158" bestFit="1" customWidth="1"/>
    <col min="1836" max="1841" width="8.7265625" style="158"/>
    <col min="1842" max="1842" width="14" style="158" customWidth="1"/>
    <col min="1843" max="1853" width="8.7265625" style="158"/>
    <col min="1854" max="1854" width="12.90625" style="158" customWidth="1"/>
    <col min="1855" max="1855" width="13.36328125" style="158" customWidth="1"/>
    <col min="1856" max="1880" width="8.7265625" style="158"/>
    <col min="1881" max="1881" width="12.81640625" style="158" customWidth="1"/>
    <col min="1882" max="2048" width="8.7265625" style="158"/>
    <col min="2049" max="2049" width="19.81640625" style="158" customWidth="1"/>
    <col min="2050" max="2050" width="8.7265625" style="158"/>
    <col min="2051" max="2051" width="11.36328125" style="158" customWidth="1"/>
    <col min="2052" max="2053" width="8.7265625" style="158"/>
    <col min="2054" max="2054" width="13.08984375" style="158" customWidth="1"/>
    <col min="2055" max="2055" width="12.6328125" style="158" customWidth="1"/>
    <col min="2056" max="2056" width="8.7265625" style="158"/>
    <col min="2057" max="2057" width="12.90625" style="158" customWidth="1"/>
    <col min="2058" max="2063" width="8.7265625" style="158"/>
    <col min="2064" max="2064" width="10.90625" style="158" customWidth="1"/>
    <col min="2065" max="2090" width="8.7265625" style="158"/>
    <col min="2091" max="2091" width="10.453125" style="158" bestFit="1" customWidth="1"/>
    <col min="2092" max="2097" width="8.7265625" style="158"/>
    <col min="2098" max="2098" width="14" style="158" customWidth="1"/>
    <col min="2099" max="2109" width="8.7265625" style="158"/>
    <col min="2110" max="2110" width="12.90625" style="158" customWidth="1"/>
    <col min="2111" max="2111" width="13.36328125" style="158" customWidth="1"/>
    <col min="2112" max="2136" width="8.7265625" style="158"/>
    <col min="2137" max="2137" width="12.81640625" style="158" customWidth="1"/>
    <col min="2138" max="2304" width="8.7265625" style="158"/>
    <col min="2305" max="2305" width="19.81640625" style="158" customWidth="1"/>
    <col min="2306" max="2306" width="8.7265625" style="158"/>
    <col min="2307" max="2307" width="11.36328125" style="158" customWidth="1"/>
    <col min="2308" max="2309" width="8.7265625" style="158"/>
    <col min="2310" max="2310" width="13.08984375" style="158" customWidth="1"/>
    <col min="2311" max="2311" width="12.6328125" style="158" customWidth="1"/>
    <col min="2312" max="2312" width="8.7265625" style="158"/>
    <col min="2313" max="2313" width="12.90625" style="158" customWidth="1"/>
    <col min="2314" max="2319" width="8.7265625" style="158"/>
    <col min="2320" max="2320" width="10.90625" style="158" customWidth="1"/>
    <col min="2321" max="2346" width="8.7265625" style="158"/>
    <col min="2347" max="2347" width="10.453125" style="158" bestFit="1" customWidth="1"/>
    <col min="2348" max="2353" width="8.7265625" style="158"/>
    <col min="2354" max="2354" width="14" style="158" customWidth="1"/>
    <col min="2355" max="2365" width="8.7265625" style="158"/>
    <col min="2366" max="2366" width="12.90625" style="158" customWidth="1"/>
    <col min="2367" max="2367" width="13.36328125" style="158" customWidth="1"/>
    <col min="2368" max="2392" width="8.7265625" style="158"/>
    <col min="2393" max="2393" width="12.81640625" style="158" customWidth="1"/>
    <col min="2394" max="2560" width="8.7265625" style="158"/>
    <col min="2561" max="2561" width="19.81640625" style="158" customWidth="1"/>
    <col min="2562" max="2562" width="8.7265625" style="158"/>
    <col min="2563" max="2563" width="11.36328125" style="158" customWidth="1"/>
    <col min="2564" max="2565" width="8.7265625" style="158"/>
    <col min="2566" max="2566" width="13.08984375" style="158" customWidth="1"/>
    <col min="2567" max="2567" width="12.6328125" style="158" customWidth="1"/>
    <col min="2568" max="2568" width="8.7265625" style="158"/>
    <col min="2569" max="2569" width="12.90625" style="158" customWidth="1"/>
    <col min="2570" max="2575" width="8.7265625" style="158"/>
    <col min="2576" max="2576" width="10.90625" style="158" customWidth="1"/>
    <col min="2577" max="2602" width="8.7265625" style="158"/>
    <col min="2603" max="2603" width="10.453125" style="158" bestFit="1" customWidth="1"/>
    <col min="2604" max="2609" width="8.7265625" style="158"/>
    <col min="2610" max="2610" width="14" style="158" customWidth="1"/>
    <col min="2611" max="2621" width="8.7265625" style="158"/>
    <col min="2622" max="2622" width="12.90625" style="158" customWidth="1"/>
    <col min="2623" max="2623" width="13.36328125" style="158" customWidth="1"/>
    <col min="2624" max="2648" width="8.7265625" style="158"/>
    <col min="2649" max="2649" width="12.81640625" style="158" customWidth="1"/>
    <col min="2650" max="2816" width="8.7265625" style="158"/>
    <col min="2817" max="2817" width="19.81640625" style="158" customWidth="1"/>
    <col min="2818" max="2818" width="8.7265625" style="158"/>
    <col min="2819" max="2819" width="11.36328125" style="158" customWidth="1"/>
    <col min="2820" max="2821" width="8.7265625" style="158"/>
    <col min="2822" max="2822" width="13.08984375" style="158" customWidth="1"/>
    <col min="2823" max="2823" width="12.6328125" style="158" customWidth="1"/>
    <col min="2824" max="2824" width="8.7265625" style="158"/>
    <col min="2825" max="2825" width="12.90625" style="158" customWidth="1"/>
    <col min="2826" max="2831" width="8.7265625" style="158"/>
    <col min="2832" max="2832" width="10.90625" style="158" customWidth="1"/>
    <col min="2833" max="2858" width="8.7265625" style="158"/>
    <col min="2859" max="2859" width="10.453125" style="158" bestFit="1" customWidth="1"/>
    <col min="2860" max="2865" width="8.7265625" style="158"/>
    <col min="2866" max="2866" width="14" style="158" customWidth="1"/>
    <col min="2867" max="2877" width="8.7265625" style="158"/>
    <col min="2878" max="2878" width="12.90625" style="158" customWidth="1"/>
    <col min="2879" max="2879" width="13.36328125" style="158" customWidth="1"/>
    <col min="2880" max="2904" width="8.7265625" style="158"/>
    <col min="2905" max="2905" width="12.81640625" style="158" customWidth="1"/>
    <col min="2906" max="3072" width="8.7265625" style="158"/>
    <col min="3073" max="3073" width="19.81640625" style="158" customWidth="1"/>
    <col min="3074" max="3074" width="8.7265625" style="158"/>
    <col min="3075" max="3075" width="11.36328125" style="158" customWidth="1"/>
    <col min="3076" max="3077" width="8.7265625" style="158"/>
    <col min="3078" max="3078" width="13.08984375" style="158" customWidth="1"/>
    <col min="3079" max="3079" width="12.6328125" style="158" customWidth="1"/>
    <col min="3080" max="3080" width="8.7265625" style="158"/>
    <col min="3081" max="3081" width="12.90625" style="158" customWidth="1"/>
    <col min="3082" max="3087" width="8.7265625" style="158"/>
    <col min="3088" max="3088" width="10.90625" style="158" customWidth="1"/>
    <col min="3089" max="3114" width="8.7265625" style="158"/>
    <col min="3115" max="3115" width="10.453125" style="158" bestFit="1" customWidth="1"/>
    <col min="3116" max="3121" width="8.7265625" style="158"/>
    <col min="3122" max="3122" width="14" style="158" customWidth="1"/>
    <col min="3123" max="3133" width="8.7265625" style="158"/>
    <col min="3134" max="3134" width="12.90625" style="158" customWidth="1"/>
    <col min="3135" max="3135" width="13.36328125" style="158" customWidth="1"/>
    <col min="3136" max="3160" width="8.7265625" style="158"/>
    <col min="3161" max="3161" width="12.81640625" style="158" customWidth="1"/>
    <col min="3162" max="3328" width="8.7265625" style="158"/>
    <col min="3329" max="3329" width="19.81640625" style="158" customWidth="1"/>
    <col min="3330" max="3330" width="8.7265625" style="158"/>
    <col min="3331" max="3331" width="11.36328125" style="158" customWidth="1"/>
    <col min="3332" max="3333" width="8.7265625" style="158"/>
    <col min="3334" max="3334" width="13.08984375" style="158" customWidth="1"/>
    <col min="3335" max="3335" width="12.6328125" style="158" customWidth="1"/>
    <col min="3336" max="3336" width="8.7265625" style="158"/>
    <col min="3337" max="3337" width="12.90625" style="158" customWidth="1"/>
    <col min="3338" max="3343" width="8.7265625" style="158"/>
    <col min="3344" max="3344" width="10.90625" style="158" customWidth="1"/>
    <col min="3345" max="3370" width="8.7265625" style="158"/>
    <col min="3371" max="3371" width="10.453125" style="158" bestFit="1" customWidth="1"/>
    <col min="3372" max="3377" width="8.7265625" style="158"/>
    <col min="3378" max="3378" width="14" style="158" customWidth="1"/>
    <col min="3379" max="3389" width="8.7265625" style="158"/>
    <col min="3390" max="3390" width="12.90625" style="158" customWidth="1"/>
    <col min="3391" max="3391" width="13.36328125" style="158" customWidth="1"/>
    <col min="3392" max="3416" width="8.7265625" style="158"/>
    <col min="3417" max="3417" width="12.81640625" style="158" customWidth="1"/>
    <col min="3418" max="3584" width="8.7265625" style="158"/>
    <col min="3585" max="3585" width="19.81640625" style="158" customWidth="1"/>
    <col min="3586" max="3586" width="8.7265625" style="158"/>
    <col min="3587" max="3587" width="11.36328125" style="158" customWidth="1"/>
    <col min="3588" max="3589" width="8.7265625" style="158"/>
    <col min="3590" max="3590" width="13.08984375" style="158" customWidth="1"/>
    <col min="3591" max="3591" width="12.6328125" style="158" customWidth="1"/>
    <col min="3592" max="3592" width="8.7265625" style="158"/>
    <col min="3593" max="3593" width="12.90625" style="158" customWidth="1"/>
    <col min="3594" max="3599" width="8.7265625" style="158"/>
    <col min="3600" max="3600" width="10.90625" style="158" customWidth="1"/>
    <col min="3601" max="3626" width="8.7265625" style="158"/>
    <col min="3627" max="3627" width="10.453125" style="158" bestFit="1" customWidth="1"/>
    <col min="3628" max="3633" width="8.7265625" style="158"/>
    <col min="3634" max="3634" width="14" style="158" customWidth="1"/>
    <col min="3635" max="3645" width="8.7265625" style="158"/>
    <col min="3646" max="3646" width="12.90625" style="158" customWidth="1"/>
    <col min="3647" max="3647" width="13.36328125" style="158" customWidth="1"/>
    <col min="3648" max="3672" width="8.7265625" style="158"/>
    <col min="3673" max="3673" width="12.81640625" style="158" customWidth="1"/>
    <col min="3674" max="3840" width="8.7265625" style="158"/>
    <col min="3841" max="3841" width="19.81640625" style="158" customWidth="1"/>
    <col min="3842" max="3842" width="8.7265625" style="158"/>
    <col min="3843" max="3843" width="11.36328125" style="158" customWidth="1"/>
    <col min="3844" max="3845" width="8.7265625" style="158"/>
    <col min="3846" max="3846" width="13.08984375" style="158" customWidth="1"/>
    <col min="3847" max="3847" width="12.6328125" style="158" customWidth="1"/>
    <col min="3848" max="3848" width="8.7265625" style="158"/>
    <col min="3849" max="3849" width="12.90625" style="158" customWidth="1"/>
    <col min="3850" max="3855" width="8.7265625" style="158"/>
    <col min="3856" max="3856" width="10.90625" style="158" customWidth="1"/>
    <col min="3857" max="3882" width="8.7265625" style="158"/>
    <col min="3883" max="3883" width="10.453125" style="158" bestFit="1" customWidth="1"/>
    <col min="3884" max="3889" width="8.7265625" style="158"/>
    <col min="3890" max="3890" width="14" style="158" customWidth="1"/>
    <col min="3891" max="3901" width="8.7265625" style="158"/>
    <col min="3902" max="3902" width="12.90625" style="158" customWidth="1"/>
    <col min="3903" max="3903" width="13.36328125" style="158" customWidth="1"/>
    <col min="3904" max="3928" width="8.7265625" style="158"/>
    <col min="3929" max="3929" width="12.81640625" style="158" customWidth="1"/>
    <col min="3930" max="4096" width="8.7265625" style="158"/>
    <col min="4097" max="4097" width="19.81640625" style="158" customWidth="1"/>
    <col min="4098" max="4098" width="8.7265625" style="158"/>
    <col min="4099" max="4099" width="11.36328125" style="158" customWidth="1"/>
    <col min="4100" max="4101" width="8.7265625" style="158"/>
    <col min="4102" max="4102" width="13.08984375" style="158" customWidth="1"/>
    <col min="4103" max="4103" width="12.6328125" style="158" customWidth="1"/>
    <col min="4104" max="4104" width="8.7265625" style="158"/>
    <col min="4105" max="4105" width="12.90625" style="158" customWidth="1"/>
    <col min="4106" max="4111" width="8.7265625" style="158"/>
    <col min="4112" max="4112" width="10.90625" style="158" customWidth="1"/>
    <col min="4113" max="4138" width="8.7265625" style="158"/>
    <col min="4139" max="4139" width="10.453125" style="158" bestFit="1" customWidth="1"/>
    <col min="4140" max="4145" width="8.7265625" style="158"/>
    <col min="4146" max="4146" width="14" style="158" customWidth="1"/>
    <col min="4147" max="4157" width="8.7265625" style="158"/>
    <col min="4158" max="4158" width="12.90625" style="158" customWidth="1"/>
    <col min="4159" max="4159" width="13.36328125" style="158" customWidth="1"/>
    <col min="4160" max="4184" width="8.7265625" style="158"/>
    <col min="4185" max="4185" width="12.81640625" style="158" customWidth="1"/>
    <col min="4186" max="4352" width="8.7265625" style="158"/>
    <col min="4353" max="4353" width="19.81640625" style="158" customWidth="1"/>
    <col min="4354" max="4354" width="8.7265625" style="158"/>
    <col min="4355" max="4355" width="11.36328125" style="158" customWidth="1"/>
    <col min="4356" max="4357" width="8.7265625" style="158"/>
    <col min="4358" max="4358" width="13.08984375" style="158" customWidth="1"/>
    <col min="4359" max="4359" width="12.6328125" style="158" customWidth="1"/>
    <col min="4360" max="4360" width="8.7265625" style="158"/>
    <col min="4361" max="4361" width="12.90625" style="158" customWidth="1"/>
    <col min="4362" max="4367" width="8.7265625" style="158"/>
    <col min="4368" max="4368" width="10.90625" style="158" customWidth="1"/>
    <col min="4369" max="4394" width="8.7265625" style="158"/>
    <col min="4395" max="4395" width="10.453125" style="158" bestFit="1" customWidth="1"/>
    <col min="4396" max="4401" width="8.7265625" style="158"/>
    <col min="4402" max="4402" width="14" style="158" customWidth="1"/>
    <col min="4403" max="4413" width="8.7265625" style="158"/>
    <col min="4414" max="4414" width="12.90625" style="158" customWidth="1"/>
    <col min="4415" max="4415" width="13.36328125" style="158" customWidth="1"/>
    <col min="4416" max="4440" width="8.7265625" style="158"/>
    <col min="4441" max="4441" width="12.81640625" style="158" customWidth="1"/>
    <col min="4442" max="4608" width="8.7265625" style="158"/>
    <col min="4609" max="4609" width="19.81640625" style="158" customWidth="1"/>
    <col min="4610" max="4610" width="8.7265625" style="158"/>
    <col min="4611" max="4611" width="11.36328125" style="158" customWidth="1"/>
    <col min="4612" max="4613" width="8.7265625" style="158"/>
    <col min="4614" max="4614" width="13.08984375" style="158" customWidth="1"/>
    <col min="4615" max="4615" width="12.6328125" style="158" customWidth="1"/>
    <col min="4616" max="4616" width="8.7265625" style="158"/>
    <col min="4617" max="4617" width="12.90625" style="158" customWidth="1"/>
    <col min="4618" max="4623" width="8.7265625" style="158"/>
    <col min="4624" max="4624" width="10.90625" style="158" customWidth="1"/>
    <col min="4625" max="4650" width="8.7265625" style="158"/>
    <col min="4651" max="4651" width="10.453125" style="158" bestFit="1" customWidth="1"/>
    <col min="4652" max="4657" width="8.7265625" style="158"/>
    <col min="4658" max="4658" width="14" style="158" customWidth="1"/>
    <col min="4659" max="4669" width="8.7265625" style="158"/>
    <col min="4670" max="4670" width="12.90625" style="158" customWidth="1"/>
    <col min="4671" max="4671" width="13.36328125" style="158" customWidth="1"/>
    <col min="4672" max="4696" width="8.7265625" style="158"/>
    <col min="4697" max="4697" width="12.81640625" style="158" customWidth="1"/>
    <col min="4698" max="4864" width="8.7265625" style="158"/>
    <col min="4865" max="4865" width="19.81640625" style="158" customWidth="1"/>
    <col min="4866" max="4866" width="8.7265625" style="158"/>
    <col min="4867" max="4867" width="11.36328125" style="158" customWidth="1"/>
    <col min="4868" max="4869" width="8.7265625" style="158"/>
    <col min="4870" max="4870" width="13.08984375" style="158" customWidth="1"/>
    <col min="4871" max="4871" width="12.6328125" style="158" customWidth="1"/>
    <col min="4872" max="4872" width="8.7265625" style="158"/>
    <col min="4873" max="4873" width="12.90625" style="158" customWidth="1"/>
    <col min="4874" max="4879" width="8.7265625" style="158"/>
    <col min="4880" max="4880" width="10.90625" style="158" customWidth="1"/>
    <col min="4881" max="4906" width="8.7265625" style="158"/>
    <col min="4907" max="4907" width="10.453125" style="158" bestFit="1" customWidth="1"/>
    <col min="4908" max="4913" width="8.7265625" style="158"/>
    <col min="4914" max="4914" width="14" style="158" customWidth="1"/>
    <col min="4915" max="4925" width="8.7265625" style="158"/>
    <col min="4926" max="4926" width="12.90625" style="158" customWidth="1"/>
    <col min="4927" max="4927" width="13.36328125" style="158" customWidth="1"/>
    <col min="4928" max="4952" width="8.7265625" style="158"/>
    <col min="4953" max="4953" width="12.81640625" style="158" customWidth="1"/>
    <col min="4954" max="5120" width="8.7265625" style="158"/>
    <col min="5121" max="5121" width="19.81640625" style="158" customWidth="1"/>
    <col min="5122" max="5122" width="8.7265625" style="158"/>
    <col min="5123" max="5123" width="11.36328125" style="158" customWidth="1"/>
    <col min="5124" max="5125" width="8.7265625" style="158"/>
    <col min="5126" max="5126" width="13.08984375" style="158" customWidth="1"/>
    <col min="5127" max="5127" width="12.6328125" style="158" customWidth="1"/>
    <col min="5128" max="5128" width="8.7265625" style="158"/>
    <col min="5129" max="5129" width="12.90625" style="158" customWidth="1"/>
    <col min="5130" max="5135" width="8.7265625" style="158"/>
    <col min="5136" max="5136" width="10.90625" style="158" customWidth="1"/>
    <col min="5137" max="5162" width="8.7265625" style="158"/>
    <col min="5163" max="5163" width="10.453125" style="158" bestFit="1" customWidth="1"/>
    <col min="5164" max="5169" width="8.7265625" style="158"/>
    <col min="5170" max="5170" width="14" style="158" customWidth="1"/>
    <col min="5171" max="5181" width="8.7265625" style="158"/>
    <col min="5182" max="5182" width="12.90625" style="158" customWidth="1"/>
    <col min="5183" max="5183" width="13.36328125" style="158" customWidth="1"/>
    <col min="5184" max="5208" width="8.7265625" style="158"/>
    <col min="5209" max="5209" width="12.81640625" style="158" customWidth="1"/>
    <col min="5210" max="5376" width="8.7265625" style="158"/>
    <col min="5377" max="5377" width="19.81640625" style="158" customWidth="1"/>
    <col min="5378" max="5378" width="8.7265625" style="158"/>
    <col min="5379" max="5379" width="11.36328125" style="158" customWidth="1"/>
    <col min="5380" max="5381" width="8.7265625" style="158"/>
    <col min="5382" max="5382" width="13.08984375" style="158" customWidth="1"/>
    <col min="5383" max="5383" width="12.6328125" style="158" customWidth="1"/>
    <col min="5384" max="5384" width="8.7265625" style="158"/>
    <col min="5385" max="5385" width="12.90625" style="158" customWidth="1"/>
    <col min="5386" max="5391" width="8.7265625" style="158"/>
    <col min="5392" max="5392" width="10.90625" style="158" customWidth="1"/>
    <col min="5393" max="5418" width="8.7265625" style="158"/>
    <col min="5419" max="5419" width="10.453125" style="158" bestFit="1" customWidth="1"/>
    <col min="5420" max="5425" width="8.7265625" style="158"/>
    <col min="5426" max="5426" width="14" style="158" customWidth="1"/>
    <col min="5427" max="5437" width="8.7265625" style="158"/>
    <col min="5438" max="5438" width="12.90625" style="158" customWidth="1"/>
    <col min="5439" max="5439" width="13.36328125" style="158" customWidth="1"/>
    <col min="5440" max="5464" width="8.7265625" style="158"/>
    <col min="5465" max="5465" width="12.81640625" style="158" customWidth="1"/>
    <col min="5466" max="5632" width="8.7265625" style="158"/>
    <col min="5633" max="5633" width="19.81640625" style="158" customWidth="1"/>
    <col min="5634" max="5634" width="8.7265625" style="158"/>
    <col min="5635" max="5635" width="11.36328125" style="158" customWidth="1"/>
    <col min="5636" max="5637" width="8.7265625" style="158"/>
    <col min="5638" max="5638" width="13.08984375" style="158" customWidth="1"/>
    <col min="5639" max="5639" width="12.6328125" style="158" customWidth="1"/>
    <col min="5640" max="5640" width="8.7265625" style="158"/>
    <col min="5641" max="5641" width="12.90625" style="158" customWidth="1"/>
    <col min="5642" max="5647" width="8.7265625" style="158"/>
    <col min="5648" max="5648" width="10.90625" style="158" customWidth="1"/>
    <col min="5649" max="5674" width="8.7265625" style="158"/>
    <col min="5675" max="5675" width="10.453125" style="158" bestFit="1" customWidth="1"/>
    <col min="5676" max="5681" width="8.7265625" style="158"/>
    <col min="5682" max="5682" width="14" style="158" customWidth="1"/>
    <col min="5683" max="5693" width="8.7265625" style="158"/>
    <col min="5694" max="5694" width="12.90625" style="158" customWidth="1"/>
    <col min="5695" max="5695" width="13.36328125" style="158" customWidth="1"/>
    <col min="5696" max="5720" width="8.7265625" style="158"/>
    <col min="5721" max="5721" width="12.81640625" style="158" customWidth="1"/>
    <col min="5722" max="5888" width="8.7265625" style="158"/>
    <col min="5889" max="5889" width="19.81640625" style="158" customWidth="1"/>
    <col min="5890" max="5890" width="8.7265625" style="158"/>
    <col min="5891" max="5891" width="11.36328125" style="158" customWidth="1"/>
    <col min="5892" max="5893" width="8.7265625" style="158"/>
    <col min="5894" max="5894" width="13.08984375" style="158" customWidth="1"/>
    <col min="5895" max="5895" width="12.6328125" style="158" customWidth="1"/>
    <col min="5896" max="5896" width="8.7265625" style="158"/>
    <col min="5897" max="5897" width="12.90625" style="158" customWidth="1"/>
    <col min="5898" max="5903" width="8.7265625" style="158"/>
    <col min="5904" max="5904" width="10.90625" style="158" customWidth="1"/>
    <col min="5905" max="5930" width="8.7265625" style="158"/>
    <col min="5931" max="5931" width="10.453125" style="158" bestFit="1" customWidth="1"/>
    <col min="5932" max="5937" width="8.7265625" style="158"/>
    <col min="5938" max="5938" width="14" style="158" customWidth="1"/>
    <col min="5939" max="5949" width="8.7265625" style="158"/>
    <col min="5950" max="5950" width="12.90625" style="158" customWidth="1"/>
    <col min="5951" max="5951" width="13.36328125" style="158" customWidth="1"/>
    <col min="5952" max="5976" width="8.7265625" style="158"/>
    <col min="5977" max="5977" width="12.81640625" style="158" customWidth="1"/>
    <col min="5978" max="6144" width="8.7265625" style="158"/>
    <col min="6145" max="6145" width="19.81640625" style="158" customWidth="1"/>
    <col min="6146" max="6146" width="8.7265625" style="158"/>
    <col min="6147" max="6147" width="11.36328125" style="158" customWidth="1"/>
    <col min="6148" max="6149" width="8.7265625" style="158"/>
    <col min="6150" max="6150" width="13.08984375" style="158" customWidth="1"/>
    <col min="6151" max="6151" width="12.6328125" style="158" customWidth="1"/>
    <col min="6152" max="6152" width="8.7265625" style="158"/>
    <col min="6153" max="6153" width="12.90625" style="158" customWidth="1"/>
    <col min="6154" max="6159" width="8.7265625" style="158"/>
    <col min="6160" max="6160" width="10.90625" style="158" customWidth="1"/>
    <col min="6161" max="6186" width="8.7265625" style="158"/>
    <col min="6187" max="6187" width="10.453125" style="158" bestFit="1" customWidth="1"/>
    <col min="6188" max="6193" width="8.7265625" style="158"/>
    <col min="6194" max="6194" width="14" style="158" customWidth="1"/>
    <col min="6195" max="6205" width="8.7265625" style="158"/>
    <col min="6206" max="6206" width="12.90625" style="158" customWidth="1"/>
    <col min="6207" max="6207" width="13.36328125" style="158" customWidth="1"/>
    <col min="6208" max="6232" width="8.7265625" style="158"/>
    <col min="6233" max="6233" width="12.81640625" style="158" customWidth="1"/>
    <col min="6234" max="6400" width="8.7265625" style="158"/>
    <col min="6401" max="6401" width="19.81640625" style="158" customWidth="1"/>
    <col min="6402" max="6402" width="8.7265625" style="158"/>
    <col min="6403" max="6403" width="11.36328125" style="158" customWidth="1"/>
    <col min="6404" max="6405" width="8.7265625" style="158"/>
    <col min="6406" max="6406" width="13.08984375" style="158" customWidth="1"/>
    <col min="6407" max="6407" width="12.6328125" style="158" customWidth="1"/>
    <col min="6408" max="6408" width="8.7265625" style="158"/>
    <col min="6409" max="6409" width="12.90625" style="158" customWidth="1"/>
    <col min="6410" max="6415" width="8.7265625" style="158"/>
    <col min="6416" max="6416" width="10.90625" style="158" customWidth="1"/>
    <col min="6417" max="6442" width="8.7265625" style="158"/>
    <col min="6443" max="6443" width="10.453125" style="158" bestFit="1" customWidth="1"/>
    <col min="6444" max="6449" width="8.7265625" style="158"/>
    <col min="6450" max="6450" width="14" style="158" customWidth="1"/>
    <col min="6451" max="6461" width="8.7265625" style="158"/>
    <col min="6462" max="6462" width="12.90625" style="158" customWidth="1"/>
    <col min="6463" max="6463" width="13.36328125" style="158" customWidth="1"/>
    <col min="6464" max="6488" width="8.7265625" style="158"/>
    <col min="6489" max="6489" width="12.81640625" style="158" customWidth="1"/>
    <col min="6490" max="6656" width="8.7265625" style="158"/>
    <col min="6657" max="6657" width="19.81640625" style="158" customWidth="1"/>
    <col min="6658" max="6658" width="8.7265625" style="158"/>
    <col min="6659" max="6659" width="11.36328125" style="158" customWidth="1"/>
    <col min="6660" max="6661" width="8.7265625" style="158"/>
    <col min="6662" max="6662" width="13.08984375" style="158" customWidth="1"/>
    <col min="6663" max="6663" width="12.6328125" style="158" customWidth="1"/>
    <col min="6664" max="6664" width="8.7265625" style="158"/>
    <col min="6665" max="6665" width="12.90625" style="158" customWidth="1"/>
    <col min="6666" max="6671" width="8.7265625" style="158"/>
    <col min="6672" max="6672" width="10.90625" style="158" customWidth="1"/>
    <col min="6673" max="6698" width="8.7265625" style="158"/>
    <col min="6699" max="6699" width="10.453125" style="158" bestFit="1" customWidth="1"/>
    <col min="6700" max="6705" width="8.7265625" style="158"/>
    <col min="6706" max="6706" width="14" style="158" customWidth="1"/>
    <col min="6707" max="6717" width="8.7265625" style="158"/>
    <col min="6718" max="6718" width="12.90625" style="158" customWidth="1"/>
    <col min="6719" max="6719" width="13.36328125" style="158" customWidth="1"/>
    <col min="6720" max="6744" width="8.7265625" style="158"/>
    <col min="6745" max="6745" width="12.81640625" style="158" customWidth="1"/>
    <col min="6746" max="6912" width="8.7265625" style="158"/>
    <col min="6913" max="6913" width="19.81640625" style="158" customWidth="1"/>
    <col min="6914" max="6914" width="8.7265625" style="158"/>
    <col min="6915" max="6915" width="11.36328125" style="158" customWidth="1"/>
    <col min="6916" max="6917" width="8.7265625" style="158"/>
    <col min="6918" max="6918" width="13.08984375" style="158" customWidth="1"/>
    <col min="6919" max="6919" width="12.6328125" style="158" customWidth="1"/>
    <col min="6920" max="6920" width="8.7265625" style="158"/>
    <col min="6921" max="6921" width="12.90625" style="158" customWidth="1"/>
    <col min="6922" max="6927" width="8.7265625" style="158"/>
    <col min="6928" max="6928" width="10.90625" style="158" customWidth="1"/>
    <col min="6929" max="6954" width="8.7265625" style="158"/>
    <col min="6955" max="6955" width="10.453125" style="158" bestFit="1" customWidth="1"/>
    <col min="6956" max="6961" width="8.7265625" style="158"/>
    <col min="6962" max="6962" width="14" style="158" customWidth="1"/>
    <col min="6963" max="6973" width="8.7265625" style="158"/>
    <col min="6974" max="6974" width="12.90625" style="158" customWidth="1"/>
    <col min="6975" max="6975" width="13.36328125" style="158" customWidth="1"/>
    <col min="6976" max="7000" width="8.7265625" style="158"/>
    <col min="7001" max="7001" width="12.81640625" style="158" customWidth="1"/>
    <col min="7002" max="7168" width="8.7265625" style="158"/>
    <col min="7169" max="7169" width="19.81640625" style="158" customWidth="1"/>
    <col min="7170" max="7170" width="8.7265625" style="158"/>
    <col min="7171" max="7171" width="11.36328125" style="158" customWidth="1"/>
    <col min="7172" max="7173" width="8.7265625" style="158"/>
    <col min="7174" max="7174" width="13.08984375" style="158" customWidth="1"/>
    <col min="7175" max="7175" width="12.6328125" style="158" customWidth="1"/>
    <col min="7176" max="7176" width="8.7265625" style="158"/>
    <col min="7177" max="7177" width="12.90625" style="158" customWidth="1"/>
    <col min="7178" max="7183" width="8.7265625" style="158"/>
    <col min="7184" max="7184" width="10.90625" style="158" customWidth="1"/>
    <col min="7185" max="7210" width="8.7265625" style="158"/>
    <col min="7211" max="7211" width="10.453125" style="158" bestFit="1" customWidth="1"/>
    <col min="7212" max="7217" width="8.7265625" style="158"/>
    <col min="7218" max="7218" width="14" style="158" customWidth="1"/>
    <col min="7219" max="7229" width="8.7265625" style="158"/>
    <col min="7230" max="7230" width="12.90625" style="158" customWidth="1"/>
    <col min="7231" max="7231" width="13.36328125" style="158" customWidth="1"/>
    <col min="7232" max="7256" width="8.7265625" style="158"/>
    <col min="7257" max="7257" width="12.81640625" style="158" customWidth="1"/>
    <col min="7258" max="7424" width="8.7265625" style="158"/>
    <col min="7425" max="7425" width="19.81640625" style="158" customWidth="1"/>
    <col min="7426" max="7426" width="8.7265625" style="158"/>
    <col min="7427" max="7427" width="11.36328125" style="158" customWidth="1"/>
    <col min="7428" max="7429" width="8.7265625" style="158"/>
    <col min="7430" max="7430" width="13.08984375" style="158" customWidth="1"/>
    <col min="7431" max="7431" width="12.6328125" style="158" customWidth="1"/>
    <col min="7432" max="7432" width="8.7265625" style="158"/>
    <col min="7433" max="7433" width="12.90625" style="158" customWidth="1"/>
    <col min="7434" max="7439" width="8.7265625" style="158"/>
    <col min="7440" max="7440" width="10.90625" style="158" customWidth="1"/>
    <col min="7441" max="7466" width="8.7265625" style="158"/>
    <col min="7467" max="7467" width="10.453125" style="158" bestFit="1" customWidth="1"/>
    <col min="7468" max="7473" width="8.7265625" style="158"/>
    <col min="7474" max="7474" width="14" style="158" customWidth="1"/>
    <col min="7475" max="7485" width="8.7265625" style="158"/>
    <col min="7486" max="7486" width="12.90625" style="158" customWidth="1"/>
    <col min="7487" max="7487" width="13.36328125" style="158" customWidth="1"/>
    <col min="7488" max="7512" width="8.7265625" style="158"/>
    <col min="7513" max="7513" width="12.81640625" style="158" customWidth="1"/>
    <col min="7514" max="7680" width="8.7265625" style="158"/>
    <col min="7681" max="7681" width="19.81640625" style="158" customWidth="1"/>
    <col min="7682" max="7682" width="8.7265625" style="158"/>
    <col min="7683" max="7683" width="11.36328125" style="158" customWidth="1"/>
    <col min="7684" max="7685" width="8.7265625" style="158"/>
    <col min="7686" max="7686" width="13.08984375" style="158" customWidth="1"/>
    <col min="7687" max="7687" width="12.6328125" style="158" customWidth="1"/>
    <col min="7688" max="7688" width="8.7265625" style="158"/>
    <col min="7689" max="7689" width="12.90625" style="158" customWidth="1"/>
    <col min="7690" max="7695" width="8.7265625" style="158"/>
    <col min="7696" max="7696" width="10.90625" style="158" customWidth="1"/>
    <col min="7697" max="7722" width="8.7265625" style="158"/>
    <col min="7723" max="7723" width="10.453125" style="158" bestFit="1" customWidth="1"/>
    <col min="7724" max="7729" width="8.7265625" style="158"/>
    <col min="7730" max="7730" width="14" style="158" customWidth="1"/>
    <col min="7731" max="7741" width="8.7265625" style="158"/>
    <col min="7742" max="7742" width="12.90625" style="158" customWidth="1"/>
    <col min="7743" max="7743" width="13.36328125" style="158" customWidth="1"/>
    <col min="7744" max="7768" width="8.7265625" style="158"/>
    <col min="7769" max="7769" width="12.81640625" style="158" customWidth="1"/>
    <col min="7770" max="7936" width="8.7265625" style="158"/>
    <col min="7937" max="7937" width="19.81640625" style="158" customWidth="1"/>
    <col min="7938" max="7938" width="8.7265625" style="158"/>
    <col min="7939" max="7939" width="11.36328125" style="158" customWidth="1"/>
    <col min="7940" max="7941" width="8.7265625" style="158"/>
    <col min="7942" max="7942" width="13.08984375" style="158" customWidth="1"/>
    <col min="7943" max="7943" width="12.6328125" style="158" customWidth="1"/>
    <col min="7944" max="7944" width="8.7265625" style="158"/>
    <col min="7945" max="7945" width="12.90625" style="158" customWidth="1"/>
    <col min="7946" max="7951" width="8.7265625" style="158"/>
    <col min="7952" max="7952" width="10.90625" style="158" customWidth="1"/>
    <col min="7953" max="7978" width="8.7265625" style="158"/>
    <col min="7979" max="7979" width="10.453125" style="158" bestFit="1" customWidth="1"/>
    <col min="7980" max="7985" width="8.7265625" style="158"/>
    <col min="7986" max="7986" width="14" style="158" customWidth="1"/>
    <col min="7987" max="7997" width="8.7265625" style="158"/>
    <col min="7998" max="7998" width="12.90625" style="158" customWidth="1"/>
    <col min="7999" max="7999" width="13.36328125" style="158" customWidth="1"/>
    <col min="8000" max="8024" width="8.7265625" style="158"/>
    <col min="8025" max="8025" width="12.81640625" style="158" customWidth="1"/>
    <col min="8026" max="8192" width="8.7265625" style="158"/>
    <col min="8193" max="8193" width="19.81640625" style="158" customWidth="1"/>
    <col min="8194" max="8194" width="8.7265625" style="158"/>
    <col min="8195" max="8195" width="11.36328125" style="158" customWidth="1"/>
    <col min="8196" max="8197" width="8.7265625" style="158"/>
    <col min="8198" max="8198" width="13.08984375" style="158" customWidth="1"/>
    <col min="8199" max="8199" width="12.6328125" style="158" customWidth="1"/>
    <col min="8200" max="8200" width="8.7265625" style="158"/>
    <col min="8201" max="8201" width="12.90625" style="158" customWidth="1"/>
    <col min="8202" max="8207" width="8.7265625" style="158"/>
    <col min="8208" max="8208" width="10.90625" style="158" customWidth="1"/>
    <col min="8209" max="8234" width="8.7265625" style="158"/>
    <col min="8235" max="8235" width="10.453125" style="158" bestFit="1" customWidth="1"/>
    <col min="8236" max="8241" width="8.7265625" style="158"/>
    <col min="8242" max="8242" width="14" style="158" customWidth="1"/>
    <col min="8243" max="8253" width="8.7265625" style="158"/>
    <col min="8254" max="8254" width="12.90625" style="158" customWidth="1"/>
    <col min="8255" max="8255" width="13.36328125" style="158" customWidth="1"/>
    <col min="8256" max="8280" width="8.7265625" style="158"/>
    <col min="8281" max="8281" width="12.81640625" style="158" customWidth="1"/>
    <col min="8282" max="8448" width="8.7265625" style="158"/>
    <col min="8449" max="8449" width="19.81640625" style="158" customWidth="1"/>
    <col min="8450" max="8450" width="8.7265625" style="158"/>
    <col min="8451" max="8451" width="11.36328125" style="158" customWidth="1"/>
    <col min="8452" max="8453" width="8.7265625" style="158"/>
    <col min="8454" max="8454" width="13.08984375" style="158" customWidth="1"/>
    <col min="8455" max="8455" width="12.6328125" style="158" customWidth="1"/>
    <col min="8456" max="8456" width="8.7265625" style="158"/>
    <col min="8457" max="8457" width="12.90625" style="158" customWidth="1"/>
    <col min="8458" max="8463" width="8.7265625" style="158"/>
    <col min="8464" max="8464" width="10.90625" style="158" customWidth="1"/>
    <col min="8465" max="8490" width="8.7265625" style="158"/>
    <col min="8491" max="8491" width="10.453125" style="158" bestFit="1" customWidth="1"/>
    <col min="8492" max="8497" width="8.7265625" style="158"/>
    <col min="8498" max="8498" width="14" style="158" customWidth="1"/>
    <col min="8499" max="8509" width="8.7265625" style="158"/>
    <col min="8510" max="8510" width="12.90625" style="158" customWidth="1"/>
    <col min="8511" max="8511" width="13.36328125" style="158" customWidth="1"/>
    <col min="8512" max="8536" width="8.7265625" style="158"/>
    <col min="8537" max="8537" width="12.81640625" style="158" customWidth="1"/>
    <col min="8538" max="8704" width="8.7265625" style="158"/>
    <col min="8705" max="8705" width="19.81640625" style="158" customWidth="1"/>
    <col min="8706" max="8706" width="8.7265625" style="158"/>
    <col min="8707" max="8707" width="11.36328125" style="158" customWidth="1"/>
    <col min="8708" max="8709" width="8.7265625" style="158"/>
    <col min="8710" max="8710" width="13.08984375" style="158" customWidth="1"/>
    <col min="8711" max="8711" width="12.6328125" style="158" customWidth="1"/>
    <col min="8712" max="8712" width="8.7265625" style="158"/>
    <col min="8713" max="8713" width="12.90625" style="158" customWidth="1"/>
    <col min="8714" max="8719" width="8.7265625" style="158"/>
    <col min="8720" max="8720" width="10.90625" style="158" customWidth="1"/>
    <col min="8721" max="8746" width="8.7265625" style="158"/>
    <col min="8747" max="8747" width="10.453125" style="158" bestFit="1" customWidth="1"/>
    <col min="8748" max="8753" width="8.7265625" style="158"/>
    <col min="8754" max="8754" width="14" style="158" customWidth="1"/>
    <col min="8755" max="8765" width="8.7265625" style="158"/>
    <col min="8766" max="8766" width="12.90625" style="158" customWidth="1"/>
    <col min="8767" max="8767" width="13.36328125" style="158" customWidth="1"/>
    <col min="8768" max="8792" width="8.7265625" style="158"/>
    <col min="8793" max="8793" width="12.81640625" style="158" customWidth="1"/>
    <col min="8794" max="8960" width="8.7265625" style="158"/>
    <col min="8961" max="8961" width="19.81640625" style="158" customWidth="1"/>
    <col min="8962" max="8962" width="8.7265625" style="158"/>
    <col min="8963" max="8963" width="11.36328125" style="158" customWidth="1"/>
    <col min="8964" max="8965" width="8.7265625" style="158"/>
    <col min="8966" max="8966" width="13.08984375" style="158" customWidth="1"/>
    <col min="8967" max="8967" width="12.6328125" style="158" customWidth="1"/>
    <col min="8968" max="8968" width="8.7265625" style="158"/>
    <col min="8969" max="8969" width="12.90625" style="158" customWidth="1"/>
    <col min="8970" max="8975" width="8.7265625" style="158"/>
    <col min="8976" max="8976" width="10.90625" style="158" customWidth="1"/>
    <col min="8977" max="9002" width="8.7265625" style="158"/>
    <col min="9003" max="9003" width="10.453125" style="158" bestFit="1" customWidth="1"/>
    <col min="9004" max="9009" width="8.7265625" style="158"/>
    <col min="9010" max="9010" width="14" style="158" customWidth="1"/>
    <col min="9011" max="9021" width="8.7265625" style="158"/>
    <col min="9022" max="9022" width="12.90625" style="158" customWidth="1"/>
    <col min="9023" max="9023" width="13.36328125" style="158" customWidth="1"/>
    <col min="9024" max="9048" width="8.7265625" style="158"/>
    <col min="9049" max="9049" width="12.81640625" style="158" customWidth="1"/>
    <col min="9050" max="9216" width="8.7265625" style="158"/>
    <col min="9217" max="9217" width="19.81640625" style="158" customWidth="1"/>
    <col min="9218" max="9218" width="8.7265625" style="158"/>
    <col min="9219" max="9219" width="11.36328125" style="158" customWidth="1"/>
    <col min="9220" max="9221" width="8.7265625" style="158"/>
    <col min="9222" max="9222" width="13.08984375" style="158" customWidth="1"/>
    <col min="9223" max="9223" width="12.6328125" style="158" customWidth="1"/>
    <col min="9224" max="9224" width="8.7265625" style="158"/>
    <col min="9225" max="9225" width="12.90625" style="158" customWidth="1"/>
    <col min="9226" max="9231" width="8.7265625" style="158"/>
    <col min="9232" max="9232" width="10.90625" style="158" customWidth="1"/>
    <col min="9233" max="9258" width="8.7265625" style="158"/>
    <col min="9259" max="9259" width="10.453125" style="158" bestFit="1" customWidth="1"/>
    <col min="9260" max="9265" width="8.7265625" style="158"/>
    <col min="9266" max="9266" width="14" style="158" customWidth="1"/>
    <col min="9267" max="9277" width="8.7265625" style="158"/>
    <col min="9278" max="9278" width="12.90625" style="158" customWidth="1"/>
    <col min="9279" max="9279" width="13.36328125" style="158" customWidth="1"/>
    <col min="9280" max="9304" width="8.7265625" style="158"/>
    <col min="9305" max="9305" width="12.81640625" style="158" customWidth="1"/>
    <col min="9306" max="9472" width="8.7265625" style="158"/>
    <col min="9473" max="9473" width="19.81640625" style="158" customWidth="1"/>
    <col min="9474" max="9474" width="8.7265625" style="158"/>
    <col min="9475" max="9475" width="11.36328125" style="158" customWidth="1"/>
    <col min="9476" max="9477" width="8.7265625" style="158"/>
    <col min="9478" max="9478" width="13.08984375" style="158" customWidth="1"/>
    <col min="9479" max="9479" width="12.6328125" style="158" customWidth="1"/>
    <col min="9480" max="9480" width="8.7265625" style="158"/>
    <col min="9481" max="9481" width="12.90625" style="158" customWidth="1"/>
    <col min="9482" max="9487" width="8.7265625" style="158"/>
    <col min="9488" max="9488" width="10.90625" style="158" customWidth="1"/>
    <col min="9489" max="9514" width="8.7265625" style="158"/>
    <col min="9515" max="9515" width="10.453125" style="158" bestFit="1" customWidth="1"/>
    <col min="9516" max="9521" width="8.7265625" style="158"/>
    <col min="9522" max="9522" width="14" style="158" customWidth="1"/>
    <col min="9523" max="9533" width="8.7265625" style="158"/>
    <col min="9534" max="9534" width="12.90625" style="158" customWidth="1"/>
    <col min="9535" max="9535" width="13.36328125" style="158" customWidth="1"/>
    <col min="9536" max="9560" width="8.7265625" style="158"/>
    <col min="9561" max="9561" width="12.81640625" style="158" customWidth="1"/>
    <col min="9562" max="9728" width="8.7265625" style="158"/>
    <col min="9729" max="9729" width="19.81640625" style="158" customWidth="1"/>
    <col min="9730" max="9730" width="8.7265625" style="158"/>
    <col min="9731" max="9731" width="11.36328125" style="158" customWidth="1"/>
    <col min="9732" max="9733" width="8.7265625" style="158"/>
    <col min="9734" max="9734" width="13.08984375" style="158" customWidth="1"/>
    <col min="9735" max="9735" width="12.6328125" style="158" customWidth="1"/>
    <col min="9736" max="9736" width="8.7265625" style="158"/>
    <col min="9737" max="9737" width="12.90625" style="158" customWidth="1"/>
    <col min="9738" max="9743" width="8.7265625" style="158"/>
    <col min="9744" max="9744" width="10.90625" style="158" customWidth="1"/>
    <col min="9745" max="9770" width="8.7265625" style="158"/>
    <col min="9771" max="9771" width="10.453125" style="158" bestFit="1" customWidth="1"/>
    <col min="9772" max="9777" width="8.7265625" style="158"/>
    <col min="9778" max="9778" width="14" style="158" customWidth="1"/>
    <col min="9779" max="9789" width="8.7265625" style="158"/>
    <col min="9790" max="9790" width="12.90625" style="158" customWidth="1"/>
    <col min="9791" max="9791" width="13.36328125" style="158" customWidth="1"/>
    <col min="9792" max="9816" width="8.7265625" style="158"/>
    <col min="9817" max="9817" width="12.81640625" style="158" customWidth="1"/>
    <col min="9818" max="9984" width="8.7265625" style="158"/>
    <col min="9985" max="9985" width="19.81640625" style="158" customWidth="1"/>
    <col min="9986" max="9986" width="8.7265625" style="158"/>
    <col min="9987" max="9987" width="11.36328125" style="158" customWidth="1"/>
    <col min="9988" max="9989" width="8.7265625" style="158"/>
    <col min="9990" max="9990" width="13.08984375" style="158" customWidth="1"/>
    <col min="9991" max="9991" width="12.6328125" style="158" customWidth="1"/>
    <col min="9992" max="9992" width="8.7265625" style="158"/>
    <col min="9993" max="9993" width="12.90625" style="158" customWidth="1"/>
    <col min="9994" max="9999" width="8.7265625" style="158"/>
    <col min="10000" max="10000" width="10.90625" style="158" customWidth="1"/>
    <col min="10001" max="10026" width="8.7265625" style="158"/>
    <col min="10027" max="10027" width="10.453125" style="158" bestFit="1" customWidth="1"/>
    <col min="10028" max="10033" width="8.7265625" style="158"/>
    <col min="10034" max="10034" width="14" style="158" customWidth="1"/>
    <col min="10035" max="10045" width="8.7265625" style="158"/>
    <col min="10046" max="10046" width="12.90625" style="158" customWidth="1"/>
    <col min="10047" max="10047" width="13.36328125" style="158" customWidth="1"/>
    <col min="10048" max="10072" width="8.7265625" style="158"/>
    <col min="10073" max="10073" width="12.81640625" style="158" customWidth="1"/>
    <col min="10074" max="10240" width="8.7265625" style="158"/>
    <col min="10241" max="10241" width="19.81640625" style="158" customWidth="1"/>
    <col min="10242" max="10242" width="8.7265625" style="158"/>
    <col min="10243" max="10243" width="11.36328125" style="158" customWidth="1"/>
    <col min="10244" max="10245" width="8.7265625" style="158"/>
    <col min="10246" max="10246" width="13.08984375" style="158" customWidth="1"/>
    <col min="10247" max="10247" width="12.6328125" style="158" customWidth="1"/>
    <col min="10248" max="10248" width="8.7265625" style="158"/>
    <col min="10249" max="10249" width="12.90625" style="158" customWidth="1"/>
    <col min="10250" max="10255" width="8.7265625" style="158"/>
    <col min="10256" max="10256" width="10.90625" style="158" customWidth="1"/>
    <col min="10257" max="10282" width="8.7265625" style="158"/>
    <col min="10283" max="10283" width="10.453125" style="158" bestFit="1" customWidth="1"/>
    <col min="10284" max="10289" width="8.7265625" style="158"/>
    <col min="10290" max="10290" width="14" style="158" customWidth="1"/>
    <col min="10291" max="10301" width="8.7265625" style="158"/>
    <col min="10302" max="10302" width="12.90625" style="158" customWidth="1"/>
    <col min="10303" max="10303" width="13.36328125" style="158" customWidth="1"/>
    <col min="10304" max="10328" width="8.7265625" style="158"/>
    <col min="10329" max="10329" width="12.81640625" style="158" customWidth="1"/>
    <col min="10330" max="10496" width="8.7265625" style="158"/>
    <col min="10497" max="10497" width="19.81640625" style="158" customWidth="1"/>
    <col min="10498" max="10498" width="8.7265625" style="158"/>
    <col min="10499" max="10499" width="11.36328125" style="158" customWidth="1"/>
    <col min="10500" max="10501" width="8.7265625" style="158"/>
    <col min="10502" max="10502" width="13.08984375" style="158" customWidth="1"/>
    <col min="10503" max="10503" width="12.6328125" style="158" customWidth="1"/>
    <col min="10504" max="10504" width="8.7265625" style="158"/>
    <col min="10505" max="10505" width="12.90625" style="158" customWidth="1"/>
    <col min="10506" max="10511" width="8.7265625" style="158"/>
    <col min="10512" max="10512" width="10.90625" style="158" customWidth="1"/>
    <col min="10513" max="10538" width="8.7265625" style="158"/>
    <col min="10539" max="10539" width="10.453125" style="158" bestFit="1" customWidth="1"/>
    <col min="10540" max="10545" width="8.7265625" style="158"/>
    <col min="10546" max="10546" width="14" style="158" customWidth="1"/>
    <col min="10547" max="10557" width="8.7265625" style="158"/>
    <col min="10558" max="10558" width="12.90625" style="158" customWidth="1"/>
    <col min="10559" max="10559" width="13.36328125" style="158" customWidth="1"/>
    <col min="10560" max="10584" width="8.7265625" style="158"/>
    <col min="10585" max="10585" width="12.81640625" style="158" customWidth="1"/>
    <col min="10586" max="10752" width="8.7265625" style="158"/>
    <col min="10753" max="10753" width="19.81640625" style="158" customWidth="1"/>
    <col min="10754" max="10754" width="8.7265625" style="158"/>
    <col min="10755" max="10755" width="11.36328125" style="158" customWidth="1"/>
    <col min="10756" max="10757" width="8.7265625" style="158"/>
    <col min="10758" max="10758" width="13.08984375" style="158" customWidth="1"/>
    <col min="10759" max="10759" width="12.6328125" style="158" customWidth="1"/>
    <col min="10760" max="10760" width="8.7265625" style="158"/>
    <col min="10761" max="10761" width="12.90625" style="158" customWidth="1"/>
    <col min="10762" max="10767" width="8.7265625" style="158"/>
    <col min="10768" max="10768" width="10.90625" style="158" customWidth="1"/>
    <col min="10769" max="10794" width="8.7265625" style="158"/>
    <col min="10795" max="10795" width="10.453125" style="158" bestFit="1" customWidth="1"/>
    <col min="10796" max="10801" width="8.7265625" style="158"/>
    <col min="10802" max="10802" width="14" style="158" customWidth="1"/>
    <col min="10803" max="10813" width="8.7265625" style="158"/>
    <col min="10814" max="10814" width="12.90625" style="158" customWidth="1"/>
    <col min="10815" max="10815" width="13.36328125" style="158" customWidth="1"/>
    <col min="10816" max="10840" width="8.7265625" style="158"/>
    <col min="10841" max="10841" width="12.81640625" style="158" customWidth="1"/>
    <col min="10842" max="11008" width="8.7265625" style="158"/>
    <col min="11009" max="11009" width="19.81640625" style="158" customWidth="1"/>
    <col min="11010" max="11010" width="8.7265625" style="158"/>
    <col min="11011" max="11011" width="11.36328125" style="158" customWidth="1"/>
    <col min="11012" max="11013" width="8.7265625" style="158"/>
    <col min="11014" max="11014" width="13.08984375" style="158" customWidth="1"/>
    <col min="11015" max="11015" width="12.6328125" style="158" customWidth="1"/>
    <col min="11016" max="11016" width="8.7265625" style="158"/>
    <col min="11017" max="11017" width="12.90625" style="158" customWidth="1"/>
    <col min="11018" max="11023" width="8.7265625" style="158"/>
    <col min="11024" max="11024" width="10.90625" style="158" customWidth="1"/>
    <col min="11025" max="11050" width="8.7265625" style="158"/>
    <col min="11051" max="11051" width="10.453125" style="158" bestFit="1" customWidth="1"/>
    <col min="11052" max="11057" width="8.7265625" style="158"/>
    <col min="11058" max="11058" width="14" style="158" customWidth="1"/>
    <col min="11059" max="11069" width="8.7265625" style="158"/>
    <col min="11070" max="11070" width="12.90625" style="158" customWidth="1"/>
    <col min="11071" max="11071" width="13.36328125" style="158" customWidth="1"/>
    <col min="11072" max="11096" width="8.7265625" style="158"/>
    <col min="11097" max="11097" width="12.81640625" style="158" customWidth="1"/>
    <col min="11098" max="11264" width="8.7265625" style="158"/>
    <col min="11265" max="11265" width="19.81640625" style="158" customWidth="1"/>
    <col min="11266" max="11266" width="8.7265625" style="158"/>
    <col min="11267" max="11267" width="11.36328125" style="158" customWidth="1"/>
    <col min="11268" max="11269" width="8.7265625" style="158"/>
    <col min="11270" max="11270" width="13.08984375" style="158" customWidth="1"/>
    <col min="11271" max="11271" width="12.6328125" style="158" customWidth="1"/>
    <col min="11272" max="11272" width="8.7265625" style="158"/>
    <col min="11273" max="11273" width="12.90625" style="158" customWidth="1"/>
    <col min="11274" max="11279" width="8.7265625" style="158"/>
    <col min="11280" max="11280" width="10.90625" style="158" customWidth="1"/>
    <col min="11281" max="11306" width="8.7265625" style="158"/>
    <col min="11307" max="11307" width="10.453125" style="158" bestFit="1" customWidth="1"/>
    <col min="11308" max="11313" width="8.7265625" style="158"/>
    <col min="11314" max="11314" width="14" style="158" customWidth="1"/>
    <col min="11315" max="11325" width="8.7265625" style="158"/>
    <col min="11326" max="11326" width="12.90625" style="158" customWidth="1"/>
    <col min="11327" max="11327" width="13.36328125" style="158" customWidth="1"/>
    <col min="11328" max="11352" width="8.7265625" style="158"/>
    <col min="11353" max="11353" width="12.81640625" style="158" customWidth="1"/>
    <col min="11354" max="11520" width="8.7265625" style="158"/>
    <col min="11521" max="11521" width="19.81640625" style="158" customWidth="1"/>
    <col min="11522" max="11522" width="8.7265625" style="158"/>
    <col min="11523" max="11523" width="11.36328125" style="158" customWidth="1"/>
    <col min="11524" max="11525" width="8.7265625" style="158"/>
    <col min="11526" max="11526" width="13.08984375" style="158" customWidth="1"/>
    <col min="11527" max="11527" width="12.6328125" style="158" customWidth="1"/>
    <col min="11528" max="11528" width="8.7265625" style="158"/>
    <col min="11529" max="11529" width="12.90625" style="158" customWidth="1"/>
    <col min="11530" max="11535" width="8.7265625" style="158"/>
    <col min="11536" max="11536" width="10.90625" style="158" customWidth="1"/>
    <col min="11537" max="11562" width="8.7265625" style="158"/>
    <col min="11563" max="11563" width="10.453125" style="158" bestFit="1" customWidth="1"/>
    <col min="11564" max="11569" width="8.7265625" style="158"/>
    <col min="11570" max="11570" width="14" style="158" customWidth="1"/>
    <col min="11571" max="11581" width="8.7265625" style="158"/>
    <col min="11582" max="11582" width="12.90625" style="158" customWidth="1"/>
    <col min="11583" max="11583" width="13.36328125" style="158" customWidth="1"/>
    <col min="11584" max="11608" width="8.7265625" style="158"/>
    <col min="11609" max="11609" width="12.81640625" style="158" customWidth="1"/>
    <col min="11610" max="11776" width="8.7265625" style="158"/>
    <col min="11777" max="11777" width="19.81640625" style="158" customWidth="1"/>
    <col min="11778" max="11778" width="8.7265625" style="158"/>
    <col min="11779" max="11779" width="11.36328125" style="158" customWidth="1"/>
    <col min="11780" max="11781" width="8.7265625" style="158"/>
    <col min="11782" max="11782" width="13.08984375" style="158" customWidth="1"/>
    <col min="11783" max="11783" width="12.6328125" style="158" customWidth="1"/>
    <col min="11784" max="11784" width="8.7265625" style="158"/>
    <col min="11785" max="11785" width="12.90625" style="158" customWidth="1"/>
    <col min="11786" max="11791" width="8.7265625" style="158"/>
    <col min="11792" max="11792" width="10.90625" style="158" customWidth="1"/>
    <col min="11793" max="11818" width="8.7265625" style="158"/>
    <col min="11819" max="11819" width="10.453125" style="158" bestFit="1" customWidth="1"/>
    <col min="11820" max="11825" width="8.7265625" style="158"/>
    <col min="11826" max="11826" width="14" style="158" customWidth="1"/>
    <col min="11827" max="11837" width="8.7265625" style="158"/>
    <col min="11838" max="11838" width="12.90625" style="158" customWidth="1"/>
    <col min="11839" max="11839" width="13.36328125" style="158" customWidth="1"/>
    <col min="11840" max="11864" width="8.7265625" style="158"/>
    <col min="11865" max="11865" width="12.81640625" style="158" customWidth="1"/>
    <col min="11866" max="12032" width="8.7265625" style="158"/>
    <col min="12033" max="12033" width="19.81640625" style="158" customWidth="1"/>
    <col min="12034" max="12034" width="8.7265625" style="158"/>
    <col min="12035" max="12035" width="11.36328125" style="158" customWidth="1"/>
    <col min="12036" max="12037" width="8.7265625" style="158"/>
    <col min="12038" max="12038" width="13.08984375" style="158" customWidth="1"/>
    <col min="12039" max="12039" width="12.6328125" style="158" customWidth="1"/>
    <col min="12040" max="12040" width="8.7265625" style="158"/>
    <col min="12041" max="12041" width="12.90625" style="158" customWidth="1"/>
    <col min="12042" max="12047" width="8.7265625" style="158"/>
    <col min="12048" max="12048" width="10.90625" style="158" customWidth="1"/>
    <col min="12049" max="12074" width="8.7265625" style="158"/>
    <col min="12075" max="12075" width="10.453125" style="158" bestFit="1" customWidth="1"/>
    <col min="12076" max="12081" width="8.7265625" style="158"/>
    <col min="12082" max="12082" width="14" style="158" customWidth="1"/>
    <col min="12083" max="12093" width="8.7265625" style="158"/>
    <col min="12094" max="12094" width="12.90625" style="158" customWidth="1"/>
    <col min="12095" max="12095" width="13.36328125" style="158" customWidth="1"/>
    <col min="12096" max="12120" width="8.7265625" style="158"/>
    <col min="12121" max="12121" width="12.81640625" style="158" customWidth="1"/>
    <col min="12122" max="12288" width="8.7265625" style="158"/>
    <col min="12289" max="12289" width="19.81640625" style="158" customWidth="1"/>
    <col min="12290" max="12290" width="8.7265625" style="158"/>
    <col min="12291" max="12291" width="11.36328125" style="158" customWidth="1"/>
    <col min="12292" max="12293" width="8.7265625" style="158"/>
    <col min="12294" max="12294" width="13.08984375" style="158" customWidth="1"/>
    <col min="12295" max="12295" width="12.6328125" style="158" customWidth="1"/>
    <col min="12296" max="12296" width="8.7265625" style="158"/>
    <col min="12297" max="12297" width="12.90625" style="158" customWidth="1"/>
    <col min="12298" max="12303" width="8.7265625" style="158"/>
    <col min="12304" max="12304" width="10.90625" style="158" customWidth="1"/>
    <col min="12305" max="12330" width="8.7265625" style="158"/>
    <col min="12331" max="12331" width="10.453125" style="158" bestFit="1" customWidth="1"/>
    <col min="12332" max="12337" width="8.7265625" style="158"/>
    <col min="12338" max="12338" width="14" style="158" customWidth="1"/>
    <col min="12339" max="12349" width="8.7265625" style="158"/>
    <col min="12350" max="12350" width="12.90625" style="158" customWidth="1"/>
    <col min="12351" max="12351" width="13.36328125" style="158" customWidth="1"/>
    <col min="12352" max="12376" width="8.7265625" style="158"/>
    <col min="12377" max="12377" width="12.81640625" style="158" customWidth="1"/>
    <col min="12378" max="12544" width="8.7265625" style="158"/>
    <col min="12545" max="12545" width="19.81640625" style="158" customWidth="1"/>
    <col min="12546" max="12546" width="8.7265625" style="158"/>
    <col min="12547" max="12547" width="11.36328125" style="158" customWidth="1"/>
    <col min="12548" max="12549" width="8.7265625" style="158"/>
    <col min="12550" max="12550" width="13.08984375" style="158" customWidth="1"/>
    <col min="12551" max="12551" width="12.6328125" style="158" customWidth="1"/>
    <col min="12552" max="12552" width="8.7265625" style="158"/>
    <col min="12553" max="12553" width="12.90625" style="158" customWidth="1"/>
    <col min="12554" max="12559" width="8.7265625" style="158"/>
    <col min="12560" max="12560" width="10.90625" style="158" customWidth="1"/>
    <col min="12561" max="12586" width="8.7265625" style="158"/>
    <col min="12587" max="12587" width="10.453125" style="158" bestFit="1" customWidth="1"/>
    <col min="12588" max="12593" width="8.7265625" style="158"/>
    <col min="12594" max="12594" width="14" style="158" customWidth="1"/>
    <col min="12595" max="12605" width="8.7265625" style="158"/>
    <col min="12606" max="12606" width="12.90625" style="158" customWidth="1"/>
    <col min="12607" max="12607" width="13.36328125" style="158" customWidth="1"/>
    <col min="12608" max="12632" width="8.7265625" style="158"/>
    <col min="12633" max="12633" width="12.81640625" style="158" customWidth="1"/>
    <col min="12634" max="12800" width="8.7265625" style="158"/>
    <col min="12801" max="12801" width="19.81640625" style="158" customWidth="1"/>
    <col min="12802" max="12802" width="8.7265625" style="158"/>
    <col min="12803" max="12803" width="11.36328125" style="158" customWidth="1"/>
    <col min="12804" max="12805" width="8.7265625" style="158"/>
    <col min="12806" max="12806" width="13.08984375" style="158" customWidth="1"/>
    <col min="12807" max="12807" width="12.6328125" style="158" customWidth="1"/>
    <col min="12808" max="12808" width="8.7265625" style="158"/>
    <col min="12809" max="12809" width="12.90625" style="158" customWidth="1"/>
    <col min="12810" max="12815" width="8.7265625" style="158"/>
    <col min="12816" max="12816" width="10.90625" style="158" customWidth="1"/>
    <col min="12817" max="12842" width="8.7265625" style="158"/>
    <col min="12843" max="12843" width="10.453125" style="158" bestFit="1" customWidth="1"/>
    <col min="12844" max="12849" width="8.7265625" style="158"/>
    <col min="12850" max="12850" width="14" style="158" customWidth="1"/>
    <col min="12851" max="12861" width="8.7265625" style="158"/>
    <col min="12862" max="12862" width="12.90625" style="158" customWidth="1"/>
    <col min="12863" max="12863" width="13.36328125" style="158" customWidth="1"/>
    <col min="12864" max="12888" width="8.7265625" style="158"/>
    <col min="12889" max="12889" width="12.81640625" style="158" customWidth="1"/>
    <col min="12890" max="13056" width="8.7265625" style="158"/>
    <col min="13057" max="13057" width="19.81640625" style="158" customWidth="1"/>
    <col min="13058" max="13058" width="8.7265625" style="158"/>
    <col min="13059" max="13059" width="11.36328125" style="158" customWidth="1"/>
    <col min="13060" max="13061" width="8.7265625" style="158"/>
    <col min="13062" max="13062" width="13.08984375" style="158" customWidth="1"/>
    <col min="13063" max="13063" width="12.6328125" style="158" customWidth="1"/>
    <col min="13064" max="13064" width="8.7265625" style="158"/>
    <col min="13065" max="13065" width="12.90625" style="158" customWidth="1"/>
    <col min="13066" max="13071" width="8.7265625" style="158"/>
    <col min="13072" max="13072" width="10.90625" style="158" customWidth="1"/>
    <col min="13073" max="13098" width="8.7265625" style="158"/>
    <col min="13099" max="13099" width="10.453125" style="158" bestFit="1" customWidth="1"/>
    <col min="13100" max="13105" width="8.7265625" style="158"/>
    <col min="13106" max="13106" width="14" style="158" customWidth="1"/>
    <col min="13107" max="13117" width="8.7265625" style="158"/>
    <col min="13118" max="13118" width="12.90625" style="158" customWidth="1"/>
    <col min="13119" max="13119" width="13.36328125" style="158" customWidth="1"/>
    <col min="13120" max="13144" width="8.7265625" style="158"/>
    <col min="13145" max="13145" width="12.81640625" style="158" customWidth="1"/>
    <col min="13146" max="13312" width="8.7265625" style="158"/>
    <col min="13313" max="13313" width="19.81640625" style="158" customWidth="1"/>
    <col min="13314" max="13314" width="8.7265625" style="158"/>
    <col min="13315" max="13315" width="11.36328125" style="158" customWidth="1"/>
    <col min="13316" max="13317" width="8.7265625" style="158"/>
    <col min="13318" max="13318" width="13.08984375" style="158" customWidth="1"/>
    <col min="13319" max="13319" width="12.6328125" style="158" customWidth="1"/>
    <col min="13320" max="13320" width="8.7265625" style="158"/>
    <col min="13321" max="13321" width="12.90625" style="158" customWidth="1"/>
    <col min="13322" max="13327" width="8.7265625" style="158"/>
    <col min="13328" max="13328" width="10.90625" style="158" customWidth="1"/>
    <col min="13329" max="13354" width="8.7265625" style="158"/>
    <col min="13355" max="13355" width="10.453125" style="158" bestFit="1" customWidth="1"/>
    <col min="13356" max="13361" width="8.7265625" style="158"/>
    <col min="13362" max="13362" width="14" style="158" customWidth="1"/>
    <col min="13363" max="13373" width="8.7265625" style="158"/>
    <col min="13374" max="13374" width="12.90625" style="158" customWidth="1"/>
    <col min="13375" max="13375" width="13.36328125" style="158" customWidth="1"/>
    <col min="13376" max="13400" width="8.7265625" style="158"/>
    <col min="13401" max="13401" width="12.81640625" style="158" customWidth="1"/>
    <col min="13402" max="13568" width="8.7265625" style="158"/>
    <col min="13569" max="13569" width="19.81640625" style="158" customWidth="1"/>
    <col min="13570" max="13570" width="8.7265625" style="158"/>
    <col min="13571" max="13571" width="11.36328125" style="158" customWidth="1"/>
    <col min="13572" max="13573" width="8.7265625" style="158"/>
    <col min="13574" max="13574" width="13.08984375" style="158" customWidth="1"/>
    <col min="13575" max="13575" width="12.6328125" style="158" customWidth="1"/>
    <col min="13576" max="13576" width="8.7265625" style="158"/>
    <col min="13577" max="13577" width="12.90625" style="158" customWidth="1"/>
    <col min="13578" max="13583" width="8.7265625" style="158"/>
    <col min="13584" max="13584" width="10.90625" style="158" customWidth="1"/>
    <col min="13585" max="13610" width="8.7265625" style="158"/>
    <col min="13611" max="13611" width="10.453125" style="158" bestFit="1" customWidth="1"/>
    <col min="13612" max="13617" width="8.7265625" style="158"/>
    <col min="13618" max="13618" width="14" style="158" customWidth="1"/>
    <col min="13619" max="13629" width="8.7265625" style="158"/>
    <col min="13630" max="13630" width="12.90625" style="158" customWidth="1"/>
    <col min="13631" max="13631" width="13.36328125" style="158" customWidth="1"/>
    <col min="13632" max="13656" width="8.7265625" style="158"/>
    <col min="13657" max="13657" width="12.81640625" style="158" customWidth="1"/>
    <col min="13658" max="13824" width="8.7265625" style="158"/>
    <col min="13825" max="13825" width="19.81640625" style="158" customWidth="1"/>
    <col min="13826" max="13826" width="8.7265625" style="158"/>
    <col min="13827" max="13827" width="11.36328125" style="158" customWidth="1"/>
    <col min="13828" max="13829" width="8.7265625" style="158"/>
    <col min="13830" max="13830" width="13.08984375" style="158" customWidth="1"/>
    <col min="13831" max="13831" width="12.6328125" style="158" customWidth="1"/>
    <col min="13832" max="13832" width="8.7265625" style="158"/>
    <col min="13833" max="13833" width="12.90625" style="158" customWidth="1"/>
    <col min="13834" max="13839" width="8.7265625" style="158"/>
    <col min="13840" max="13840" width="10.90625" style="158" customWidth="1"/>
    <col min="13841" max="13866" width="8.7265625" style="158"/>
    <col min="13867" max="13867" width="10.453125" style="158" bestFit="1" customWidth="1"/>
    <col min="13868" max="13873" width="8.7265625" style="158"/>
    <col min="13874" max="13874" width="14" style="158" customWidth="1"/>
    <col min="13875" max="13885" width="8.7265625" style="158"/>
    <col min="13886" max="13886" width="12.90625" style="158" customWidth="1"/>
    <col min="13887" max="13887" width="13.36328125" style="158" customWidth="1"/>
    <col min="13888" max="13912" width="8.7265625" style="158"/>
    <col min="13913" max="13913" width="12.81640625" style="158" customWidth="1"/>
    <col min="13914" max="14080" width="8.7265625" style="158"/>
    <col min="14081" max="14081" width="19.81640625" style="158" customWidth="1"/>
    <col min="14082" max="14082" width="8.7265625" style="158"/>
    <col min="14083" max="14083" width="11.36328125" style="158" customWidth="1"/>
    <col min="14084" max="14085" width="8.7265625" style="158"/>
    <col min="14086" max="14086" width="13.08984375" style="158" customWidth="1"/>
    <col min="14087" max="14087" width="12.6328125" style="158" customWidth="1"/>
    <col min="14088" max="14088" width="8.7265625" style="158"/>
    <col min="14089" max="14089" width="12.90625" style="158" customWidth="1"/>
    <col min="14090" max="14095" width="8.7265625" style="158"/>
    <col min="14096" max="14096" width="10.90625" style="158" customWidth="1"/>
    <col min="14097" max="14122" width="8.7265625" style="158"/>
    <col min="14123" max="14123" width="10.453125" style="158" bestFit="1" customWidth="1"/>
    <col min="14124" max="14129" width="8.7265625" style="158"/>
    <col min="14130" max="14130" width="14" style="158" customWidth="1"/>
    <col min="14131" max="14141" width="8.7265625" style="158"/>
    <col min="14142" max="14142" width="12.90625" style="158" customWidth="1"/>
    <col min="14143" max="14143" width="13.36328125" style="158" customWidth="1"/>
    <col min="14144" max="14168" width="8.7265625" style="158"/>
    <col min="14169" max="14169" width="12.81640625" style="158" customWidth="1"/>
    <col min="14170" max="14336" width="8.7265625" style="158"/>
    <col min="14337" max="14337" width="19.81640625" style="158" customWidth="1"/>
    <col min="14338" max="14338" width="8.7265625" style="158"/>
    <col min="14339" max="14339" width="11.36328125" style="158" customWidth="1"/>
    <col min="14340" max="14341" width="8.7265625" style="158"/>
    <col min="14342" max="14342" width="13.08984375" style="158" customWidth="1"/>
    <col min="14343" max="14343" width="12.6328125" style="158" customWidth="1"/>
    <col min="14344" max="14344" width="8.7265625" style="158"/>
    <col min="14345" max="14345" width="12.90625" style="158" customWidth="1"/>
    <col min="14346" max="14351" width="8.7265625" style="158"/>
    <col min="14352" max="14352" width="10.90625" style="158" customWidth="1"/>
    <col min="14353" max="14378" width="8.7265625" style="158"/>
    <col min="14379" max="14379" width="10.453125" style="158" bestFit="1" customWidth="1"/>
    <col min="14380" max="14385" width="8.7265625" style="158"/>
    <col min="14386" max="14386" width="14" style="158" customWidth="1"/>
    <col min="14387" max="14397" width="8.7265625" style="158"/>
    <col min="14398" max="14398" width="12.90625" style="158" customWidth="1"/>
    <col min="14399" max="14399" width="13.36328125" style="158" customWidth="1"/>
    <col min="14400" max="14424" width="8.7265625" style="158"/>
    <col min="14425" max="14425" width="12.81640625" style="158" customWidth="1"/>
    <col min="14426" max="14592" width="8.7265625" style="158"/>
    <col min="14593" max="14593" width="19.81640625" style="158" customWidth="1"/>
    <col min="14594" max="14594" width="8.7265625" style="158"/>
    <col min="14595" max="14595" width="11.36328125" style="158" customWidth="1"/>
    <col min="14596" max="14597" width="8.7265625" style="158"/>
    <col min="14598" max="14598" width="13.08984375" style="158" customWidth="1"/>
    <col min="14599" max="14599" width="12.6328125" style="158" customWidth="1"/>
    <col min="14600" max="14600" width="8.7265625" style="158"/>
    <col min="14601" max="14601" width="12.90625" style="158" customWidth="1"/>
    <col min="14602" max="14607" width="8.7265625" style="158"/>
    <col min="14608" max="14608" width="10.90625" style="158" customWidth="1"/>
    <col min="14609" max="14634" width="8.7265625" style="158"/>
    <col min="14635" max="14635" width="10.453125" style="158" bestFit="1" customWidth="1"/>
    <col min="14636" max="14641" width="8.7265625" style="158"/>
    <col min="14642" max="14642" width="14" style="158" customWidth="1"/>
    <col min="14643" max="14653" width="8.7265625" style="158"/>
    <col min="14654" max="14654" width="12.90625" style="158" customWidth="1"/>
    <col min="14655" max="14655" width="13.36328125" style="158" customWidth="1"/>
    <col min="14656" max="14680" width="8.7265625" style="158"/>
    <col min="14681" max="14681" width="12.81640625" style="158" customWidth="1"/>
    <col min="14682" max="14848" width="8.7265625" style="158"/>
    <col min="14849" max="14849" width="19.81640625" style="158" customWidth="1"/>
    <col min="14850" max="14850" width="8.7265625" style="158"/>
    <col min="14851" max="14851" width="11.36328125" style="158" customWidth="1"/>
    <col min="14852" max="14853" width="8.7265625" style="158"/>
    <col min="14854" max="14854" width="13.08984375" style="158" customWidth="1"/>
    <col min="14855" max="14855" width="12.6328125" style="158" customWidth="1"/>
    <col min="14856" max="14856" width="8.7265625" style="158"/>
    <col min="14857" max="14857" width="12.90625" style="158" customWidth="1"/>
    <col min="14858" max="14863" width="8.7265625" style="158"/>
    <col min="14864" max="14864" width="10.90625" style="158" customWidth="1"/>
    <col min="14865" max="14890" width="8.7265625" style="158"/>
    <col min="14891" max="14891" width="10.453125" style="158" bestFit="1" customWidth="1"/>
    <col min="14892" max="14897" width="8.7265625" style="158"/>
    <col min="14898" max="14898" width="14" style="158" customWidth="1"/>
    <col min="14899" max="14909" width="8.7265625" style="158"/>
    <col min="14910" max="14910" width="12.90625" style="158" customWidth="1"/>
    <col min="14911" max="14911" width="13.36328125" style="158" customWidth="1"/>
    <col min="14912" max="14936" width="8.7265625" style="158"/>
    <col min="14937" max="14937" width="12.81640625" style="158" customWidth="1"/>
    <col min="14938" max="15104" width="8.7265625" style="158"/>
    <col min="15105" max="15105" width="19.81640625" style="158" customWidth="1"/>
    <col min="15106" max="15106" width="8.7265625" style="158"/>
    <col min="15107" max="15107" width="11.36328125" style="158" customWidth="1"/>
    <col min="15108" max="15109" width="8.7265625" style="158"/>
    <col min="15110" max="15110" width="13.08984375" style="158" customWidth="1"/>
    <col min="15111" max="15111" width="12.6328125" style="158" customWidth="1"/>
    <col min="15112" max="15112" width="8.7265625" style="158"/>
    <col min="15113" max="15113" width="12.90625" style="158" customWidth="1"/>
    <col min="15114" max="15119" width="8.7265625" style="158"/>
    <col min="15120" max="15120" width="10.90625" style="158" customWidth="1"/>
    <col min="15121" max="15146" width="8.7265625" style="158"/>
    <col min="15147" max="15147" width="10.453125" style="158" bestFit="1" customWidth="1"/>
    <col min="15148" max="15153" width="8.7265625" style="158"/>
    <col min="15154" max="15154" width="14" style="158" customWidth="1"/>
    <col min="15155" max="15165" width="8.7265625" style="158"/>
    <col min="15166" max="15166" width="12.90625" style="158" customWidth="1"/>
    <col min="15167" max="15167" width="13.36328125" style="158" customWidth="1"/>
    <col min="15168" max="15192" width="8.7265625" style="158"/>
    <col min="15193" max="15193" width="12.81640625" style="158" customWidth="1"/>
    <col min="15194" max="15360" width="8.7265625" style="158"/>
    <col min="15361" max="15361" width="19.81640625" style="158" customWidth="1"/>
    <col min="15362" max="15362" width="8.7265625" style="158"/>
    <col min="15363" max="15363" width="11.36328125" style="158" customWidth="1"/>
    <col min="15364" max="15365" width="8.7265625" style="158"/>
    <col min="15366" max="15366" width="13.08984375" style="158" customWidth="1"/>
    <col min="15367" max="15367" width="12.6328125" style="158" customWidth="1"/>
    <col min="15368" max="15368" width="8.7265625" style="158"/>
    <col min="15369" max="15369" width="12.90625" style="158" customWidth="1"/>
    <col min="15370" max="15375" width="8.7265625" style="158"/>
    <col min="15376" max="15376" width="10.90625" style="158" customWidth="1"/>
    <col min="15377" max="15402" width="8.7265625" style="158"/>
    <col min="15403" max="15403" width="10.453125" style="158" bestFit="1" customWidth="1"/>
    <col min="15404" max="15409" width="8.7265625" style="158"/>
    <col min="15410" max="15410" width="14" style="158" customWidth="1"/>
    <col min="15411" max="15421" width="8.7265625" style="158"/>
    <col min="15422" max="15422" width="12.90625" style="158" customWidth="1"/>
    <col min="15423" max="15423" width="13.36328125" style="158" customWidth="1"/>
    <col min="15424" max="15448" width="8.7265625" style="158"/>
    <col min="15449" max="15449" width="12.81640625" style="158" customWidth="1"/>
    <col min="15450" max="15616" width="8.7265625" style="158"/>
    <col min="15617" max="15617" width="19.81640625" style="158" customWidth="1"/>
    <col min="15618" max="15618" width="8.7265625" style="158"/>
    <col min="15619" max="15619" width="11.36328125" style="158" customWidth="1"/>
    <col min="15620" max="15621" width="8.7265625" style="158"/>
    <col min="15622" max="15622" width="13.08984375" style="158" customWidth="1"/>
    <col min="15623" max="15623" width="12.6328125" style="158" customWidth="1"/>
    <col min="15624" max="15624" width="8.7265625" style="158"/>
    <col min="15625" max="15625" width="12.90625" style="158" customWidth="1"/>
    <col min="15626" max="15631" width="8.7265625" style="158"/>
    <col min="15632" max="15632" width="10.90625" style="158" customWidth="1"/>
    <col min="15633" max="15658" width="8.7265625" style="158"/>
    <col min="15659" max="15659" width="10.453125" style="158" bestFit="1" customWidth="1"/>
    <col min="15660" max="15665" width="8.7265625" style="158"/>
    <col min="15666" max="15666" width="14" style="158" customWidth="1"/>
    <col min="15667" max="15677" width="8.7265625" style="158"/>
    <col min="15678" max="15678" width="12.90625" style="158" customWidth="1"/>
    <col min="15679" max="15679" width="13.36328125" style="158" customWidth="1"/>
    <col min="15680" max="15704" width="8.7265625" style="158"/>
    <col min="15705" max="15705" width="12.81640625" style="158" customWidth="1"/>
    <col min="15706" max="15872" width="8.7265625" style="158"/>
    <col min="15873" max="15873" width="19.81640625" style="158" customWidth="1"/>
    <col min="15874" max="15874" width="8.7265625" style="158"/>
    <col min="15875" max="15875" width="11.36328125" style="158" customWidth="1"/>
    <col min="15876" max="15877" width="8.7265625" style="158"/>
    <col min="15878" max="15878" width="13.08984375" style="158" customWidth="1"/>
    <col min="15879" max="15879" width="12.6328125" style="158" customWidth="1"/>
    <col min="15880" max="15880" width="8.7265625" style="158"/>
    <col min="15881" max="15881" width="12.90625" style="158" customWidth="1"/>
    <col min="15882" max="15887" width="8.7265625" style="158"/>
    <col min="15888" max="15888" width="10.90625" style="158" customWidth="1"/>
    <col min="15889" max="15914" width="8.7265625" style="158"/>
    <col min="15915" max="15915" width="10.453125" style="158" bestFit="1" customWidth="1"/>
    <col min="15916" max="15921" width="8.7265625" style="158"/>
    <col min="15922" max="15922" width="14" style="158" customWidth="1"/>
    <col min="15923" max="15933" width="8.7265625" style="158"/>
    <col min="15934" max="15934" width="12.90625" style="158" customWidth="1"/>
    <col min="15935" max="15935" width="13.36328125" style="158" customWidth="1"/>
    <col min="15936" max="15960" width="8.7265625" style="158"/>
    <col min="15961" max="15961" width="12.81640625" style="158" customWidth="1"/>
    <col min="15962" max="16128" width="8.7265625" style="158"/>
    <col min="16129" max="16129" width="19.81640625" style="158" customWidth="1"/>
    <col min="16130" max="16130" width="8.7265625" style="158"/>
    <col min="16131" max="16131" width="11.36328125" style="158" customWidth="1"/>
    <col min="16132" max="16133" width="8.7265625" style="158"/>
    <col min="16134" max="16134" width="13.08984375" style="158" customWidth="1"/>
    <col min="16135" max="16135" width="12.6328125" style="158" customWidth="1"/>
    <col min="16136" max="16136" width="8.7265625" style="158"/>
    <col min="16137" max="16137" width="12.90625" style="158" customWidth="1"/>
    <col min="16138" max="16143" width="8.7265625" style="158"/>
    <col min="16144" max="16144" width="10.90625" style="158" customWidth="1"/>
    <col min="16145" max="16170" width="8.7265625" style="158"/>
    <col min="16171" max="16171" width="10.453125" style="158" bestFit="1" customWidth="1"/>
    <col min="16172" max="16177" width="8.7265625" style="158"/>
    <col min="16178" max="16178" width="14" style="158" customWidth="1"/>
    <col min="16179" max="16189" width="8.7265625" style="158"/>
    <col min="16190" max="16190" width="12.90625" style="158" customWidth="1"/>
    <col min="16191" max="16191" width="13.36328125" style="158" customWidth="1"/>
    <col min="16192" max="16216" width="8.7265625" style="158"/>
    <col min="16217" max="16217" width="12.81640625" style="158" customWidth="1"/>
    <col min="16218" max="16384" width="8.7265625" style="158"/>
  </cols>
  <sheetData>
    <row r="1" spans="1:256" s="157" customFormat="1" ht="27.75" customHeight="1">
      <c r="A1" s="156" t="s">
        <v>901</v>
      </c>
      <c r="E1" s="156"/>
      <c r="CH1" s="157">
        <f>1000/67</f>
        <v>14.925373134328359</v>
      </c>
    </row>
    <row r="2" spans="1:256" ht="25.5">
      <c r="R2" s="158">
        <f>+R6/3</f>
        <v>600</v>
      </c>
      <c r="S2" s="158">
        <f>+S6/4</f>
        <v>500</v>
      </c>
      <c r="CL2" s="157"/>
      <c r="CM2" s="157"/>
      <c r="CN2" s="157"/>
      <c r="CO2" s="157"/>
      <c r="CP2" s="157"/>
    </row>
    <row r="3" spans="1:256" s="161" customFormat="1" ht="26" thickBot="1">
      <c r="A3" s="159" t="s">
        <v>902</v>
      </c>
      <c r="B3" s="160">
        <v>1</v>
      </c>
      <c r="C3" s="161">
        <f>+B3+1</f>
        <v>2</v>
      </c>
      <c r="D3" s="161">
        <f t="shared" ref="D3:BO3" si="0">+C3+1</f>
        <v>3</v>
      </c>
      <c r="E3" s="161">
        <f t="shared" si="0"/>
        <v>4</v>
      </c>
      <c r="F3" s="161">
        <f t="shared" si="0"/>
        <v>5</v>
      </c>
      <c r="G3" s="161">
        <f t="shared" si="0"/>
        <v>6</v>
      </c>
      <c r="H3" s="161">
        <f t="shared" si="0"/>
        <v>7</v>
      </c>
      <c r="I3" s="161">
        <f t="shared" si="0"/>
        <v>8</v>
      </c>
      <c r="J3" s="161">
        <f t="shared" si="0"/>
        <v>9</v>
      </c>
      <c r="K3" s="161">
        <f t="shared" si="0"/>
        <v>10</v>
      </c>
      <c r="L3" s="161">
        <f t="shared" si="0"/>
        <v>11</v>
      </c>
      <c r="M3" s="161">
        <f t="shared" si="0"/>
        <v>12</v>
      </c>
      <c r="N3" s="161">
        <f t="shared" si="0"/>
        <v>13</v>
      </c>
      <c r="O3" s="161">
        <f t="shared" si="0"/>
        <v>14</v>
      </c>
      <c r="P3" s="161">
        <f t="shared" si="0"/>
        <v>15</v>
      </c>
      <c r="Q3" s="161">
        <f t="shared" si="0"/>
        <v>16</v>
      </c>
      <c r="R3" s="161">
        <f t="shared" si="0"/>
        <v>17</v>
      </c>
      <c r="S3" s="161">
        <f t="shared" si="0"/>
        <v>18</v>
      </c>
      <c r="T3" s="161">
        <f t="shared" si="0"/>
        <v>19</v>
      </c>
      <c r="U3" s="161">
        <f t="shared" si="0"/>
        <v>20</v>
      </c>
      <c r="V3" s="161">
        <f t="shared" si="0"/>
        <v>21</v>
      </c>
      <c r="W3" s="161">
        <f t="shared" si="0"/>
        <v>22</v>
      </c>
      <c r="X3" s="161">
        <f t="shared" si="0"/>
        <v>23</v>
      </c>
      <c r="Y3" s="161">
        <f t="shared" si="0"/>
        <v>24</v>
      </c>
      <c r="Z3" s="161">
        <f t="shared" si="0"/>
        <v>25</v>
      </c>
      <c r="AA3" s="161">
        <f>+V3+1</f>
        <v>22</v>
      </c>
      <c r="AB3" s="161">
        <f>+AA3+1</f>
        <v>23</v>
      </c>
      <c r="AC3" s="161">
        <f>+V3+1</f>
        <v>22</v>
      </c>
      <c r="AD3" s="161">
        <f>+AC3+1</f>
        <v>23</v>
      </c>
      <c r="AE3" s="161">
        <f>+X3+1</f>
        <v>24</v>
      </c>
      <c r="AF3" s="161">
        <f>+AE3+1</f>
        <v>25</v>
      </c>
      <c r="AG3" s="161">
        <f>+Z3+1</f>
        <v>26</v>
      </c>
      <c r="AH3" s="161">
        <f t="shared" si="0"/>
        <v>27</v>
      </c>
      <c r="AI3" s="161">
        <f t="shared" si="0"/>
        <v>28</v>
      </c>
      <c r="AJ3" s="161">
        <f t="shared" si="0"/>
        <v>29</v>
      </c>
      <c r="AK3" s="161">
        <f t="shared" si="0"/>
        <v>30</v>
      </c>
      <c r="AL3" s="161">
        <f t="shared" si="0"/>
        <v>31</v>
      </c>
      <c r="AM3" s="161">
        <f t="shared" si="0"/>
        <v>32</v>
      </c>
      <c r="AN3" s="161">
        <f t="shared" si="0"/>
        <v>33</v>
      </c>
      <c r="AO3" s="161">
        <f t="shared" si="0"/>
        <v>34</v>
      </c>
      <c r="AP3" s="161">
        <f t="shared" si="0"/>
        <v>35</v>
      </c>
      <c r="AQ3" s="161">
        <f t="shared" si="0"/>
        <v>36</v>
      </c>
      <c r="AR3" s="161">
        <f t="shared" si="0"/>
        <v>37</v>
      </c>
      <c r="AS3" s="161">
        <f t="shared" si="0"/>
        <v>38</v>
      </c>
      <c r="AT3" s="161">
        <f t="shared" si="0"/>
        <v>39</v>
      </c>
      <c r="AU3" s="161">
        <f t="shared" si="0"/>
        <v>40</v>
      </c>
      <c r="AV3" s="161">
        <f t="shared" si="0"/>
        <v>41</v>
      </c>
      <c r="AW3" s="161">
        <f t="shared" si="0"/>
        <v>42</v>
      </c>
      <c r="AX3" s="161">
        <f t="shared" si="0"/>
        <v>43</v>
      </c>
      <c r="AY3" s="161">
        <f t="shared" si="0"/>
        <v>44</v>
      </c>
      <c r="AZ3" s="161">
        <f t="shared" si="0"/>
        <v>45</v>
      </c>
      <c r="BA3" s="161">
        <f t="shared" si="0"/>
        <v>46</v>
      </c>
      <c r="BB3" s="161">
        <f t="shared" si="0"/>
        <v>47</v>
      </c>
      <c r="BC3" s="161">
        <f t="shared" si="0"/>
        <v>48</v>
      </c>
      <c r="BD3" s="161">
        <f t="shared" si="0"/>
        <v>49</v>
      </c>
      <c r="BE3" s="161">
        <f t="shared" si="0"/>
        <v>50</v>
      </c>
      <c r="BF3" s="161">
        <f t="shared" si="0"/>
        <v>51</v>
      </c>
      <c r="BG3" s="161">
        <f t="shared" si="0"/>
        <v>52</v>
      </c>
      <c r="BH3" s="161">
        <f t="shared" si="0"/>
        <v>53</v>
      </c>
      <c r="BI3" s="161">
        <f t="shared" si="0"/>
        <v>54</v>
      </c>
      <c r="BJ3" s="161">
        <f t="shared" si="0"/>
        <v>55</v>
      </c>
      <c r="BK3" s="161">
        <f t="shared" si="0"/>
        <v>56</v>
      </c>
      <c r="BL3" s="161">
        <f t="shared" si="0"/>
        <v>57</v>
      </c>
      <c r="BM3" s="161">
        <f t="shared" si="0"/>
        <v>58</v>
      </c>
      <c r="BN3" s="161">
        <f t="shared" si="0"/>
        <v>59</v>
      </c>
      <c r="BO3" s="161">
        <f t="shared" si="0"/>
        <v>60</v>
      </c>
      <c r="BP3" s="161">
        <f t="shared" ref="BP3" si="1">+BO3+1</f>
        <v>61</v>
      </c>
      <c r="CL3" s="157"/>
      <c r="CM3" s="157"/>
      <c r="CN3" s="157"/>
      <c r="CO3" s="157"/>
      <c r="CP3" s="157"/>
      <c r="CQ3" s="158"/>
      <c r="CR3" s="158"/>
      <c r="CS3" s="158"/>
      <c r="CT3" s="158"/>
      <c r="CU3" s="158"/>
      <c r="CV3" s="158"/>
      <c r="CW3" s="158"/>
      <c r="CX3" s="158"/>
      <c r="CY3" s="158"/>
      <c r="CZ3" s="158"/>
      <c r="DA3" s="158"/>
      <c r="DB3" s="158"/>
      <c r="DC3" s="158"/>
      <c r="DD3" s="158"/>
      <c r="DE3" s="158"/>
      <c r="DF3" s="158"/>
      <c r="DG3" s="158"/>
      <c r="DH3" s="158"/>
      <c r="DI3" s="158"/>
      <c r="DJ3" s="158"/>
      <c r="DK3" s="158"/>
      <c r="DL3" s="158"/>
      <c r="DM3" s="158"/>
      <c r="DN3" s="158"/>
      <c r="DO3" s="158"/>
      <c r="DP3" s="158"/>
      <c r="DQ3" s="158"/>
      <c r="DR3" s="158"/>
      <c r="DS3" s="158"/>
      <c r="DT3" s="158"/>
      <c r="DU3" s="158"/>
      <c r="DV3" s="158"/>
      <c r="DW3" s="158"/>
      <c r="DX3" s="158"/>
      <c r="DY3" s="158"/>
      <c r="DZ3" s="158"/>
      <c r="EA3" s="158"/>
      <c r="EB3" s="158"/>
      <c r="EC3" s="158"/>
      <c r="ED3" s="158"/>
      <c r="EE3" s="158"/>
      <c r="EF3" s="158"/>
      <c r="EG3" s="158"/>
      <c r="EH3" s="158"/>
      <c r="EI3" s="158"/>
      <c r="EJ3" s="158"/>
      <c r="EK3" s="158"/>
      <c r="EL3" s="158"/>
      <c r="EM3" s="158"/>
      <c r="EN3" s="158"/>
      <c r="EO3" s="158"/>
      <c r="EP3" s="158"/>
      <c r="EQ3" s="158"/>
      <c r="ER3" s="158"/>
      <c r="ES3" s="158"/>
      <c r="ET3" s="158"/>
      <c r="EU3" s="158"/>
      <c r="EV3" s="158"/>
      <c r="EW3" s="158"/>
      <c r="EX3" s="158"/>
      <c r="EY3" s="158"/>
      <c r="EZ3" s="158"/>
      <c r="FA3" s="158"/>
      <c r="FB3" s="158"/>
      <c r="FC3" s="158"/>
      <c r="FD3" s="158"/>
      <c r="FE3" s="158"/>
      <c r="FF3" s="158"/>
      <c r="FG3" s="158"/>
      <c r="FH3" s="158"/>
      <c r="FI3" s="158"/>
      <c r="FJ3" s="158"/>
      <c r="FK3" s="158"/>
      <c r="FL3" s="158"/>
      <c r="FM3" s="158"/>
      <c r="FN3" s="158"/>
      <c r="FO3" s="158"/>
      <c r="FP3" s="158"/>
      <c r="FQ3" s="158"/>
      <c r="FR3" s="158"/>
      <c r="FS3" s="158"/>
      <c r="FT3" s="158"/>
      <c r="FU3" s="158"/>
      <c r="FV3" s="158"/>
      <c r="FW3" s="158"/>
      <c r="FX3" s="158"/>
      <c r="FY3" s="158"/>
      <c r="FZ3" s="158"/>
      <c r="GA3" s="158"/>
      <c r="GB3" s="158"/>
      <c r="GC3" s="158"/>
      <c r="GD3" s="158"/>
      <c r="GE3" s="158"/>
      <c r="GF3" s="158"/>
      <c r="GG3" s="158"/>
      <c r="GH3" s="158"/>
      <c r="GI3" s="158"/>
      <c r="GJ3" s="158"/>
      <c r="GK3" s="158"/>
      <c r="GL3" s="158"/>
      <c r="GM3" s="158"/>
      <c r="GN3" s="158"/>
      <c r="GO3" s="158"/>
      <c r="GP3" s="158"/>
      <c r="GQ3" s="158"/>
      <c r="GR3" s="158"/>
      <c r="GS3" s="158"/>
      <c r="GT3" s="158"/>
      <c r="GU3" s="158"/>
      <c r="GV3" s="158"/>
      <c r="GW3" s="158"/>
      <c r="GX3" s="158"/>
      <c r="GY3" s="158"/>
      <c r="GZ3" s="158"/>
      <c r="HA3" s="158"/>
      <c r="HB3" s="158"/>
      <c r="HC3" s="158"/>
      <c r="HD3" s="158"/>
      <c r="HE3" s="158"/>
      <c r="HF3" s="158"/>
      <c r="HG3" s="158"/>
      <c r="HH3" s="158"/>
      <c r="HI3" s="158"/>
      <c r="HJ3" s="158"/>
      <c r="HK3" s="158"/>
      <c r="HL3" s="158"/>
      <c r="HM3" s="158"/>
      <c r="HN3" s="158"/>
      <c r="HO3" s="158"/>
      <c r="HP3" s="158"/>
      <c r="HQ3" s="158"/>
      <c r="HR3" s="158"/>
      <c r="HS3" s="158"/>
      <c r="HT3" s="158"/>
      <c r="HU3" s="158"/>
      <c r="HV3" s="158"/>
      <c r="HW3" s="158"/>
      <c r="HX3" s="158"/>
      <c r="HY3" s="158"/>
      <c r="HZ3" s="158"/>
      <c r="IA3" s="158"/>
      <c r="IB3" s="158"/>
      <c r="IC3" s="158"/>
      <c r="ID3" s="158"/>
      <c r="IE3" s="158"/>
      <c r="IF3" s="158"/>
      <c r="IG3" s="158"/>
      <c r="IH3" s="158"/>
      <c r="II3" s="158"/>
      <c r="IJ3" s="158"/>
      <c r="IK3" s="158"/>
      <c r="IL3" s="158"/>
      <c r="IM3" s="158"/>
      <c r="IN3" s="158"/>
      <c r="IO3" s="158"/>
      <c r="IP3" s="158"/>
      <c r="IQ3" s="158"/>
      <c r="IR3" s="158"/>
      <c r="IS3" s="158"/>
      <c r="IT3" s="158"/>
      <c r="IU3" s="158"/>
      <c r="IV3" s="158"/>
    </row>
    <row r="4" spans="1:256" s="167" customFormat="1" ht="31.5" customHeight="1" thickTop="1" thickBot="1">
      <c r="A4" s="162" t="s">
        <v>903</v>
      </c>
      <c r="B4" s="163">
        <v>9740</v>
      </c>
      <c r="C4" s="164">
        <v>2556</v>
      </c>
      <c r="D4" s="164">
        <v>2801</v>
      </c>
      <c r="E4" s="164">
        <v>6262</v>
      </c>
      <c r="F4" s="164">
        <v>7133</v>
      </c>
      <c r="G4" s="164">
        <v>598</v>
      </c>
      <c r="H4" s="164">
        <v>2821</v>
      </c>
      <c r="I4" s="164">
        <v>2822</v>
      </c>
      <c r="J4" s="164">
        <v>8484</v>
      </c>
      <c r="K4" s="164">
        <v>8485</v>
      </c>
      <c r="L4" s="164">
        <v>4563</v>
      </c>
      <c r="M4" s="164">
        <v>3880</v>
      </c>
      <c r="N4" s="164">
        <v>7960</v>
      </c>
      <c r="O4" s="164">
        <v>9149</v>
      </c>
      <c r="P4" s="164">
        <v>575</v>
      </c>
      <c r="Q4" s="164">
        <v>3438</v>
      </c>
      <c r="R4" s="164">
        <v>1080</v>
      </c>
      <c r="S4" s="164">
        <v>1090</v>
      </c>
      <c r="T4" s="164">
        <v>1657</v>
      </c>
      <c r="U4" s="164">
        <v>1660</v>
      </c>
      <c r="V4" s="164">
        <v>7630</v>
      </c>
      <c r="W4" s="164">
        <v>5770</v>
      </c>
      <c r="X4" s="164">
        <v>5861</v>
      </c>
      <c r="Y4" s="164">
        <v>9565</v>
      </c>
      <c r="Z4" s="164">
        <v>8234</v>
      </c>
      <c r="AA4" s="164">
        <v>8235</v>
      </c>
      <c r="AB4" s="164">
        <v>6773</v>
      </c>
      <c r="AC4" s="165">
        <v>5243</v>
      </c>
      <c r="AD4" s="165">
        <v>123</v>
      </c>
      <c r="AE4" s="165">
        <v>125</v>
      </c>
      <c r="AF4" s="165">
        <v>7236</v>
      </c>
      <c r="AG4" s="165">
        <v>2168</v>
      </c>
      <c r="AH4" s="165">
        <v>2173</v>
      </c>
      <c r="AI4" s="165" t="s">
        <v>904</v>
      </c>
      <c r="AJ4" s="165" t="s">
        <v>905</v>
      </c>
      <c r="AK4" s="165">
        <v>4258</v>
      </c>
      <c r="AL4" s="165">
        <v>8014</v>
      </c>
      <c r="AM4" s="165">
        <v>127</v>
      </c>
      <c r="AN4" s="165">
        <v>9116</v>
      </c>
      <c r="AO4" s="165">
        <v>9140</v>
      </c>
      <c r="AP4" s="165">
        <v>9276</v>
      </c>
      <c r="AQ4" s="165">
        <v>396</v>
      </c>
      <c r="AR4" s="165" t="s">
        <v>906</v>
      </c>
      <c r="AS4" s="165" t="s">
        <v>907</v>
      </c>
      <c r="AT4" s="165" t="s">
        <v>908</v>
      </c>
      <c r="AU4" s="165" t="s">
        <v>909</v>
      </c>
      <c r="AV4" s="165">
        <v>4001</v>
      </c>
      <c r="AW4" s="165">
        <v>5004</v>
      </c>
      <c r="AX4" s="165">
        <v>8011</v>
      </c>
      <c r="AY4" s="165">
        <v>2402</v>
      </c>
      <c r="AZ4" s="165">
        <v>9906</v>
      </c>
      <c r="BA4" s="165">
        <v>6900</v>
      </c>
      <c r="BB4" s="165">
        <v>6001</v>
      </c>
      <c r="BC4" s="165" t="s">
        <v>910</v>
      </c>
      <c r="BD4" s="165" t="s">
        <v>911</v>
      </c>
      <c r="BE4" s="165" t="s">
        <v>912</v>
      </c>
      <c r="BF4" s="165" t="s">
        <v>913</v>
      </c>
      <c r="BG4" s="165" t="s">
        <v>914</v>
      </c>
      <c r="BH4" s="165" t="s">
        <v>915</v>
      </c>
      <c r="BI4" s="165" t="s">
        <v>916</v>
      </c>
      <c r="BJ4" s="165" t="s">
        <v>917</v>
      </c>
      <c r="BK4" s="165" t="s">
        <v>918</v>
      </c>
      <c r="BL4" s="165"/>
      <c r="BM4" s="165"/>
      <c r="BN4" s="165"/>
      <c r="BO4" s="165"/>
      <c r="BP4" s="165"/>
      <c r="BQ4" s="165"/>
      <c r="BR4" s="164">
        <v>6270</v>
      </c>
      <c r="BS4" s="164">
        <v>1657</v>
      </c>
      <c r="BT4" s="164">
        <v>1660</v>
      </c>
      <c r="BU4" s="164" t="s">
        <v>919</v>
      </c>
      <c r="BV4" s="164">
        <v>5091</v>
      </c>
      <c r="BW4" s="164">
        <v>5092</v>
      </c>
      <c r="BX4" s="164"/>
      <c r="BY4" s="164"/>
      <c r="BZ4" s="164"/>
      <c r="CA4" s="164"/>
      <c r="CB4" s="164"/>
      <c r="CC4" s="164"/>
      <c r="CD4" s="164"/>
      <c r="CE4" s="164"/>
      <c r="CF4" s="164"/>
      <c r="CG4" s="164"/>
      <c r="CH4" s="164" t="s">
        <v>920</v>
      </c>
      <c r="CI4" s="164"/>
      <c r="CJ4" s="164"/>
      <c r="CK4" s="166"/>
      <c r="CL4" s="157"/>
      <c r="CM4" s="157"/>
      <c r="CN4" s="157"/>
      <c r="CO4" s="157"/>
      <c r="CP4" s="157"/>
      <c r="CQ4" s="158"/>
      <c r="CR4" s="158"/>
      <c r="CS4" s="158"/>
      <c r="CT4" s="158"/>
      <c r="CU4" s="158"/>
      <c r="CV4" s="158"/>
      <c r="CW4" s="158"/>
      <c r="CX4" s="158"/>
      <c r="CY4" s="158"/>
      <c r="CZ4" s="158"/>
      <c r="DA4" s="158"/>
      <c r="DB4" s="158"/>
      <c r="DC4" s="158"/>
      <c r="DD4" s="158"/>
      <c r="DE4" s="158"/>
      <c r="DF4" s="158"/>
      <c r="DG4" s="158"/>
      <c r="DH4" s="158"/>
      <c r="DI4" s="158"/>
      <c r="DJ4" s="158"/>
      <c r="DK4" s="158"/>
      <c r="DL4" s="158"/>
      <c r="DM4" s="158"/>
      <c r="DN4" s="158"/>
      <c r="DO4" s="158"/>
      <c r="DP4" s="158"/>
      <c r="DQ4" s="158"/>
      <c r="DR4" s="158"/>
      <c r="DS4" s="158"/>
      <c r="DT4" s="158"/>
      <c r="DU4" s="158"/>
      <c r="DV4" s="158"/>
      <c r="DW4" s="158"/>
      <c r="DX4" s="158"/>
      <c r="DY4" s="158"/>
      <c r="DZ4" s="158"/>
      <c r="EA4" s="158"/>
      <c r="EB4" s="158"/>
      <c r="EC4" s="158"/>
      <c r="ED4" s="158"/>
      <c r="EE4" s="158"/>
      <c r="EF4" s="158"/>
      <c r="EG4" s="158"/>
      <c r="EH4" s="158"/>
      <c r="EI4" s="158"/>
      <c r="EJ4" s="158"/>
      <c r="EK4" s="158"/>
      <c r="EL4" s="158"/>
      <c r="EM4" s="158"/>
      <c r="EN4" s="158"/>
      <c r="EO4" s="158"/>
      <c r="EP4" s="158"/>
      <c r="EQ4" s="158"/>
      <c r="ER4" s="158"/>
      <c r="ES4" s="158"/>
      <c r="ET4" s="158"/>
      <c r="EU4" s="158"/>
      <c r="EV4" s="158"/>
      <c r="EW4" s="158"/>
      <c r="EX4" s="158"/>
      <c r="EY4" s="158"/>
      <c r="EZ4" s="158"/>
      <c r="FA4" s="158"/>
      <c r="FB4" s="158"/>
      <c r="FC4" s="158"/>
      <c r="FD4" s="158"/>
      <c r="FE4" s="158"/>
      <c r="FF4" s="158"/>
      <c r="FG4" s="158"/>
      <c r="FH4" s="158"/>
      <c r="FI4" s="158"/>
      <c r="FJ4" s="158"/>
      <c r="FK4" s="158"/>
      <c r="FL4" s="158"/>
      <c r="FM4" s="158"/>
      <c r="FN4" s="158"/>
      <c r="FO4" s="158"/>
      <c r="FP4" s="158"/>
      <c r="FQ4" s="158"/>
      <c r="FR4" s="158"/>
      <c r="FS4" s="158"/>
      <c r="FT4" s="158"/>
      <c r="FU4" s="158"/>
      <c r="FV4" s="158"/>
      <c r="FW4" s="158"/>
      <c r="FX4" s="158"/>
      <c r="FY4" s="158"/>
      <c r="FZ4" s="158"/>
      <c r="GA4" s="158"/>
      <c r="GB4" s="158"/>
      <c r="GC4" s="158"/>
      <c r="GD4" s="158"/>
      <c r="GE4" s="158"/>
      <c r="GF4" s="158"/>
      <c r="GG4" s="158"/>
      <c r="GH4" s="158"/>
      <c r="GI4" s="158"/>
      <c r="GJ4" s="158"/>
      <c r="GK4" s="158"/>
      <c r="GL4" s="158"/>
      <c r="GM4" s="158"/>
      <c r="GN4" s="158"/>
      <c r="GO4" s="158"/>
      <c r="GP4" s="158"/>
      <c r="GQ4" s="158"/>
      <c r="GR4" s="158"/>
      <c r="GS4" s="158"/>
      <c r="GT4" s="158"/>
      <c r="GU4" s="158"/>
      <c r="GV4" s="158"/>
      <c r="GW4" s="158"/>
      <c r="GX4" s="158"/>
      <c r="GY4" s="158"/>
      <c r="GZ4" s="158"/>
      <c r="HA4" s="158"/>
      <c r="HB4" s="158"/>
      <c r="HC4" s="158"/>
      <c r="HD4" s="158"/>
      <c r="HE4" s="158"/>
      <c r="HF4" s="158"/>
      <c r="HG4" s="158"/>
      <c r="HH4" s="158"/>
      <c r="HI4" s="158"/>
      <c r="HJ4" s="158"/>
      <c r="HK4" s="158"/>
      <c r="HL4" s="158"/>
      <c r="HM4" s="158"/>
      <c r="HN4" s="158"/>
      <c r="HO4" s="158"/>
      <c r="HP4" s="158"/>
      <c r="HQ4" s="158"/>
      <c r="HR4" s="158"/>
      <c r="HS4" s="158"/>
      <c r="HT4" s="158"/>
      <c r="HU4" s="158"/>
      <c r="HV4" s="158"/>
      <c r="HW4" s="158"/>
      <c r="HX4" s="158"/>
      <c r="HY4" s="158"/>
      <c r="HZ4" s="158"/>
      <c r="IA4" s="158"/>
      <c r="IB4" s="158"/>
      <c r="IC4" s="158"/>
      <c r="ID4" s="158"/>
      <c r="IE4" s="158"/>
      <c r="IF4" s="158"/>
      <c r="IG4" s="158"/>
      <c r="IH4" s="158"/>
      <c r="II4" s="158"/>
      <c r="IJ4" s="158"/>
      <c r="IK4" s="158"/>
      <c r="IL4" s="158"/>
      <c r="IM4" s="158"/>
      <c r="IN4" s="158"/>
      <c r="IO4" s="158"/>
      <c r="IP4" s="158"/>
      <c r="IQ4" s="158"/>
      <c r="IR4" s="158"/>
      <c r="IS4" s="158"/>
      <c r="IT4" s="158"/>
      <c r="IU4" s="158"/>
      <c r="IV4" s="158"/>
    </row>
    <row r="5" spans="1:256" s="177" customFormat="1" ht="31.5" customHeight="1" thickTop="1" thickBot="1">
      <c r="A5" s="215" t="s">
        <v>921</v>
      </c>
      <c r="B5" s="168" t="s">
        <v>922</v>
      </c>
      <c r="C5" s="169" t="s">
        <v>923</v>
      </c>
      <c r="D5" s="169" t="s">
        <v>924</v>
      </c>
      <c r="E5" s="169" t="s">
        <v>925</v>
      </c>
      <c r="F5" s="170" t="s">
        <v>926</v>
      </c>
      <c r="G5" s="170" t="s">
        <v>927</v>
      </c>
      <c r="H5" s="170" t="s">
        <v>928</v>
      </c>
      <c r="I5" s="170" t="s">
        <v>929</v>
      </c>
      <c r="J5" s="170" t="s">
        <v>930</v>
      </c>
      <c r="K5" s="170" t="s">
        <v>931</v>
      </c>
      <c r="L5" s="170" t="s">
        <v>932</v>
      </c>
      <c r="M5" s="170" t="s">
        <v>933</v>
      </c>
      <c r="N5" s="170" t="s">
        <v>934</v>
      </c>
      <c r="O5" s="170" t="s">
        <v>935</v>
      </c>
      <c r="P5" s="170" t="s">
        <v>936</v>
      </c>
      <c r="Q5" s="170" t="s">
        <v>937</v>
      </c>
      <c r="R5" s="170" t="s">
        <v>938</v>
      </c>
      <c r="S5" s="170" t="s">
        <v>939</v>
      </c>
      <c r="T5" s="170" t="s">
        <v>940</v>
      </c>
      <c r="U5" s="170" t="s">
        <v>941</v>
      </c>
      <c r="V5" s="170" t="s">
        <v>942</v>
      </c>
      <c r="W5" s="170" t="s">
        <v>943</v>
      </c>
      <c r="X5" s="170" t="s">
        <v>944</v>
      </c>
      <c r="Y5" s="170" t="s">
        <v>945</v>
      </c>
      <c r="Z5" s="170" t="s">
        <v>946</v>
      </c>
      <c r="AA5" s="170" t="s">
        <v>947</v>
      </c>
      <c r="AB5" s="170" t="s">
        <v>948</v>
      </c>
      <c r="AC5" s="171" t="s">
        <v>949</v>
      </c>
      <c r="AD5" s="171" t="s">
        <v>950</v>
      </c>
      <c r="AE5" s="171" t="s">
        <v>951</v>
      </c>
      <c r="AF5" s="171" t="s">
        <v>952</v>
      </c>
      <c r="AG5" s="171" t="s">
        <v>953</v>
      </c>
      <c r="AH5" s="171" t="s">
        <v>954</v>
      </c>
      <c r="AI5" s="171" t="s">
        <v>955</v>
      </c>
      <c r="AJ5" s="171" t="s">
        <v>956</v>
      </c>
      <c r="AK5" s="171" t="s">
        <v>957</v>
      </c>
      <c r="AL5" s="171" t="s">
        <v>958</v>
      </c>
      <c r="AM5" s="171" t="s">
        <v>959</v>
      </c>
      <c r="AN5" s="171" t="s">
        <v>960</v>
      </c>
      <c r="AO5" s="171" t="s">
        <v>961</v>
      </c>
      <c r="AP5" s="171" t="s">
        <v>962</v>
      </c>
      <c r="AQ5" s="171" t="s">
        <v>963</v>
      </c>
      <c r="AR5" s="171" t="s">
        <v>964</v>
      </c>
      <c r="AS5" s="171" t="s">
        <v>965</v>
      </c>
      <c r="AT5" s="171" t="s">
        <v>966</v>
      </c>
      <c r="AU5" s="171" t="s">
        <v>967</v>
      </c>
      <c r="AV5" s="171" t="s">
        <v>968</v>
      </c>
      <c r="AW5" s="171" t="s">
        <v>969</v>
      </c>
      <c r="AX5" s="171" t="s">
        <v>970</v>
      </c>
      <c r="AY5" s="171" t="s">
        <v>971</v>
      </c>
      <c r="AZ5" s="171" t="s">
        <v>972</v>
      </c>
      <c r="BA5" s="171" t="s">
        <v>973</v>
      </c>
      <c r="BB5" s="171" t="s">
        <v>974</v>
      </c>
      <c r="BC5" s="171" t="s">
        <v>975</v>
      </c>
      <c r="BD5" s="171" t="s">
        <v>976</v>
      </c>
      <c r="BE5" s="171" t="s">
        <v>977</v>
      </c>
      <c r="BF5" s="171" t="s">
        <v>978</v>
      </c>
      <c r="BG5" s="171" t="s">
        <v>979</v>
      </c>
      <c r="BH5" s="171"/>
      <c r="BI5" s="171"/>
      <c r="BJ5" s="171"/>
      <c r="BK5" s="171"/>
      <c r="BL5" s="172" t="s">
        <v>980</v>
      </c>
      <c r="BM5" s="172" t="s">
        <v>981</v>
      </c>
      <c r="BN5" s="173" t="s">
        <v>982</v>
      </c>
      <c r="BO5" s="172" t="s">
        <v>983</v>
      </c>
      <c r="BP5" s="172" t="s">
        <v>984</v>
      </c>
      <c r="BQ5" s="172" t="s">
        <v>985</v>
      </c>
      <c r="BR5" s="172" t="s">
        <v>986</v>
      </c>
      <c r="BS5" s="169" t="s">
        <v>987</v>
      </c>
      <c r="BT5" s="172" t="s">
        <v>988</v>
      </c>
      <c r="BU5" s="173" t="s">
        <v>989</v>
      </c>
      <c r="BV5" s="174" t="s">
        <v>990</v>
      </c>
      <c r="BW5" s="174" t="s">
        <v>991</v>
      </c>
      <c r="BX5" s="173" t="s">
        <v>992</v>
      </c>
      <c r="BY5" s="173" t="s">
        <v>993</v>
      </c>
      <c r="BZ5" s="173" t="s">
        <v>994</v>
      </c>
      <c r="CA5" s="173" t="s">
        <v>995</v>
      </c>
      <c r="CB5" s="173" t="s">
        <v>996</v>
      </c>
      <c r="CC5" s="173" t="s">
        <v>997</v>
      </c>
      <c r="CD5" s="173" t="s">
        <v>998</v>
      </c>
      <c r="CE5" s="173" t="s">
        <v>999</v>
      </c>
      <c r="CF5" s="175" t="s">
        <v>1000</v>
      </c>
      <c r="CG5" s="175" t="s">
        <v>1001</v>
      </c>
      <c r="CH5" s="174" t="s">
        <v>1002</v>
      </c>
      <c r="CI5" s="174" t="s">
        <v>1003</v>
      </c>
      <c r="CJ5" s="174" t="s">
        <v>1004</v>
      </c>
      <c r="CK5" s="176" t="s">
        <v>1005</v>
      </c>
      <c r="CL5" s="157"/>
      <c r="CM5" s="157"/>
      <c r="CN5" s="157"/>
      <c r="CO5" s="157"/>
      <c r="CP5" s="157"/>
      <c r="CQ5" s="158"/>
      <c r="CR5" s="158"/>
      <c r="CS5" s="158"/>
      <c r="CT5" s="158"/>
      <c r="CU5" s="158"/>
      <c r="CV5" s="158"/>
      <c r="CW5" s="158"/>
      <c r="CX5" s="158"/>
      <c r="CY5" s="158"/>
      <c r="CZ5" s="158"/>
      <c r="DA5" s="158"/>
      <c r="DB5" s="158"/>
      <c r="DC5" s="158"/>
      <c r="DD5" s="158"/>
      <c r="DE5" s="158"/>
      <c r="DF5" s="158"/>
      <c r="DG5" s="158"/>
      <c r="DH5" s="158"/>
      <c r="DI5" s="158"/>
      <c r="DJ5" s="158"/>
      <c r="DK5" s="158"/>
      <c r="DL5" s="158"/>
      <c r="DM5" s="158"/>
      <c r="DN5" s="158"/>
      <c r="DO5" s="158"/>
      <c r="DP5" s="158"/>
      <c r="DQ5" s="158"/>
      <c r="DR5" s="158"/>
      <c r="DS5" s="158"/>
      <c r="DT5" s="158"/>
      <c r="DU5" s="158"/>
      <c r="DV5" s="158"/>
      <c r="DW5" s="158"/>
      <c r="DX5" s="158"/>
      <c r="DY5" s="158"/>
      <c r="DZ5" s="158"/>
      <c r="EA5" s="158"/>
      <c r="EB5" s="158"/>
      <c r="EC5" s="158"/>
      <c r="ED5" s="158"/>
      <c r="EE5" s="158"/>
      <c r="EF5" s="158"/>
      <c r="EG5" s="158"/>
      <c r="EH5" s="158"/>
      <c r="EI5" s="158"/>
      <c r="EJ5" s="158"/>
      <c r="EK5" s="158"/>
      <c r="EL5" s="158"/>
      <c r="EM5" s="158"/>
      <c r="EN5" s="158"/>
      <c r="EO5" s="158"/>
      <c r="EP5" s="158"/>
      <c r="EQ5" s="158"/>
      <c r="ER5" s="158"/>
      <c r="ES5" s="158"/>
      <c r="ET5" s="158"/>
      <c r="EU5" s="158"/>
      <c r="EV5" s="158"/>
      <c r="EW5" s="158"/>
      <c r="EX5" s="158"/>
      <c r="EY5" s="158"/>
      <c r="EZ5" s="158"/>
      <c r="FA5" s="158"/>
      <c r="FB5" s="158"/>
      <c r="FC5" s="158"/>
      <c r="FD5" s="158"/>
      <c r="FE5" s="158"/>
      <c r="FF5" s="158"/>
      <c r="FG5" s="158"/>
      <c r="FH5" s="158"/>
      <c r="FI5" s="158"/>
      <c r="FJ5" s="158"/>
      <c r="FK5" s="158"/>
      <c r="FL5" s="158"/>
      <c r="FM5" s="158"/>
      <c r="FN5" s="158"/>
      <c r="FO5" s="158"/>
      <c r="FP5" s="158"/>
      <c r="FQ5" s="158"/>
      <c r="FR5" s="158"/>
      <c r="FS5" s="158"/>
      <c r="FT5" s="158"/>
      <c r="FU5" s="158"/>
      <c r="FV5" s="158"/>
      <c r="FW5" s="158"/>
      <c r="FX5" s="158"/>
      <c r="FY5" s="158"/>
      <c r="FZ5" s="158"/>
      <c r="GA5" s="158"/>
      <c r="GB5" s="158"/>
      <c r="GC5" s="158"/>
      <c r="GD5" s="158"/>
      <c r="GE5" s="158"/>
      <c r="GF5" s="158"/>
      <c r="GG5" s="158"/>
      <c r="GH5" s="158"/>
      <c r="GI5" s="158"/>
      <c r="GJ5" s="158"/>
      <c r="GK5" s="158"/>
      <c r="GL5" s="158"/>
      <c r="GM5" s="158"/>
      <c r="GN5" s="158"/>
      <c r="GO5" s="158"/>
      <c r="GP5" s="158"/>
      <c r="GQ5" s="158"/>
      <c r="GR5" s="158"/>
      <c r="GS5" s="158"/>
      <c r="GT5" s="158"/>
      <c r="GU5" s="158"/>
      <c r="GV5" s="158"/>
      <c r="GW5" s="158"/>
      <c r="GX5" s="158"/>
      <c r="GY5" s="158"/>
      <c r="GZ5" s="158"/>
      <c r="HA5" s="158"/>
      <c r="HB5" s="158"/>
      <c r="HC5" s="158"/>
      <c r="HD5" s="158"/>
      <c r="HE5" s="158"/>
      <c r="HF5" s="158"/>
      <c r="HG5" s="158"/>
      <c r="HH5" s="158"/>
      <c r="HI5" s="158"/>
      <c r="HJ5" s="158"/>
      <c r="HK5" s="158"/>
      <c r="HL5" s="158"/>
      <c r="HM5" s="158"/>
      <c r="HN5" s="158"/>
      <c r="HO5" s="158"/>
      <c r="HP5" s="158"/>
      <c r="HQ5" s="158"/>
      <c r="HR5" s="158"/>
      <c r="HS5" s="158"/>
      <c r="HT5" s="158"/>
      <c r="HU5" s="158"/>
      <c r="HV5" s="158"/>
      <c r="HW5" s="158"/>
      <c r="HX5" s="158"/>
      <c r="HY5" s="158"/>
      <c r="HZ5" s="158"/>
      <c r="IA5" s="158"/>
      <c r="IB5" s="158"/>
      <c r="IC5" s="158"/>
      <c r="ID5" s="158"/>
      <c r="IE5" s="158"/>
      <c r="IF5" s="158"/>
      <c r="IG5" s="158"/>
      <c r="IH5" s="158"/>
      <c r="II5" s="158"/>
      <c r="IJ5" s="158"/>
      <c r="IK5" s="158"/>
      <c r="IL5" s="158"/>
      <c r="IM5" s="158"/>
      <c r="IN5" s="158"/>
      <c r="IO5" s="158"/>
      <c r="IP5" s="158"/>
      <c r="IQ5" s="158"/>
      <c r="IR5" s="158"/>
      <c r="IS5" s="158"/>
      <c r="IT5" s="158"/>
      <c r="IU5" s="158"/>
      <c r="IV5" s="158"/>
    </row>
    <row r="6" spans="1:256" s="177" customFormat="1" ht="31.5" customHeight="1" thickTop="1" thickBot="1">
      <c r="A6" s="216"/>
      <c r="B6" s="178">
        <v>7200</v>
      </c>
      <c r="C6" s="170">
        <v>6600</v>
      </c>
      <c r="D6" s="170">
        <v>5600</v>
      </c>
      <c r="E6" s="170">
        <v>5000</v>
      </c>
      <c r="F6" s="170">
        <v>5000</v>
      </c>
      <c r="G6" s="170">
        <v>2400</v>
      </c>
      <c r="H6" s="170">
        <v>2400</v>
      </c>
      <c r="I6" s="170">
        <v>2400</v>
      </c>
      <c r="J6" s="170">
        <v>2400</v>
      </c>
      <c r="K6" s="170">
        <v>7200</v>
      </c>
      <c r="L6" s="170">
        <v>1460</v>
      </c>
      <c r="M6" s="170">
        <v>5600</v>
      </c>
      <c r="N6" s="170">
        <v>5000</v>
      </c>
      <c r="O6" s="170">
        <v>6000</v>
      </c>
      <c r="P6" s="170">
        <v>1460</v>
      </c>
      <c r="Q6" s="170">
        <v>2600</v>
      </c>
      <c r="R6" s="170">
        <v>1800</v>
      </c>
      <c r="S6" s="170">
        <v>2000</v>
      </c>
      <c r="T6" s="170">
        <v>2600</v>
      </c>
      <c r="U6" s="170">
        <v>6400</v>
      </c>
      <c r="V6" s="170">
        <v>5000</v>
      </c>
      <c r="W6" s="170">
        <v>8000</v>
      </c>
      <c r="X6" s="170">
        <v>5800</v>
      </c>
      <c r="Y6" s="170">
        <f>300*16</f>
        <v>4800</v>
      </c>
      <c r="Z6" s="170">
        <v>2400</v>
      </c>
      <c r="AA6" s="170">
        <v>2400</v>
      </c>
      <c r="AB6" s="170">
        <v>4000</v>
      </c>
      <c r="AC6" s="171">
        <v>182</v>
      </c>
      <c r="AD6" s="171">
        <f>805*3</f>
        <v>2415</v>
      </c>
      <c r="AE6" s="171">
        <f>702*3</f>
        <v>2106</v>
      </c>
      <c r="AF6" s="171">
        <v>900</v>
      </c>
      <c r="AG6" s="171">
        <f>710*3</f>
        <v>2130</v>
      </c>
      <c r="AH6" s="171">
        <v>2415</v>
      </c>
      <c r="AI6" s="171">
        <f>1022*3</f>
        <v>3066</v>
      </c>
      <c r="AJ6" s="171">
        <f>805*3</f>
        <v>2415</v>
      </c>
      <c r="AK6" s="171">
        <f>805*3</f>
        <v>2415</v>
      </c>
      <c r="AL6" s="171">
        <f>1022*4</f>
        <v>4088</v>
      </c>
      <c r="AM6" s="171">
        <f>1035*3</f>
        <v>3105</v>
      </c>
      <c r="AN6" s="171">
        <v>2800</v>
      </c>
      <c r="AO6" s="171">
        <f>1022*4</f>
        <v>4088</v>
      </c>
      <c r="AP6" s="171">
        <v>500</v>
      </c>
      <c r="AQ6" s="171">
        <v>800</v>
      </c>
      <c r="AR6" s="171">
        <f>905*3</f>
        <v>2715</v>
      </c>
      <c r="AS6" s="171">
        <f>805*3</f>
        <v>2415</v>
      </c>
      <c r="AT6" s="171">
        <f>805*3</f>
        <v>2415</v>
      </c>
      <c r="AU6" s="171">
        <f>805*3</f>
        <v>2415</v>
      </c>
      <c r="AV6" s="171">
        <v>2415</v>
      </c>
      <c r="AW6" s="171">
        <v>2250</v>
      </c>
      <c r="AX6" s="171">
        <v>1440</v>
      </c>
      <c r="AY6" s="171">
        <f>805*4</f>
        <v>3220</v>
      </c>
      <c r="AZ6" s="171">
        <f>805*2</f>
        <v>1610</v>
      </c>
      <c r="BA6" s="171">
        <v>850</v>
      </c>
      <c r="BB6" s="171">
        <v>1440</v>
      </c>
      <c r="BC6" s="171">
        <v>850</v>
      </c>
      <c r="BD6" s="171">
        <v>850</v>
      </c>
      <c r="BE6" s="171">
        <v>900</v>
      </c>
      <c r="BF6" s="171">
        <f>805*3</f>
        <v>2415</v>
      </c>
      <c r="BG6" s="171">
        <f>805*3</f>
        <v>2415</v>
      </c>
      <c r="BH6" s="171"/>
      <c r="BI6" s="171"/>
      <c r="BJ6" s="171"/>
      <c r="BK6" s="171"/>
      <c r="BL6" s="172">
        <v>7200</v>
      </c>
      <c r="BM6" s="172">
        <v>4500</v>
      </c>
      <c r="BN6" s="173">
        <v>1525</v>
      </c>
      <c r="BO6" s="172">
        <v>6000</v>
      </c>
      <c r="BP6" s="172">
        <v>6600</v>
      </c>
      <c r="BQ6" s="172">
        <v>4500</v>
      </c>
      <c r="BR6" s="172">
        <v>6660</v>
      </c>
      <c r="BS6" s="170">
        <v>6600</v>
      </c>
      <c r="BT6" s="172">
        <v>2400</v>
      </c>
      <c r="BU6" s="173">
        <v>812</v>
      </c>
      <c r="BV6" s="174">
        <v>1560</v>
      </c>
      <c r="BW6" s="174">
        <v>4480</v>
      </c>
      <c r="BX6" s="173">
        <v>1525</v>
      </c>
      <c r="BY6" s="173">
        <v>1625</v>
      </c>
      <c r="BZ6" s="173">
        <v>1525</v>
      </c>
      <c r="CA6" s="173">
        <v>1525</v>
      </c>
      <c r="CB6" s="173">
        <v>1525</v>
      </c>
      <c r="CC6" s="173">
        <v>1525</v>
      </c>
      <c r="CD6" s="175">
        <v>1625</v>
      </c>
      <c r="CE6" s="175">
        <v>1625</v>
      </c>
      <c r="CF6" s="175">
        <f>650*2.5</f>
        <v>1625</v>
      </c>
      <c r="CG6" s="175">
        <v>1625</v>
      </c>
      <c r="CH6" s="174">
        <f>380*16</f>
        <v>6080</v>
      </c>
      <c r="CI6" s="174">
        <v>7500</v>
      </c>
      <c r="CJ6" s="174">
        <f>560*8</f>
        <v>4480</v>
      </c>
      <c r="CK6" s="176">
        <f>300*12</f>
        <v>3600</v>
      </c>
      <c r="CL6" s="157"/>
      <c r="CM6" s="157"/>
      <c r="CN6" s="157"/>
      <c r="CO6" s="157"/>
      <c r="CP6" s="157"/>
      <c r="CQ6" s="158"/>
      <c r="CR6" s="158"/>
      <c r="CS6" s="158"/>
      <c r="CT6" s="158"/>
      <c r="CU6" s="158"/>
      <c r="CV6" s="158"/>
      <c r="CW6" s="158"/>
      <c r="CX6" s="158"/>
      <c r="CY6" s="158"/>
      <c r="CZ6" s="158"/>
      <c r="DA6" s="158"/>
      <c r="DB6" s="158"/>
      <c r="DC6" s="158"/>
      <c r="DD6" s="158"/>
      <c r="DE6" s="158"/>
      <c r="DF6" s="158"/>
      <c r="DG6" s="158"/>
      <c r="DH6" s="158"/>
      <c r="DI6" s="158"/>
      <c r="DJ6" s="158"/>
      <c r="DK6" s="158"/>
      <c r="DL6" s="158"/>
      <c r="DM6" s="158"/>
      <c r="DN6" s="158"/>
      <c r="DO6" s="158"/>
      <c r="DP6" s="158"/>
      <c r="DQ6" s="158"/>
      <c r="DR6" s="158"/>
      <c r="DS6" s="158"/>
      <c r="DT6" s="158"/>
      <c r="DU6" s="158"/>
      <c r="DV6" s="158"/>
      <c r="DW6" s="158"/>
      <c r="DX6" s="158"/>
      <c r="DY6" s="158"/>
      <c r="DZ6" s="158"/>
      <c r="EA6" s="158"/>
      <c r="EB6" s="158"/>
      <c r="EC6" s="158"/>
      <c r="ED6" s="158"/>
      <c r="EE6" s="158"/>
      <c r="EF6" s="158"/>
      <c r="EG6" s="158"/>
      <c r="EH6" s="158"/>
      <c r="EI6" s="158"/>
      <c r="EJ6" s="158"/>
      <c r="EK6" s="158"/>
      <c r="EL6" s="158"/>
      <c r="EM6" s="158"/>
      <c r="EN6" s="158"/>
      <c r="EO6" s="158"/>
      <c r="EP6" s="158"/>
      <c r="EQ6" s="158"/>
      <c r="ER6" s="158"/>
      <c r="ES6" s="158"/>
      <c r="ET6" s="158"/>
      <c r="EU6" s="158"/>
      <c r="EV6" s="158"/>
      <c r="EW6" s="158"/>
      <c r="EX6" s="158"/>
      <c r="EY6" s="158"/>
      <c r="EZ6" s="158"/>
      <c r="FA6" s="158"/>
      <c r="FB6" s="158"/>
      <c r="FC6" s="158"/>
      <c r="FD6" s="158"/>
      <c r="FE6" s="158"/>
      <c r="FF6" s="158"/>
      <c r="FG6" s="158"/>
      <c r="FH6" s="158"/>
      <c r="FI6" s="158"/>
      <c r="FJ6" s="158"/>
      <c r="FK6" s="158"/>
      <c r="FL6" s="158"/>
      <c r="FM6" s="158"/>
      <c r="FN6" s="158"/>
      <c r="FO6" s="158"/>
      <c r="FP6" s="158"/>
      <c r="FQ6" s="158"/>
      <c r="FR6" s="158"/>
      <c r="FS6" s="158"/>
      <c r="FT6" s="158"/>
      <c r="FU6" s="158"/>
      <c r="FV6" s="158"/>
      <c r="FW6" s="158"/>
      <c r="FX6" s="158"/>
      <c r="FY6" s="158"/>
      <c r="FZ6" s="158"/>
      <c r="GA6" s="158"/>
      <c r="GB6" s="158"/>
      <c r="GC6" s="158"/>
      <c r="GD6" s="158"/>
      <c r="GE6" s="158"/>
      <c r="GF6" s="158"/>
      <c r="GG6" s="158"/>
      <c r="GH6" s="158"/>
      <c r="GI6" s="158"/>
      <c r="GJ6" s="158"/>
      <c r="GK6" s="158"/>
      <c r="GL6" s="158"/>
      <c r="GM6" s="158"/>
      <c r="GN6" s="158"/>
      <c r="GO6" s="158"/>
      <c r="GP6" s="158"/>
      <c r="GQ6" s="158"/>
      <c r="GR6" s="158"/>
      <c r="GS6" s="158"/>
      <c r="GT6" s="158"/>
      <c r="GU6" s="158"/>
      <c r="GV6" s="158"/>
      <c r="GW6" s="158"/>
      <c r="GX6" s="158"/>
      <c r="GY6" s="158"/>
      <c r="GZ6" s="158"/>
      <c r="HA6" s="158"/>
      <c r="HB6" s="158"/>
      <c r="HC6" s="158"/>
      <c r="HD6" s="158"/>
      <c r="HE6" s="158"/>
      <c r="HF6" s="158"/>
      <c r="HG6" s="158"/>
      <c r="HH6" s="158"/>
      <c r="HI6" s="158"/>
      <c r="HJ6" s="158"/>
      <c r="HK6" s="158"/>
      <c r="HL6" s="158"/>
      <c r="HM6" s="158"/>
      <c r="HN6" s="158"/>
      <c r="HO6" s="158"/>
      <c r="HP6" s="158"/>
      <c r="HQ6" s="158"/>
      <c r="HR6" s="158"/>
      <c r="HS6" s="158"/>
      <c r="HT6" s="158"/>
      <c r="HU6" s="158"/>
      <c r="HV6" s="158"/>
      <c r="HW6" s="158"/>
      <c r="HX6" s="158"/>
      <c r="HY6" s="158"/>
      <c r="HZ6" s="158"/>
      <c r="IA6" s="158"/>
      <c r="IB6" s="158"/>
      <c r="IC6" s="158"/>
      <c r="ID6" s="158"/>
      <c r="IE6" s="158"/>
      <c r="IF6" s="158"/>
      <c r="IG6" s="158"/>
      <c r="IH6" s="158"/>
      <c r="II6" s="158"/>
      <c r="IJ6" s="158"/>
      <c r="IK6" s="158"/>
      <c r="IL6" s="158"/>
      <c r="IM6" s="158"/>
      <c r="IN6" s="158"/>
      <c r="IO6" s="158"/>
      <c r="IP6" s="158"/>
      <c r="IQ6" s="158"/>
      <c r="IR6" s="158"/>
      <c r="IS6" s="158"/>
      <c r="IT6" s="158"/>
      <c r="IU6" s="158"/>
      <c r="IV6" s="158"/>
    </row>
    <row r="7" spans="1:256" s="187" customFormat="1" ht="31.5" customHeight="1" thickTop="1" thickBot="1">
      <c r="A7" s="217" t="s">
        <v>1006</v>
      </c>
      <c r="B7" s="179">
        <v>9740</v>
      </c>
      <c r="C7" s="180">
        <v>2801</v>
      </c>
      <c r="D7" s="180">
        <v>6262</v>
      </c>
      <c r="E7" s="180">
        <v>598</v>
      </c>
      <c r="F7" s="180">
        <v>7133</v>
      </c>
      <c r="G7" s="180">
        <v>8484</v>
      </c>
      <c r="H7" s="180">
        <v>8485</v>
      </c>
      <c r="I7" s="180">
        <v>4563</v>
      </c>
      <c r="J7" s="180">
        <v>3880</v>
      </c>
      <c r="K7" s="180">
        <v>7960</v>
      </c>
      <c r="L7" s="180">
        <v>9149</v>
      </c>
      <c r="M7" s="180">
        <v>575</v>
      </c>
      <c r="N7" s="180">
        <v>3438</v>
      </c>
      <c r="O7" s="180">
        <v>1080</v>
      </c>
      <c r="P7" s="180">
        <v>1090</v>
      </c>
      <c r="Q7" s="181">
        <v>1657</v>
      </c>
      <c r="R7" s="181">
        <v>1660</v>
      </c>
      <c r="S7" s="180">
        <v>7630</v>
      </c>
      <c r="T7" s="180" t="s">
        <v>1007</v>
      </c>
      <c r="U7" s="180">
        <v>5861</v>
      </c>
      <c r="V7" s="180">
        <v>9565</v>
      </c>
      <c r="W7" s="180">
        <v>8234</v>
      </c>
      <c r="X7" s="180">
        <v>8235</v>
      </c>
      <c r="Y7" s="180">
        <v>6773</v>
      </c>
      <c r="Z7" s="182">
        <v>8052</v>
      </c>
      <c r="AA7" s="183"/>
      <c r="AB7" s="183"/>
      <c r="AC7" s="184" t="s">
        <v>1008</v>
      </c>
      <c r="AD7" s="184" t="s">
        <v>1009</v>
      </c>
      <c r="AE7" s="171">
        <v>5243</v>
      </c>
      <c r="AF7" s="171">
        <v>123</v>
      </c>
      <c r="AG7" s="171">
        <v>125</v>
      </c>
      <c r="AH7" s="171">
        <v>7236</v>
      </c>
      <c r="AI7" s="171">
        <v>2168</v>
      </c>
      <c r="AJ7" s="171">
        <v>2173</v>
      </c>
      <c r="AK7" s="171" t="s">
        <v>1010</v>
      </c>
      <c r="AL7" s="171" t="s">
        <v>1011</v>
      </c>
      <c r="AM7" s="171">
        <v>4258</v>
      </c>
      <c r="AN7" s="171">
        <v>8014</v>
      </c>
      <c r="AO7" s="171">
        <v>127</v>
      </c>
      <c r="AP7" s="171">
        <v>9116</v>
      </c>
      <c r="AQ7" s="171">
        <v>9140</v>
      </c>
      <c r="AR7" s="171">
        <v>9276</v>
      </c>
      <c r="AS7" s="185" t="s">
        <v>1012</v>
      </c>
      <c r="AT7" s="185" t="s">
        <v>1013</v>
      </c>
      <c r="AU7" s="185" t="s">
        <v>1014</v>
      </c>
      <c r="AV7" s="185" t="s">
        <v>1015</v>
      </c>
      <c r="AW7" s="185" t="s">
        <v>1016</v>
      </c>
      <c r="AX7" s="185">
        <v>8011</v>
      </c>
      <c r="AY7" s="185" t="s">
        <v>1017</v>
      </c>
      <c r="AZ7" s="185" t="s">
        <v>1018</v>
      </c>
      <c r="BA7" s="185" t="s">
        <v>1019</v>
      </c>
      <c r="BB7" s="185">
        <v>6001</v>
      </c>
      <c r="BC7" s="185" t="s">
        <v>1020</v>
      </c>
      <c r="BD7" s="185" t="s">
        <v>1021</v>
      </c>
      <c r="BE7" s="185" t="s">
        <v>1022</v>
      </c>
      <c r="BF7" s="185" t="s">
        <v>1023</v>
      </c>
      <c r="BG7" s="185" t="s">
        <v>1024</v>
      </c>
      <c r="BH7" s="185" t="s">
        <v>1025</v>
      </c>
      <c r="BI7" s="185" t="s">
        <v>1026</v>
      </c>
      <c r="BJ7" s="185" t="s">
        <v>1027</v>
      </c>
      <c r="BK7" s="185" t="s">
        <v>1028</v>
      </c>
      <c r="BL7" s="171" t="s">
        <v>1029</v>
      </c>
      <c r="BM7" s="171" t="s">
        <v>1030</v>
      </c>
      <c r="BN7" s="171" t="s">
        <v>1031</v>
      </c>
      <c r="BO7" s="171" t="s">
        <v>1032</v>
      </c>
      <c r="BP7" s="171" t="s">
        <v>1033</v>
      </c>
      <c r="BQ7" s="171" t="s">
        <v>1034</v>
      </c>
      <c r="BR7" s="171">
        <v>2495</v>
      </c>
      <c r="BS7" s="171" t="s">
        <v>1035</v>
      </c>
      <c r="BT7" s="171" t="s">
        <v>1036</v>
      </c>
      <c r="BU7" s="171" t="s">
        <v>1037</v>
      </c>
      <c r="BV7" s="171" t="s">
        <v>1038</v>
      </c>
      <c r="BW7" s="171">
        <v>4408</v>
      </c>
      <c r="BX7" s="171" t="s">
        <v>907</v>
      </c>
      <c r="BY7" s="185" t="s">
        <v>1039</v>
      </c>
      <c r="BZ7" s="171" t="s">
        <v>1040</v>
      </c>
      <c r="CA7" s="185">
        <v>9295</v>
      </c>
      <c r="CB7" s="171" t="s">
        <v>1041</v>
      </c>
      <c r="CC7" s="186" t="s">
        <v>1042</v>
      </c>
      <c r="CD7" s="171" t="s">
        <v>1043</v>
      </c>
      <c r="CE7" s="171" t="s">
        <v>1044</v>
      </c>
      <c r="CF7" s="171">
        <v>3311</v>
      </c>
      <c r="CG7" s="171"/>
      <c r="CH7" s="186"/>
      <c r="CI7" s="171"/>
      <c r="CJ7" s="171"/>
      <c r="CK7" s="171"/>
      <c r="CL7" s="157"/>
      <c r="CM7" s="157"/>
      <c r="CN7" s="157"/>
      <c r="CO7" s="157"/>
      <c r="CP7" s="157"/>
      <c r="CQ7" s="158"/>
      <c r="CR7" s="158"/>
      <c r="CS7" s="158"/>
      <c r="CT7" s="158"/>
      <c r="CU7" s="158"/>
      <c r="CV7" s="158"/>
      <c r="CW7" s="158"/>
      <c r="CX7" s="158"/>
      <c r="CY7" s="158"/>
      <c r="CZ7" s="158"/>
      <c r="DA7" s="158"/>
      <c r="DB7" s="158"/>
      <c r="DC7" s="158"/>
      <c r="DD7" s="158"/>
      <c r="DE7" s="158"/>
      <c r="DF7" s="158"/>
      <c r="DG7" s="158"/>
      <c r="DH7" s="158"/>
      <c r="DI7" s="158"/>
      <c r="DJ7" s="158"/>
      <c r="DK7" s="158"/>
      <c r="DL7" s="158"/>
      <c r="DM7" s="158"/>
      <c r="DN7" s="158"/>
      <c r="DO7" s="158"/>
      <c r="DP7" s="158"/>
      <c r="DQ7" s="158"/>
      <c r="DR7" s="158"/>
      <c r="DS7" s="158"/>
      <c r="DT7" s="158"/>
      <c r="DU7" s="158"/>
      <c r="DV7" s="158"/>
      <c r="DW7" s="158"/>
      <c r="DX7" s="158"/>
      <c r="DY7" s="158"/>
      <c r="DZ7" s="158"/>
      <c r="EA7" s="158"/>
      <c r="EB7" s="158"/>
      <c r="EC7" s="158"/>
      <c r="ED7" s="158"/>
      <c r="EE7" s="158"/>
      <c r="EF7" s="158"/>
      <c r="EG7" s="158"/>
      <c r="EH7" s="158"/>
      <c r="EI7" s="158"/>
      <c r="EJ7" s="158"/>
      <c r="EK7" s="158"/>
      <c r="EL7" s="158"/>
      <c r="EM7" s="158"/>
      <c r="EN7" s="158"/>
      <c r="EO7" s="158"/>
      <c r="EP7" s="158"/>
      <c r="EQ7" s="158"/>
      <c r="ER7" s="158"/>
      <c r="ES7" s="158"/>
      <c r="ET7" s="158"/>
      <c r="EU7" s="158"/>
      <c r="EV7" s="158"/>
      <c r="EW7" s="158"/>
      <c r="EX7" s="158"/>
      <c r="EY7" s="158"/>
      <c r="EZ7" s="158"/>
      <c r="FA7" s="158"/>
      <c r="FB7" s="158"/>
      <c r="FC7" s="158"/>
      <c r="FD7" s="158"/>
      <c r="FE7" s="158"/>
      <c r="FF7" s="158"/>
      <c r="FG7" s="158"/>
      <c r="FH7" s="158"/>
      <c r="FI7" s="158"/>
      <c r="FJ7" s="158"/>
      <c r="FK7" s="158"/>
      <c r="FL7" s="158"/>
      <c r="FM7" s="158"/>
      <c r="FN7" s="158"/>
      <c r="FO7" s="158"/>
      <c r="FP7" s="158"/>
      <c r="FQ7" s="158"/>
      <c r="FR7" s="158"/>
      <c r="FS7" s="158"/>
      <c r="FT7" s="158"/>
      <c r="FU7" s="158"/>
      <c r="FV7" s="158"/>
      <c r="FW7" s="158"/>
      <c r="FX7" s="158"/>
      <c r="FY7" s="158"/>
      <c r="FZ7" s="158"/>
      <c r="GA7" s="158"/>
      <c r="GB7" s="158"/>
      <c r="GC7" s="158"/>
      <c r="GD7" s="158"/>
      <c r="GE7" s="158"/>
      <c r="GF7" s="158"/>
      <c r="GG7" s="158"/>
      <c r="GH7" s="158"/>
      <c r="GI7" s="158"/>
      <c r="GJ7" s="158"/>
      <c r="GK7" s="158"/>
      <c r="GL7" s="158"/>
      <c r="GM7" s="158"/>
      <c r="GN7" s="158"/>
      <c r="GO7" s="158"/>
      <c r="GP7" s="158"/>
      <c r="GQ7" s="158"/>
      <c r="GR7" s="158"/>
      <c r="GS7" s="158"/>
      <c r="GT7" s="158"/>
      <c r="GU7" s="158"/>
      <c r="GV7" s="158"/>
      <c r="GW7" s="158"/>
      <c r="GX7" s="158"/>
      <c r="GY7" s="158"/>
      <c r="GZ7" s="158"/>
      <c r="HA7" s="158"/>
      <c r="HB7" s="158"/>
      <c r="HC7" s="158"/>
      <c r="HD7" s="158"/>
      <c r="HE7" s="158"/>
      <c r="HF7" s="158"/>
      <c r="HG7" s="158"/>
      <c r="HH7" s="158"/>
      <c r="HI7" s="158"/>
      <c r="HJ7" s="158"/>
      <c r="HK7" s="158"/>
      <c r="HL7" s="158"/>
      <c r="HM7" s="158"/>
      <c r="HN7" s="158"/>
      <c r="HO7" s="158"/>
      <c r="HP7" s="158"/>
      <c r="HQ7" s="158"/>
      <c r="HR7" s="158"/>
      <c r="HS7" s="158"/>
      <c r="HT7" s="158"/>
      <c r="HU7" s="158"/>
      <c r="HV7" s="158"/>
      <c r="HW7" s="158"/>
      <c r="HX7" s="158"/>
      <c r="HY7" s="158"/>
      <c r="HZ7" s="158"/>
      <c r="IA7" s="158"/>
      <c r="IB7" s="158"/>
      <c r="IC7" s="158"/>
      <c r="ID7" s="158"/>
      <c r="IE7" s="158"/>
      <c r="IF7" s="158"/>
      <c r="IG7" s="158"/>
      <c r="IH7" s="158"/>
      <c r="II7" s="158"/>
      <c r="IJ7" s="158"/>
      <c r="IK7" s="158"/>
      <c r="IL7" s="158"/>
      <c r="IM7" s="158"/>
      <c r="IN7" s="158"/>
      <c r="IO7" s="158"/>
      <c r="IP7" s="158"/>
      <c r="IQ7" s="158"/>
      <c r="IR7" s="158"/>
      <c r="IS7" s="158"/>
      <c r="IT7" s="158"/>
      <c r="IU7" s="158"/>
      <c r="IV7" s="158"/>
    </row>
    <row r="8" spans="1:256" s="187" customFormat="1" ht="31.5" customHeight="1" thickTop="1" thickBot="1">
      <c r="A8" s="216"/>
      <c r="B8" s="179">
        <v>420</v>
      </c>
      <c r="C8" s="180">
        <v>605</v>
      </c>
      <c r="D8" s="180">
        <v>420</v>
      </c>
      <c r="E8" s="180">
        <v>420</v>
      </c>
      <c r="F8" s="180">
        <v>605</v>
      </c>
      <c r="G8" s="180">
        <v>540</v>
      </c>
      <c r="H8" s="180">
        <v>570</v>
      </c>
      <c r="I8" s="180">
        <v>605</v>
      </c>
      <c r="J8" s="180">
        <v>400</v>
      </c>
      <c r="K8" s="180">
        <v>300</v>
      </c>
      <c r="L8" s="180">
        <v>360</v>
      </c>
      <c r="M8" s="180">
        <v>300</v>
      </c>
      <c r="N8" s="180">
        <v>420</v>
      </c>
      <c r="O8" s="180">
        <v>660</v>
      </c>
      <c r="P8" s="180">
        <v>660</v>
      </c>
      <c r="Q8" s="181">
        <v>90</v>
      </c>
      <c r="R8" s="181">
        <v>90</v>
      </c>
      <c r="S8" s="180">
        <v>180</v>
      </c>
      <c r="T8" s="180">
        <v>420</v>
      </c>
      <c r="U8" s="180">
        <v>605</v>
      </c>
      <c r="V8" s="180">
        <v>200</v>
      </c>
      <c r="W8" s="180">
        <v>660</v>
      </c>
      <c r="X8" s="180">
        <v>660</v>
      </c>
      <c r="Y8" s="180">
        <v>120</v>
      </c>
      <c r="Z8" s="182">
        <v>36</v>
      </c>
      <c r="AA8" s="183"/>
      <c r="AB8" s="183"/>
      <c r="AC8" s="184">
        <v>162</v>
      </c>
      <c r="AD8" s="184">
        <v>162</v>
      </c>
      <c r="AE8" s="171">
        <v>615</v>
      </c>
      <c r="AF8" s="171">
        <v>320</v>
      </c>
      <c r="AG8" s="171">
        <v>280</v>
      </c>
      <c r="AH8" s="171">
        <v>690</v>
      </c>
      <c r="AI8" s="171">
        <v>600</v>
      </c>
      <c r="AJ8" s="171">
        <v>600</v>
      </c>
      <c r="AK8" s="171">
        <v>335</v>
      </c>
      <c r="AL8" s="171">
        <v>335</v>
      </c>
      <c r="AM8" s="171">
        <v>335</v>
      </c>
      <c r="AN8" s="171">
        <v>550</v>
      </c>
      <c r="AO8" s="171">
        <v>500</v>
      </c>
      <c r="AP8" s="171">
        <v>300</v>
      </c>
      <c r="AQ8" s="171">
        <v>500</v>
      </c>
      <c r="AR8" s="171">
        <v>500</v>
      </c>
      <c r="AS8" s="185">
        <v>430</v>
      </c>
      <c r="AT8" s="185">
        <v>335</v>
      </c>
      <c r="AU8" s="185">
        <v>510</v>
      </c>
      <c r="AV8" s="185">
        <v>355</v>
      </c>
      <c r="AW8" s="185">
        <v>180</v>
      </c>
      <c r="AX8" s="185">
        <v>200</v>
      </c>
      <c r="AY8" s="185">
        <v>600</v>
      </c>
      <c r="AZ8" s="185">
        <v>180</v>
      </c>
      <c r="BA8" s="185">
        <v>120</v>
      </c>
      <c r="BB8" s="185">
        <v>160</v>
      </c>
      <c r="BC8" s="185">
        <v>400</v>
      </c>
      <c r="BD8" s="185">
        <v>350</v>
      </c>
      <c r="BE8" s="185">
        <v>160</v>
      </c>
      <c r="BF8" s="185">
        <v>250</v>
      </c>
      <c r="BG8" s="185">
        <v>250</v>
      </c>
      <c r="BH8" s="185">
        <v>335</v>
      </c>
      <c r="BI8" s="185">
        <v>335</v>
      </c>
      <c r="BJ8" s="185">
        <v>335</v>
      </c>
      <c r="BK8" s="185">
        <v>210</v>
      </c>
      <c r="BL8" s="171">
        <v>210</v>
      </c>
      <c r="BM8" s="171">
        <v>160</v>
      </c>
      <c r="BN8" s="171">
        <v>160</v>
      </c>
      <c r="BO8" s="171">
        <v>350</v>
      </c>
      <c r="BP8" s="171">
        <v>350</v>
      </c>
      <c r="BQ8" s="171">
        <v>335</v>
      </c>
      <c r="BR8" s="171">
        <v>350</v>
      </c>
      <c r="BS8" s="171">
        <v>180</v>
      </c>
      <c r="BT8" s="171">
        <v>400</v>
      </c>
      <c r="BU8" s="171">
        <v>335</v>
      </c>
      <c r="BV8" s="171">
        <v>550</v>
      </c>
      <c r="BW8" s="171">
        <v>500</v>
      </c>
      <c r="BX8" s="171">
        <v>600</v>
      </c>
      <c r="BY8" s="185">
        <v>180</v>
      </c>
      <c r="BZ8" s="171">
        <v>180</v>
      </c>
      <c r="CA8" s="185">
        <v>550</v>
      </c>
      <c r="CB8" s="171">
        <v>120</v>
      </c>
      <c r="CC8" s="171">
        <v>1350</v>
      </c>
      <c r="CD8" s="171">
        <v>180</v>
      </c>
      <c r="CE8" s="171">
        <v>180</v>
      </c>
      <c r="CF8" s="171">
        <v>600</v>
      </c>
      <c r="CG8" s="171"/>
      <c r="CH8" s="171"/>
      <c r="CI8" s="171"/>
      <c r="CJ8" s="171"/>
      <c r="CK8" s="171"/>
      <c r="CL8" s="157"/>
      <c r="CM8" s="157"/>
      <c r="CN8" s="157"/>
      <c r="CO8" s="157"/>
      <c r="CP8" s="157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8"/>
      <c r="EC8" s="158"/>
      <c r="ED8" s="158"/>
      <c r="EE8" s="158"/>
      <c r="EF8" s="158"/>
      <c r="EG8" s="158"/>
      <c r="EH8" s="158"/>
      <c r="EI8" s="158"/>
      <c r="EJ8" s="158"/>
      <c r="EK8" s="158"/>
      <c r="EL8" s="158"/>
      <c r="EM8" s="158"/>
      <c r="EN8" s="158"/>
      <c r="EO8" s="158"/>
      <c r="EP8" s="158"/>
      <c r="EQ8" s="158"/>
      <c r="ER8" s="158"/>
      <c r="ES8" s="158"/>
      <c r="ET8" s="158"/>
      <c r="EU8" s="158"/>
      <c r="EV8" s="158"/>
      <c r="EW8" s="158"/>
      <c r="EX8" s="158"/>
      <c r="EY8" s="158"/>
      <c r="EZ8" s="158"/>
      <c r="FA8" s="158"/>
      <c r="FB8" s="158"/>
      <c r="FC8" s="158"/>
      <c r="FD8" s="158"/>
      <c r="FE8" s="158"/>
      <c r="FF8" s="158"/>
      <c r="FG8" s="158"/>
      <c r="FH8" s="158"/>
      <c r="FI8" s="158"/>
      <c r="FJ8" s="158"/>
      <c r="FK8" s="158"/>
      <c r="FL8" s="158"/>
      <c r="FM8" s="158"/>
      <c r="FN8" s="158"/>
      <c r="FO8" s="158"/>
      <c r="FP8" s="158"/>
      <c r="FQ8" s="158"/>
      <c r="FR8" s="158"/>
      <c r="FS8" s="158"/>
      <c r="FT8" s="158"/>
      <c r="FU8" s="158"/>
      <c r="FV8" s="158"/>
      <c r="FW8" s="158"/>
      <c r="FX8" s="158"/>
      <c r="FY8" s="158"/>
      <c r="FZ8" s="158"/>
      <c r="GA8" s="158"/>
      <c r="GB8" s="158"/>
      <c r="GC8" s="158"/>
      <c r="GD8" s="158"/>
      <c r="GE8" s="158"/>
      <c r="GF8" s="158"/>
      <c r="GG8" s="158"/>
      <c r="GH8" s="158"/>
      <c r="GI8" s="158"/>
      <c r="GJ8" s="158"/>
      <c r="GK8" s="158"/>
      <c r="GL8" s="158"/>
      <c r="GM8" s="158"/>
      <c r="GN8" s="158"/>
      <c r="GO8" s="158"/>
      <c r="GP8" s="158"/>
      <c r="GQ8" s="158"/>
      <c r="GR8" s="158"/>
      <c r="GS8" s="158"/>
      <c r="GT8" s="158"/>
      <c r="GU8" s="158"/>
      <c r="GV8" s="158"/>
      <c r="GW8" s="158"/>
      <c r="GX8" s="158"/>
      <c r="GY8" s="158"/>
      <c r="GZ8" s="158"/>
      <c r="HA8" s="158"/>
      <c r="HB8" s="158"/>
      <c r="HC8" s="158"/>
      <c r="HD8" s="158"/>
      <c r="HE8" s="158"/>
      <c r="HF8" s="158"/>
      <c r="HG8" s="158"/>
      <c r="HH8" s="158"/>
      <c r="HI8" s="158"/>
      <c r="HJ8" s="158"/>
      <c r="HK8" s="158"/>
      <c r="HL8" s="158"/>
      <c r="HM8" s="158"/>
      <c r="HN8" s="158"/>
      <c r="HO8" s="158"/>
      <c r="HP8" s="158"/>
      <c r="HQ8" s="158"/>
      <c r="HR8" s="158"/>
      <c r="HS8" s="158"/>
      <c r="HT8" s="158"/>
      <c r="HU8" s="158"/>
      <c r="HV8" s="158"/>
      <c r="HW8" s="158"/>
      <c r="HX8" s="158"/>
      <c r="HY8" s="158"/>
      <c r="HZ8" s="158"/>
      <c r="IA8" s="158"/>
      <c r="IB8" s="158"/>
      <c r="IC8" s="158"/>
      <c r="ID8" s="158"/>
      <c r="IE8" s="158"/>
      <c r="IF8" s="158"/>
      <c r="IG8" s="158"/>
      <c r="IH8" s="158"/>
      <c r="II8" s="158"/>
      <c r="IJ8" s="158"/>
      <c r="IK8" s="158"/>
      <c r="IL8" s="158"/>
      <c r="IM8" s="158"/>
      <c r="IN8" s="158"/>
      <c r="IO8" s="158"/>
      <c r="IP8" s="158"/>
      <c r="IQ8" s="158"/>
      <c r="IR8" s="158"/>
      <c r="IS8" s="158"/>
      <c r="IT8" s="158"/>
      <c r="IU8" s="158"/>
      <c r="IV8" s="158"/>
    </row>
    <row r="9" spans="1:256" s="193" customFormat="1" ht="31.5" customHeight="1" thickTop="1" thickBot="1">
      <c r="A9" s="217" t="s">
        <v>1045</v>
      </c>
      <c r="B9" s="188" t="s">
        <v>1045</v>
      </c>
      <c r="C9" s="189" t="s">
        <v>1046</v>
      </c>
      <c r="D9" s="189" t="s">
        <v>1047</v>
      </c>
      <c r="E9" s="189" t="s">
        <v>1048</v>
      </c>
      <c r="F9" s="189" t="s">
        <v>1049</v>
      </c>
      <c r="G9" s="189" t="s">
        <v>1050</v>
      </c>
      <c r="H9" s="189" t="s">
        <v>1051</v>
      </c>
      <c r="I9" s="189" t="s">
        <v>1052</v>
      </c>
      <c r="J9" s="189" t="s">
        <v>1053</v>
      </c>
      <c r="K9" s="189" t="s">
        <v>1054</v>
      </c>
      <c r="L9" s="189"/>
      <c r="M9" s="189">
        <v>977</v>
      </c>
      <c r="N9" s="189" t="s">
        <v>1055</v>
      </c>
      <c r="O9" s="189" t="s">
        <v>1056</v>
      </c>
      <c r="P9" s="189" t="s">
        <v>1057</v>
      </c>
      <c r="Q9" s="189" t="s">
        <v>1058</v>
      </c>
      <c r="R9" s="189"/>
      <c r="S9" s="189"/>
      <c r="T9" s="189" t="s">
        <v>1059</v>
      </c>
      <c r="U9" s="189" t="s">
        <v>1060</v>
      </c>
      <c r="V9" s="189"/>
      <c r="W9" s="189"/>
      <c r="X9" s="189"/>
      <c r="Y9" s="189" t="s">
        <v>1061</v>
      </c>
      <c r="Z9" s="189"/>
      <c r="AA9" s="189"/>
      <c r="AB9" s="189"/>
      <c r="AC9" s="189"/>
      <c r="AD9" s="189"/>
      <c r="AE9" s="189"/>
      <c r="AF9" s="189"/>
      <c r="AG9" s="189"/>
      <c r="AH9" s="189"/>
      <c r="AI9" s="190" t="s">
        <v>1062</v>
      </c>
      <c r="AJ9" s="190"/>
      <c r="AK9" s="190"/>
      <c r="AL9" s="190"/>
      <c r="AM9" s="190"/>
      <c r="AN9" s="190"/>
      <c r="AO9" s="190"/>
      <c r="AP9" s="190"/>
      <c r="AQ9" s="190"/>
      <c r="AR9" s="190" t="s">
        <v>1063</v>
      </c>
      <c r="AS9" s="190" t="s">
        <v>1064</v>
      </c>
      <c r="AT9" s="190"/>
      <c r="AU9" s="190" t="s">
        <v>1065</v>
      </c>
      <c r="AV9" s="190"/>
      <c r="AW9" s="190"/>
      <c r="AX9" s="190"/>
      <c r="AY9" s="190" t="s">
        <v>1066</v>
      </c>
      <c r="AZ9" s="190"/>
      <c r="BA9" s="190" t="s">
        <v>1067</v>
      </c>
      <c r="BB9" s="190" t="s">
        <v>1068</v>
      </c>
      <c r="BC9" s="190"/>
      <c r="BD9" s="190"/>
      <c r="BE9" s="190"/>
      <c r="BF9" s="190"/>
      <c r="BG9" s="190"/>
      <c r="BH9" s="190"/>
      <c r="BI9" s="190"/>
      <c r="BJ9" s="191" t="s">
        <v>1069</v>
      </c>
      <c r="BK9" s="191"/>
      <c r="BL9" s="191" t="s">
        <v>1070</v>
      </c>
      <c r="BM9" s="191" t="s">
        <v>1071</v>
      </c>
      <c r="BN9" s="191" t="s">
        <v>1072</v>
      </c>
      <c r="BO9" s="191" t="s">
        <v>1073</v>
      </c>
      <c r="BP9" s="191"/>
      <c r="BQ9" s="190"/>
      <c r="BR9" s="190"/>
      <c r="BS9" s="190"/>
      <c r="BT9" s="190"/>
      <c r="BU9" s="190"/>
      <c r="BV9" s="190"/>
      <c r="BW9" s="190"/>
      <c r="BX9" s="190"/>
      <c r="BY9" s="190"/>
      <c r="BZ9" s="190"/>
      <c r="CA9" s="190"/>
      <c r="CB9" s="190"/>
      <c r="CC9" s="190"/>
      <c r="CD9" s="190"/>
      <c r="CE9" s="190"/>
      <c r="CF9" s="190"/>
      <c r="CG9" s="190"/>
      <c r="CH9" s="190"/>
      <c r="CI9" s="190"/>
      <c r="CJ9" s="190"/>
      <c r="CK9" s="192"/>
      <c r="CL9" s="157"/>
      <c r="CM9" s="157"/>
      <c r="CN9" s="157"/>
      <c r="CO9" s="157"/>
      <c r="CP9" s="157"/>
      <c r="CQ9" s="158"/>
      <c r="CR9" s="158"/>
      <c r="CS9" s="158"/>
      <c r="CT9" s="158"/>
      <c r="CU9" s="158"/>
      <c r="CV9" s="158"/>
      <c r="CW9" s="158"/>
      <c r="CX9" s="158"/>
      <c r="CY9" s="158"/>
      <c r="CZ9" s="158"/>
      <c r="DA9" s="158"/>
      <c r="DB9" s="158"/>
      <c r="DC9" s="158"/>
      <c r="DD9" s="158"/>
      <c r="DE9" s="158"/>
      <c r="DF9" s="158"/>
      <c r="DG9" s="158"/>
      <c r="DH9" s="158"/>
      <c r="DI9" s="158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8"/>
      <c r="EC9" s="158"/>
      <c r="ED9" s="158"/>
      <c r="EE9" s="158"/>
      <c r="EF9" s="158"/>
      <c r="EG9" s="158"/>
      <c r="EH9" s="158"/>
      <c r="EI9" s="158"/>
      <c r="EJ9" s="158"/>
      <c r="EK9" s="158"/>
      <c r="EL9" s="158"/>
      <c r="EM9" s="158"/>
      <c r="EN9" s="158"/>
      <c r="EO9" s="158"/>
      <c r="EP9" s="158"/>
      <c r="EQ9" s="158"/>
      <c r="ER9" s="158"/>
      <c r="ES9" s="158"/>
      <c r="ET9" s="158"/>
      <c r="EU9" s="158"/>
      <c r="EV9" s="158"/>
      <c r="EW9" s="158"/>
      <c r="EX9" s="158"/>
      <c r="EY9" s="158"/>
      <c r="EZ9" s="158"/>
      <c r="FA9" s="158"/>
      <c r="FB9" s="158"/>
      <c r="FC9" s="158"/>
      <c r="FD9" s="158"/>
      <c r="FE9" s="158"/>
      <c r="FF9" s="158"/>
      <c r="FG9" s="158"/>
      <c r="FH9" s="158"/>
      <c r="FI9" s="158"/>
      <c r="FJ9" s="158"/>
      <c r="FK9" s="158"/>
      <c r="FL9" s="158"/>
      <c r="FM9" s="158"/>
      <c r="FN9" s="158"/>
      <c r="FO9" s="158"/>
      <c r="FP9" s="158"/>
      <c r="FQ9" s="158"/>
      <c r="FR9" s="158"/>
      <c r="FS9" s="158"/>
      <c r="FT9" s="158"/>
      <c r="FU9" s="158"/>
      <c r="FV9" s="158"/>
      <c r="FW9" s="158"/>
      <c r="FX9" s="158"/>
      <c r="FY9" s="158"/>
      <c r="FZ9" s="158"/>
      <c r="GA9" s="158"/>
      <c r="GB9" s="158"/>
      <c r="GC9" s="158"/>
      <c r="GD9" s="158"/>
      <c r="GE9" s="158"/>
      <c r="GF9" s="158"/>
      <c r="GG9" s="158"/>
      <c r="GH9" s="158"/>
      <c r="GI9" s="158"/>
      <c r="GJ9" s="158"/>
      <c r="GK9" s="158"/>
      <c r="GL9" s="158"/>
      <c r="GM9" s="158"/>
      <c r="GN9" s="158"/>
      <c r="GO9" s="158"/>
      <c r="GP9" s="158"/>
      <c r="GQ9" s="158"/>
      <c r="GR9" s="158"/>
      <c r="GS9" s="158"/>
      <c r="GT9" s="158"/>
      <c r="GU9" s="158"/>
      <c r="GV9" s="158"/>
      <c r="GW9" s="158"/>
      <c r="GX9" s="158"/>
      <c r="GY9" s="158"/>
      <c r="GZ9" s="158"/>
      <c r="HA9" s="158"/>
      <c r="HB9" s="158"/>
      <c r="HC9" s="158"/>
      <c r="HD9" s="158"/>
      <c r="HE9" s="158"/>
      <c r="HF9" s="158"/>
      <c r="HG9" s="158"/>
      <c r="HH9" s="158"/>
      <c r="HI9" s="158"/>
      <c r="HJ9" s="158"/>
      <c r="HK9" s="158"/>
      <c r="HL9" s="158"/>
      <c r="HM9" s="158"/>
      <c r="HN9" s="158"/>
      <c r="HO9" s="158"/>
      <c r="HP9" s="158"/>
      <c r="HQ9" s="158"/>
      <c r="HR9" s="158"/>
      <c r="HS9" s="158"/>
      <c r="HT9" s="158"/>
      <c r="HU9" s="158"/>
      <c r="HV9" s="158"/>
      <c r="HW9" s="158"/>
      <c r="HX9" s="158"/>
      <c r="HY9" s="158"/>
      <c r="HZ9" s="158"/>
      <c r="IA9" s="158"/>
      <c r="IB9" s="158"/>
      <c r="IC9" s="158"/>
      <c r="ID9" s="158"/>
      <c r="IE9" s="158"/>
      <c r="IF9" s="158"/>
      <c r="IG9" s="158"/>
      <c r="IH9" s="158"/>
      <c r="II9" s="158"/>
      <c r="IJ9" s="158"/>
      <c r="IK9" s="158"/>
      <c r="IL9" s="158"/>
      <c r="IM9" s="158"/>
      <c r="IN9" s="158"/>
      <c r="IO9" s="158"/>
      <c r="IP9" s="158"/>
      <c r="IQ9" s="158"/>
      <c r="IR9" s="158"/>
      <c r="IS9" s="158"/>
      <c r="IT9" s="158"/>
      <c r="IU9" s="158"/>
      <c r="IV9" s="158"/>
    </row>
    <row r="10" spans="1:256" s="193" customFormat="1" ht="31.5" customHeight="1" thickTop="1" thickBot="1">
      <c r="A10" s="216"/>
      <c r="B10" s="188">
        <v>840</v>
      </c>
      <c r="C10" s="189">
        <v>660</v>
      </c>
      <c r="D10" s="189">
        <v>300</v>
      </c>
      <c r="E10" s="189">
        <v>300</v>
      </c>
      <c r="F10" s="189">
        <v>54000</v>
      </c>
      <c r="G10" s="189">
        <v>60000</v>
      </c>
      <c r="H10" s="189">
        <v>80000</v>
      </c>
      <c r="I10" s="189"/>
      <c r="J10" s="189">
        <v>1100</v>
      </c>
      <c r="K10" s="189">
        <v>1200</v>
      </c>
      <c r="L10" s="189"/>
      <c r="M10" s="189">
        <v>300</v>
      </c>
      <c r="N10" s="189">
        <v>300</v>
      </c>
      <c r="O10" s="189">
        <v>480</v>
      </c>
      <c r="P10" s="189">
        <v>300</v>
      </c>
      <c r="Q10" s="189">
        <v>800</v>
      </c>
      <c r="R10" s="189"/>
      <c r="S10" s="189"/>
      <c r="T10" s="189">
        <v>1000</v>
      </c>
      <c r="U10" s="189">
        <v>800</v>
      </c>
      <c r="V10" s="189"/>
      <c r="W10" s="189"/>
      <c r="X10" s="189"/>
      <c r="Y10" s="189">
        <v>200</v>
      </c>
      <c r="Z10" s="189"/>
      <c r="AA10" s="189"/>
      <c r="AB10" s="189"/>
      <c r="AC10" s="189"/>
      <c r="AD10" s="189"/>
      <c r="AE10" s="189"/>
      <c r="AF10" s="189"/>
      <c r="AG10" s="189"/>
      <c r="AH10" s="189"/>
      <c r="AI10" s="190">
        <v>182</v>
      </c>
      <c r="AJ10" s="190"/>
      <c r="AK10" s="190"/>
      <c r="AL10" s="190"/>
      <c r="AM10" s="190"/>
      <c r="AN10" s="190"/>
      <c r="AO10" s="190"/>
      <c r="AP10" s="190"/>
      <c r="AQ10" s="190"/>
      <c r="AR10" s="190">
        <v>1300</v>
      </c>
      <c r="AS10" s="190">
        <v>1300</v>
      </c>
      <c r="AT10" s="190"/>
      <c r="AU10" s="190">
        <v>1300</v>
      </c>
      <c r="AV10" s="190"/>
      <c r="AW10" s="190"/>
      <c r="AX10" s="190"/>
      <c r="AY10" s="190">
        <v>1200</v>
      </c>
      <c r="AZ10" s="190"/>
      <c r="BA10" s="190">
        <v>1300</v>
      </c>
      <c r="BB10" s="190">
        <v>500</v>
      </c>
      <c r="BC10" s="190"/>
      <c r="BD10" s="190"/>
      <c r="BE10" s="190"/>
      <c r="BF10" s="190"/>
      <c r="BG10" s="190"/>
      <c r="BH10" s="190"/>
      <c r="BI10" s="190"/>
      <c r="BJ10" s="191">
        <v>800</v>
      </c>
      <c r="BK10" s="191"/>
      <c r="BL10" s="191">
        <v>1000</v>
      </c>
      <c r="BM10" s="191">
        <v>1000</v>
      </c>
      <c r="BN10" s="191">
        <v>800</v>
      </c>
      <c r="BO10" s="191">
        <v>350</v>
      </c>
      <c r="BP10" s="191"/>
      <c r="BQ10" s="190"/>
      <c r="BR10" s="190"/>
      <c r="BS10" s="190"/>
      <c r="BT10" s="190"/>
      <c r="BU10" s="190"/>
      <c r="BV10" s="190"/>
      <c r="BW10" s="190"/>
      <c r="BX10" s="190"/>
      <c r="BY10" s="190"/>
      <c r="BZ10" s="190"/>
      <c r="CA10" s="190"/>
      <c r="CB10" s="190"/>
      <c r="CC10" s="190"/>
      <c r="CD10" s="190"/>
      <c r="CE10" s="190"/>
      <c r="CF10" s="190"/>
      <c r="CG10" s="190"/>
      <c r="CH10" s="190"/>
      <c r="CI10" s="190"/>
      <c r="CJ10" s="190"/>
      <c r="CK10" s="192"/>
      <c r="CL10" s="158"/>
      <c r="CM10" s="158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8"/>
      <c r="EC10" s="158"/>
      <c r="ED10" s="158"/>
      <c r="EE10" s="158"/>
      <c r="EF10" s="158"/>
      <c r="EG10" s="158"/>
      <c r="EH10" s="158"/>
      <c r="EI10" s="158"/>
      <c r="EJ10" s="158"/>
      <c r="EK10" s="158"/>
      <c r="EL10" s="158"/>
      <c r="EM10" s="158"/>
      <c r="EN10" s="158"/>
      <c r="EO10" s="158"/>
      <c r="EP10" s="158"/>
      <c r="EQ10" s="158"/>
      <c r="ER10" s="158"/>
      <c r="ES10" s="158"/>
      <c r="ET10" s="158"/>
      <c r="EU10" s="158"/>
      <c r="EV10" s="158"/>
      <c r="EW10" s="158"/>
      <c r="EX10" s="158"/>
      <c r="EY10" s="158"/>
      <c r="EZ10" s="158"/>
      <c r="FA10" s="158"/>
      <c r="FB10" s="158"/>
      <c r="FC10" s="158"/>
      <c r="FD10" s="158"/>
      <c r="FE10" s="158"/>
      <c r="FF10" s="158"/>
      <c r="FG10" s="158"/>
      <c r="FH10" s="158"/>
      <c r="FI10" s="158"/>
      <c r="FJ10" s="158"/>
      <c r="FK10" s="158"/>
      <c r="FL10" s="158"/>
      <c r="FM10" s="158"/>
      <c r="FN10" s="158"/>
      <c r="FO10" s="158"/>
      <c r="FP10" s="158"/>
      <c r="FQ10" s="158"/>
      <c r="FR10" s="158"/>
      <c r="FS10" s="158"/>
      <c r="FT10" s="158"/>
      <c r="FU10" s="158"/>
      <c r="FV10" s="158"/>
      <c r="FW10" s="158"/>
      <c r="FX10" s="158"/>
      <c r="FY10" s="158"/>
      <c r="FZ10" s="158"/>
      <c r="GA10" s="158"/>
      <c r="GB10" s="158"/>
      <c r="GC10" s="158"/>
      <c r="GD10" s="158"/>
      <c r="GE10" s="158"/>
      <c r="GF10" s="158"/>
      <c r="GG10" s="158"/>
      <c r="GH10" s="158"/>
      <c r="GI10" s="158"/>
      <c r="GJ10" s="158"/>
      <c r="GK10" s="158"/>
      <c r="GL10" s="158"/>
      <c r="GM10" s="158"/>
      <c r="GN10" s="158"/>
      <c r="GO10" s="158"/>
      <c r="GP10" s="158"/>
      <c r="GQ10" s="158"/>
      <c r="GR10" s="158"/>
      <c r="GS10" s="158"/>
      <c r="GT10" s="158"/>
      <c r="GU10" s="158"/>
      <c r="GV10" s="158"/>
      <c r="GW10" s="158"/>
      <c r="GX10" s="158"/>
      <c r="GY10" s="158"/>
      <c r="GZ10" s="158"/>
      <c r="HA10" s="158"/>
      <c r="HB10" s="158"/>
      <c r="HC10" s="158"/>
      <c r="HD10" s="158"/>
      <c r="HE10" s="158"/>
      <c r="HF10" s="158"/>
      <c r="HG10" s="158"/>
      <c r="HH10" s="158"/>
      <c r="HI10" s="158"/>
      <c r="HJ10" s="158"/>
      <c r="HK10" s="158"/>
      <c r="HL10" s="158"/>
      <c r="HM10" s="158"/>
      <c r="HN10" s="158"/>
      <c r="HO10" s="158"/>
      <c r="HP10" s="158"/>
      <c r="HQ10" s="158"/>
      <c r="HR10" s="158"/>
      <c r="HS10" s="158"/>
      <c r="HT10" s="158"/>
      <c r="HU10" s="158"/>
      <c r="HV10" s="158"/>
      <c r="HW10" s="158"/>
      <c r="HX10" s="158"/>
      <c r="HY10" s="158"/>
      <c r="HZ10" s="158"/>
      <c r="IA10" s="158"/>
      <c r="IB10" s="158"/>
      <c r="IC10" s="158"/>
      <c r="ID10" s="158"/>
      <c r="IE10" s="158"/>
      <c r="IF10" s="158"/>
      <c r="IG10" s="158"/>
      <c r="IH10" s="158"/>
      <c r="II10" s="158"/>
      <c r="IJ10" s="158"/>
      <c r="IK10" s="158"/>
      <c r="IL10" s="158"/>
      <c r="IM10" s="158"/>
      <c r="IN10" s="158"/>
      <c r="IO10" s="158"/>
      <c r="IP10" s="158"/>
      <c r="IQ10" s="158"/>
      <c r="IR10" s="158"/>
      <c r="IS10" s="158"/>
      <c r="IT10" s="158"/>
      <c r="IU10" s="158"/>
      <c r="IV10" s="158"/>
    </row>
    <row r="11" spans="1:256" s="198" customFormat="1" ht="31.5" customHeight="1" thickTop="1" thickBot="1">
      <c r="A11" s="217" t="s">
        <v>1074</v>
      </c>
      <c r="B11" s="194"/>
      <c r="C11" s="195"/>
      <c r="D11" s="195"/>
      <c r="E11" s="195"/>
      <c r="F11" s="195"/>
      <c r="G11" s="195"/>
      <c r="H11" s="195"/>
      <c r="I11" s="195"/>
      <c r="J11" s="195" t="s">
        <v>1075</v>
      </c>
      <c r="K11" s="195" t="s">
        <v>1076</v>
      </c>
      <c r="L11" s="195"/>
      <c r="M11" s="195"/>
      <c r="N11" s="195"/>
      <c r="O11" s="195"/>
      <c r="P11" s="195"/>
      <c r="Q11" s="195"/>
      <c r="R11" s="195" t="s">
        <v>1077</v>
      </c>
      <c r="S11" s="195" t="s">
        <v>1078</v>
      </c>
      <c r="T11" s="195"/>
      <c r="U11" s="195"/>
      <c r="V11" s="195"/>
      <c r="W11" s="195"/>
      <c r="X11" s="195"/>
      <c r="Y11" s="195"/>
      <c r="Z11" s="195" t="s">
        <v>1079</v>
      </c>
      <c r="AA11" s="195" t="s">
        <v>1080</v>
      </c>
      <c r="AB11" s="195"/>
      <c r="AC11" s="195" t="s">
        <v>1080</v>
      </c>
      <c r="AD11" s="195"/>
      <c r="AE11" s="195" t="s">
        <v>1080</v>
      </c>
      <c r="AF11" s="195"/>
      <c r="AG11" s="195" t="s">
        <v>1080</v>
      </c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6"/>
      <c r="BK11" s="196"/>
      <c r="BL11" s="196"/>
      <c r="BM11" s="196"/>
      <c r="BN11" s="196"/>
      <c r="BO11" s="196"/>
      <c r="BP11" s="196"/>
      <c r="BQ11" s="195"/>
      <c r="BR11" s="195"/>
      <c r="BS11" s="195"/>
      <c r="BT11" s="195"/>
      <c r="BU11" s="195"/>
      <c r="BV11" s="195"/>
      <c r="BW11" s="195"/>
      <c r="BX11" s="195"/>
      <c r="BY11" s="195"/>
      <c r="BZ11" s="195"/>
      <c r="CA11" s="195"/>
      <c r="CB11" s="195"/>
      <c r="CC11" s="195"/>
      <c r="CD11" s="195"/>
      <c r="CE11" s="195"/>
      <c r="CF11" s="195"/>
      <c r="CG11" s="195"/>
      <c r="CH11" s="195"/>
      <c r="CI11" s="195"/>
      <c r="CJ11" s="195"/>
      <c r="CK11" s="197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58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8"/>
      <c r="EC11" s="158"/>
      <c r="ED11" s="158"/>
      <c r="EE11" s="158"/>
      <c r="EF11" s="158"/>
      <c r="EG11" s="158"/>
      <c r="EH11" s="158"/>
      <c r="EI11" s="158"/>
      <c r="EJ11" s="158"/>
      <c r="EK11" s="158"/>
      <c r="EL11" s="158"/>
      <c r="EM11" s="158"/>
      <c r="EN11" s="158"/>
      <c r="EO11" s="158"/>
      <c r="EP11" s="158"/>
      <c r="EQ11" s="158"/>
      <c r="ER11" s="158"/>
      <c r="ES11" s="158"/>
      <c r="ET11" s="158"/>
      <c r="EU11" s="158"/>
      <c r="EV11" s="158"/>
      <c r="EW11" s="158"/>
      <c r="EX11" s="158"/>
      <c r="EY11" s="158"/>
      <c r="EZ11" s="158"/>
      <c r="FA11" s="158"/>
      <c r="FB11" s="158"/>
      <c r="FC11" s="158"/>
      <c r="FD11" s="158"/>
      <c r="FE11" s="158"/>
      <c r="FF11" s="158"/>
      <c r="FG11" s="158"/>
      <c r="FH11" s="158"/>
      <c r="FI11" s="158"/>
      <c r="FJ11" s="158"/>
      <c r="FK11" s="158"/>
      <c r="FL11" s="158"/>
      <c r="FM11" s="158"/>
      <c r="FN11" s="158"/>
      <c r="FO11" s="158"/>
      <c r="FP11" s="158"/>
      <c r="FQ11" s="158"/>
      <c r="FR11" s="158"/>
      <c r="FS11" s="158"/>
      <c r="FT11" s="158"/>
      <c r="FU11" s="158"/>
      <c r="FV11" s="158"/>
      <c r="FW11" s="158"/>
      <c r="FX11" s="158"/>
      <c r="FY11" s="158"/>
      <c r="FZ11" s="158"/>
      <c r="GA11" s="158"/>
      <c r="GB11" s="158"/>
      <c r="GC11" s="158"/>
      <c r="GD11" s="158"/>
      <c r="GE11" s="158"/>
      <c r="GF11" s="158"/>
      <c r="GG11" s="158"/>
      <c r="GH11" s="158"/>
      <c r="GI11" s="158"/>
      <c r="GJ11" s="158"/>
      <c r="GK11" s="158"/>
      <c r="GL11" s="158"/>
      <c r="GM11" s="158"/>
      <c r="GN11" s="158"/>
      <c r="GO11" s="158"/>
      <c r="GP11" s="158"/>
      <c r="GQ11" s="158"/>
      <c r="GR11" s="158"/>
      <c r="GS11" s="158"/>
      <c r="GT11" s="158"/>
      <c r="GU11" s="158"/>
      <c r="GV11" s="158"/>
      <c r="GW11" s="158"/>
      <c r="GX11" s="158"/>
      <c r="GY11" s="158"/>
      <c r="GZ11" s="158"/>
      <c r="HA11" s="158"/>
      <c r="HB11" s="158"/>
      <c r="HC11" s="158"/>
      <c r="HD11" s="158"/>
      <c r="HE11" s="158"/>
      <c r="HF11" s="158"/>
      <c r="HG11" s="158"/>
      <c r="HH11" s="158"/>
      <c r="HI11" s="158"/>
      <c r="HJ11" s="158"/>
      <c r="HK11" s="158"/>
      <c r="HL11" s="158"/>
      <c r="HM11" s="158"/>
      <c r="HN11" s="158"/>
      <c r="HO11" s="158"/>
      <c r="HP11" s="158"/>
      <c r="HQ11" s="158"/>
      <c r="HR11" s="158"/>
      <c r="HS11" s="158"/>
      <c r="HT11" s="158"/>
      <c r="HU11" s="158"/>
      <c r="HV11" s="158"/>
      <c r="HW11" s="158"/>
      <c r="HX11" s="158"/>
      <c r="HY11" s="158"/>
      <c r="HZ11" s="158"/>
      <c r="IA11" s="158"/>
      <c r="IB11" s="158"/>
      <c r="IC11" s="158"/>
      <c r="ID11" s="158"/>
      <c r="IE11" s="158"/>
      <c r="IF11" s="158"/>
      <c r="IG11" s="158"/>
      <c r="IH11" s="158"/>
      <c r="II11" s="158"/>
      <c r="IJ11" s="158"/>
      <c r="IK11" s="158"/>
      <c r="IL11" s="158"/>
      <c r="IM11" s="158"/>
      <c r="IN11" s="158"/>
      <c r="IO11" s="158"/>
      <c r="IP11" s="158"/>
      <c r="IQ11" s="158"/>
      <c r="IR11" s="158"/>
      <c r="IS11" s="158"/>
      <c r="IT11" s="158"/>
      <c r="IU11" s="158"/>
      <c r="IV11" s="158"/>
    </row>
    <row r="12" spans="1:256" s="198" customFormat="1" ht="31.5" customHeight="1" thickTop="1" thickBot="1">
      <c r="A12" s="216"/>
      <c r="B12" s="194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6"/>
      <c r="BK12" s="196"/>
      <c r="BL12" s="196"/>
      <c r="BM12" s="196"/>
      <c r="BN12" s="196"/>
      <c r="BO12" s="196"/>
      <c r="BP12" s="196"/>
      <c r="BQ12" s="195"/>
      <c r="BR12" s="195"/>
      <c r="BS12" s="195"/>
      <c r="BT12" s="195"/>
      <c r="BU12" s="195"/>
      <c r="BV12" s="195"/>
      <c r="BW12" s="195"/>
      <c r="BX12" s="195"/>
      <c r="BY12" s="195"/>
      <c r="BZ12" s="195"/>
      <c r="CA12" s="195"/>
      <c r="CB12" s="195"/>
      <c r="CC12" s="195"/>
      <c r="CD12" s="195"/>
      <c r="CE12" s="195"/>
      <c r="CF12" s="195"/>
      <c r="CG12" s="195"/>
      <c r="CH12" s="195"/>
      <c r="CI12" s="195"/>
      <c r="CJ12" s="195"/>
      <c r="CK12" s="197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8"/>
      <c r="EC12" s="158"/>
      <c r="ED12" s="158"/>
      <c r="EE12" s="158"/>
      <c r="EF12" s="158"/>
      <c r="EG12" s="158"/>
      <c r="EH12" s="158"/>
      <c r="EI12" s="158"/>
      <c r="EJ12" s="158"/>
      <c r="EK12" s="158"/>
      <c r="EL12" s="158"/>
      <c r="EM12" s="158"/>
      <c r="EN12" s="158"/>
      <c r="EO12" s="158"/>
      <c r="EP12" s="158"/>
      <c r="EQ12" s="158"/>
      <c r="ER12" s="158"/>
      <c r="ES12" s="158"/>
      <c r="ET12" s="158"/>
      <c r="EU12" s="158"/>
      <c r="EV12" s="158"/>
      <c r="EW12" s="158"/>
      <c r="EX12" s="158"/>
      <c r="EY12" s="158"/>
      <c r="EZ12" s="158"/>
      <c r="FA12" s="158"/>
      <c r="FB12" s="158"/>
      <c r="FC12" s="158"/>
      <c r="FD12" s="158"/>
      <c r="FE12" s="158"/>
      <c r="FF12" s="158"/>
      <c r="FG12" s="158"/>
      <c r="FH12" s="158"/>
      <c r="FI12" s="158"/>
      <c r="FJ12" s="158"/>
      <c r="FK12" s="158"/>
      <c r="FL12" s="158"/>
      <c r="FM12" s="158"/>
      <c r="FN12" s="158"/>
      <c r="FO12" s="158"/>
      <c r="FP12" s="158"/>
      <c r="FQ12" s="158"/>
      <c r="FR12" s="158"/>
      <c r="FS12" s="158"/>
      <c r="FT12" s="158"/>
      <c r="FU12" s="158"/>
      <c r="FV12" s="158"/>
      <c r="FW12" s="158"/>
      <c r="FX12" s="158"/>
      <c r="FY12" s="158"/>
      <c r="FZ12" s="158"/>
      <c r="GA12" s="158"/>
      <c r="GB12" s="158"/>
      <c r="GC12" s="158"/>
      <c r="GD12" s="158"/>
      <c r="GE12" s="158"/>
      <c r="GF12" s="158"/>
      <c r="GG12" s="158"/>
      <c r="GH12" s="158"/>
      <c r="GI12" s="158"/>
      <c r="GJ12" s="158"/>
      <c r="GK12" s="158"/>
      <c r="GL12" s="158"/>
      <c r="GM12" s="158"/>
      <c r="GN12" s="158"/>
      <c r="GO12" s="158"/>
      <c r="GP12" s="158"/>
      <c r="GQ12" s="158"/>
      <c r="GR12" s="158"/>
      <c r="GS12" s="158"/>
      <c r="GT12" s="158"/>
      <c r="GU12" s="158"/>
      <c r="GV12" s="158"/>
      <c r="GW12" s="158"/>
      <c r="GX12" s="158"/>
      <c r="GY12" s="158"/>
      <c r="GZ12" s="158"/>
      <c r="HA12" s="158"/>
      <c r="HB12" s="158"/>
      <c r="HC12" s="158"/>
      <c r="HD12" s="158"/>
      <c r="HE12" s="158"/>
      <c r="HF12" s="158"/>
      <c r="HG12" s="158"/>
      <c r="HH12" s="158"/>
      <c r="HI12" s="158"/>
      <c r="HJ12" s="158"/>
      <c r="HK12" s="158"/>
      <c r="HL12" s="158"/>
      <c r="HM12" s="158"/>
      <c r="HN12" s="158"/>
      <c r="HO12" s="158"/>
      <c r="HP12" s="158"/>
      <c r="HQ12" s="158"/>
      <c r="HR12" s="158"/>
      <c r="HS12" s="158"/>
      <c r="HT12" s="158"/>
      <c r="HU12" s="158"/>
      <c r="HV12" s="158"/>
      <c r="HW12" s="158"/>
      <c r="HX12" s="158"/>
      <c r="HY12" s="158"/>
      <c r="HZ12" s="158"/>
      <c r="IA12" s="158"/>
      <c r="IB12" s="158"/>
      <c r="IC12" s="158"/>
      <c r="ID12" s="158"/>
      <c r="IE12" s="158"/>
      <c r="IF12" s="158"/>
      <c r="IG12" s="158"/>
      <c r="IH12" s="158"/>
      <c r="II12" s="158"/>
      <c r="IJ12" s="158"/>
      <c r="IK12" s="158"/>
      <c r="IL12" s="158"/>
      <c r="IM12" s="158"/>
      <c r="IN12" s="158"/>
      <c r="IO12" s="158"/>
      <c r="IP12" s="158"/>
      <c r="IQ12" s="158"/>
      <c r="IR12" s="158"/>
      <c r="IS12" s="158"/>
      <c r="IT12" s="158"/>
      <c r="IU12" s="158"/>
      <c r="IV12" s="158"/>
    </row>
    <row r="13" spans="1:256" s="203" customFormat="1" ht="31.5" customHeight="1" thickTop="1" thickBot="1">
      <c r="A13" s="215" t="s">
        <v>1081</v>
      </c>
      <c r="B13" s="199" t="s">
        <v>1082</v>
      </c>
      <c r="C13" s="200" t="s">
        <v>1083</v>
      </c>
      <c r="D13" s="200" t="s">
        <v>1084</v>
      </c>
      <c r="E13" s="200" t="s">
        <v>1085</v>
      </c>
      <c r="F13" s="200" t="s">
        <v>1086</v>
      </c>
      <c r="G13" s="200" t="s">
        <v>1087</v>
      </c>
      <c r="H13" s="200" t="s">
        <v>1088</v>
      </c>
      <c r="I13" s="200" t="s">
        <v>1089</v>
      </c>
      <c r="J13" s="200" t="s">
        <v>1090</v>
      </c>
      <c r="K13" s="200" t="s">
        <v>1091</v>
      </c>
      <c r="L13" s="200" t="s">
        <v>1092</v>
      </c>
      <c r="M13" s="200" t="s">
        <v>1093</v>
      </c>
      <c r="N13" s="200" t="s">
        <v>1094</v>
      </c>
      <c r="O13" s="200" t="s">
        <v>1095</v>
      </c>
      <c r="P13" s="200" t="s">
        <v>1096</v>
      </c>
      <c r="Q13" s="200" t="s">
        <v>1097</v>
      </c>
      <c r="R13" s="200" t="s">
        <v>1098</v>
      </c>
      <c r="S13" s="200" t="s">
        <v>1099</v>
      </c>
      <c r="T13" s="200" t="s">
        <v>1100</v>
      </c>
      <c r="U13" s="200" t="s">
        <v>1101</v>
      </c>
      <c r="V13" s="200" t="s">
        <v>1102</v>
      </c>
      <c r="W13" s="200"/>
      <c r="X13" s="200" t="s">
        <v>1103</v>
      </c>
      <c r="Y13" s="200" t="s">
        <v>1104</v>
      </c>
      <c r="Z13" s="200" t="s">
        <v>1105</v>
      </c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1"/>
      <c r="BK13" s="201"/>
      <c r="BL13" s="201"/>
      <c r="BM13" s="201"/>
      <c r="BN13" s="201"/>
      <c r="BO13" s="201"/>
      <c r="BP13" s="201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2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8"/>
      <c r="EC13" s="158"/>
      <c r="ED13" s="158"/>
      <c r="EE13" s="158"/>
      <c r="EF13" s="158"/>
      <c r="EG13" s="158"/>
      <c r="EH13" s="158"/>
      <c r="EI13" s="158"/>
      <c r="EJ13" s="158"/>
      <c r="EK13" s="158"/>
      <c r="EL13" s="158"/>
      <c r="EM13" s="158"/>
      <c r="EN13" s="158"/>
      <c r="EO13" s="158"/>
      <c r="EP13" s="158"/>
      <c r="EQ13" s="158"/>
      <c r="ER13" s="158"/>
      <c r="ES13" s="158"/>
      <c r="ET13" s="158"/>
      <c r="EU13" s="158"/>
      <c r="EV13" s="158"/>
      <c r="EW13" s="158"/>
      <c r="EX13" s="158"/>
      <c r="EY13" s="158"/>
      <c r="EZ13" s="158"/>
      <c r="FA13" s="158"/>
      <c r="FB13" s="158"/>
      <c r="FC13" s="158"/>
      <c r="FD13" s="158"/>
      <c r="FE13" s="158"/>
      <c r="FF13" s="158"/>
      <c r="FG13" s="158"/>
      <c r="FH13" s="158"/>
      <c r="FI13" s="158"/>
      <c r="FJ13" s="158"/>
      <c r="FK13" s="158"/>
      <c r="FL13" s="158"/>
      <c r="FM13" s="158"/>
      <c r="FN13" s="158"/>
      <c r="FO13" s="158"/>
      <c r="FP13" s="158"/>
      <c r="FQ13" s="158"/>
      <c r="FR13" s="158"/>
      <c r="FS13" s="158"/>
      <c r="FT13" s="158"/>
      <c r="FU13" s="158"/>
      <c r="FV13" s="158"/>
      <c r="FW13" s="158"/>
      <c r="FX13" s="158"/>
      <c r="FY13" s="158"/>
      <c r="FZ13" s="158"/>
      <c r="GA13" s="158"/>
      <c r="GB13" s="158"/>
      <c r="GC13" s="158"/>
      <c r="GD13" s="158"/>
      <c r="GE13" s="158"/>
      <c r="GF13" s="158"/>
      <c r="GG13" s="158"/>
      <c r="GH13" s="158"/>
      <c r="GI13" s="158"/>
      <c r="GJ13" s="158"/>
      <c r="GK13" s="158"/>
      <c r="GL13" s="158"/>
      <c r="GM13" s="158"/>
      <c r="GN13" s="158"/>
      <c r="GO13" s="158"/>
      <c r="GP13" s="158"/>
      <c r="GQ13" s="158"/>
      <c r="GR13" s="158"/>
      <c r="GS13" s="158"/>
      <c r="GT13" s="158"/>
      <c r="GU13" s="158"/>
      <c r="GV13" s="158"/>
      <c r="GW13" s="158"/>
      <c r="GX13" s="158"/>
      <c r="GY13" s="158"/>
      <c r="GZ13" s="158"/>
      <c r="HA13" s="158"/>
      <c r="HB13" s="158"/>
      <c r="HC13" s="158"/>
      <c r="HD13" s="158"/>
      <c r="HE13" s="158"/>
      <c r="HF13" s="158"/>
      <c r="HG13" s="158"/>
      <c r="HH13" s="158"/>
      <c r="HI13" s="158"/>
      <c r="HJ13" s="158"/>
      <c r="HK13" s="158"/>
      <c r="HL13" s="158"/>
      <c r="HM13" s="158"/>
      <c r="HN13" s="158"/>
      <c r="HO13" s="158"/>
      <c r="HP13" s="158"/>
      <c r="HQ13" s="158"/>
      <c r="HR13" s="158"/>
      <c r="HS13" s="158"/>
      <c r="HT13" s="158"/>
      <c r="HU13" s="158"/>
      <c r="HV13" s="158"/>
      <c r="HW13" s="158"/>
      <c r="HX13" s="158"/>
      <c r="HY13" s="158"/>
      <c r="HZ13" s="158"/>
      <c r="IA13" s="158"/>
      <c r="IB13" s="158"/>
      <c r="IC13" s="158"/>
      <c r="ID13" s="158"/>
      <c r="IE13" s="158"/>
      <c r="IF13" s="158"/>
      <c r="IG13" s="158"/>
      <c r="IH13" s="158"/>
      <c r="II13" s="158"/>
      <c r="IJ13" s="158"/>
      <c r="IK13" s="158"/>
      <c r="IL13" s="158"/>
      <c r="IM13" s="158"/>
      <c r="IN13" s="158"/>
      <c r="IO13" s="158"/>
      <c r="IP13" s="158"/>
      <c r="IQ13" s="158"/>
      <c r="IR13" s="158"/>
      <c r="IS13" s="158"/>
      <c r="IT13" s="158"/>
      <c r="IU13" s="158"/>
      <c r="IV13" s="158"/>
    </row>
    <row r="14" spans="1:256" s="203" customFormat="1" ht="31.5" customHeight="1" thickTop="1" thickBot="1">
      <c r="A14" s="216"/>
      <c r="B14" s="199">
        <v>4350</v>
      </c>
      <c r="C14" s="200">
        <v>1920</v>
      </c>
      <c r="D14" s="200">
        <v>1920</v>
      </c>
      <c r="E14" s="200">
        <v>1700</v>
      </c>
      <c r="F14" s="200">
        <v>1920</v>
      </c>
      <c r="G14" s="200">
        <v>1920</v>
      </c>
      <c r="H14" s="200">
        <v>3720</v>
      </c>
      <c r="I14" s="200">
        <v>4500</v>
      </c>
      <c r="J14" s="200">
        <v>4500</v>
      </c>
      <c r="K14" s="200">
        <v>3720</v>
      </c>
      <c r="L14" s="200">
        <v>1700</v>
      </c>
      <c r="M14" s="200">
        <v>13500</v>
      </c>
      <c r="N14" s="200">
        <v>2700</v>
      </c>
      <c r="O14" s="200">
        <v>2700</v>
      </c>
      <c r="P14" s="200">
        <v>2700</v>
      </c>
      <c r="Q14" s="200">
        <v>2700</v>
      </c>
      <c r="R14" s="200"/>
      <c r="S14" s="200">
        <v>9600</v>
      </c>
      <c r="T14" s="200">
        <v>9600</v>
      </c>
      <c r="U14" s="200">
        <v>9600</v>
      </c>
      <c r="V14" s="200">
        <v>9600</v>
      </c>
      <c r="W14" s="200"/>
      <c r="X14" s="200">
        <f>280*6</f>
        <v>1680</v>
      </c>
      <c r="Y14" s="200">
        <v>1800</v>
      </c>
      <c r="Z14" s="200">
        <v>1500</v>
      </c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1"/>
      <c r="BK14" s="201"/>
      <c r="BL14" s="201"/>
      <c r="BM14" s="201"/>
      <c r="BN14" s="201"/>
      <c r="BO14" s="201"/>
      <c r="BP14" s="201"/>
      <c r="BQ14" s="200"/>
      <c r="BR14" s="200"/>
      <c r="BS14" s="200"/>
      <c r="BT14" s="200"/>
      <c r="BU14" s="200"/>
      <c r="BV14" s="200"/>
      <c r="BW14" s="200"/>
      <c r="BX14" s="200"/>
      <c r="BY14" s="200"/>
      <c r="BZ14" s="200"/>
      <c r="CA14" s="200"/>
      <c r="CB14" s="200"/>
      <c r="CC14" s="200"/>
      <c r="CD14" s="200"/>
      <c r="CE14" s="200"/>
      <c r="CF14" s="200"/>
      <c r="CG14" s="200"/>
      <c r="CH14" s="200"/>
      <c r="CI14" s="200"/>
      <c r="CJ14" s="200"/>
      <c r="CK14" s="202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8"/>
      <c r="EC14" s="158"/>
      <c r="ED14" s="158"/>
      <c r="EE14" s="158"/>
      <c r="EF14" s="158"/>
      <c r="EG14" s="158"/>
      <c r="EH14" s="158"/>
      <c r="EI14" s="158"/>
      <c r="EJ14" s="158"/>
      <c r="EK14" s="158"/>
      <c r="EL14" s="158"/>
      <c r="EM14" s="158"/>
      <c r="EN14" s="158"/>
      <c r="EO14" s="158"/>
      <c r="EP14" s="158"/>
      <c r="EQ14" s="158"/>
      <c r="ER14" s="158"/>
      <c r="ES14" s="158"/>
      <c r="ET14" s="158"/>
      <c r="EU14" s="158"/>
      <c r="EV14" s="158"/>
      <c r="EW14" s="158"/>
      <c r="EX14" s="158"/>
      <c r="EY14" s="158"/>
      <c r="EZ14" s="158"/>
      <c r="FA14" s="158"/>
      <c r="FB14" s="158"/>
      <c r="FC14" s="158"/>
      <c r="FD14" s="158"/>
      <c r="FE14" s="158"/>
      <c r="FF14" s="158"/>
      <c r="FG14" s="158"/>
      <c r="FH14" s="158"/>
      <c r="FI14" s="158"/>
      <c r="FJ14" s="158"/>
      <c r="FK14" s="158"/>
      <c r="FL14" s="158"/>
      <c r="FM14" s="158"/>
      <c r="FN14" s="158"/>
      <c r="FO14" s="158"/>
      <c r="FP14" s="158"/>
      <c r="FQ14" s="158"/>
      <c r="FR14" s="158"/>
      <c r="FS14" s="158"/>
      <c r="FT14" s="158"/>
      <c r="FU14" s="158"/>
      <c r="FV14" s="158"/>
      <c r="FW14" s="158"/>
      <c r="FX14" s="158"/>
      <c r="FY14" s="158"/>
      <c r="FZ14" s="158"/>
      <c r="GA14" s="158"/>
      <c r="GB14" s="158"/>
      <c r="GC14" s="158"/>
      <c r="GD14" s="158"/>
      <c r="GE14" s="158"/>
      <c r="GF14" s="158"/>
      <c r="GG14" s="158"/>
      <c r="GH14" s="158"/>
      <c r="GI14" s="158"/>
      <c r="GJ14" s="158"/>
      <c r="GK14" s="158"/>
      <c r="GL14" s="158"/>
      <c r="GM14" s="158"/>
      <c r="GN14" s="158"/>
      <c r="GO14" s="158"/>
      <c r="GP14" s="158"/>
      <c r="GQ14" s="158"/>
      <c r="GR14" s="158"/>
      <c r="GS14" s="158"/>
      <c r="GT14" s="158"/>
      <c r="GU14" s="158"/>
      <c r="GV14" s="158"/>
      <c r="GW14" s="158"/>
      <c r="GX14" s="158"/>
      <c r="GY14" s="158"/>
      <c r="GZ14" s="158"/>
      <c r="HA14" s="158"/>
      <c r="HB14" s="158"/>
      <c r="HC14" s="158"/>
      <c r="HD14" s="158"/>
      <c r="HE14" s="158"/>
      <c r="HF14" s="158"/>
      <c r="HG14" s="158"/>
      <c r="HH14" s="158"/>
      <c r="HI14" s="158"/>
      <c r="HJ14" s="158"/>
      <c r="HK14" s="158"/>
      <c r="HL14" s="158"/>
      <c r="HM14" s="158"/>
      <c r="HN14" s="158"/>
      <c r="HO14" s="158"/>
      <c r="HP14" s="158"/>
      <c r="HQ14" s="158"/>
      <c r="HR14" s="158"/>
      <c r="HS14" s="158"/>
      <c r="HT14" s="158"/>
      <c r="HU14" s="158"/>
      <c r="HV14" s="158"/>
      <c r="HW14" s="158"/>
      <c r="HX14" s="158"/>
      <c r="HY14" s="158"/>
      <c r="HZ14" s="158"/>
      <c r="IA14" s="158"/>
      <c r="IB14" s="158"/>
      <c r="IC14" s="158"/>
      <c r="ID14" s="158"/>
      <c r="IE14" s="158"/>
      <c r="IF14" s="158"/>
      <c r="IG14" s="158"/>
      <c r="IH14" s="158"/>
      <c r="II14" s="158"/>
      <c r="IJ14" s="158"/>
      <c r="IK14" s="158"/>
      <c r="IL14" s="158"/>
      <c r="IM14" s="158"/>
      <c r="IN14" s="158"/>
      <c r="IO14" s="158"/>
      <c r="IP14" s="158"/>
      <c r="IQ14" s="158"/>
      <c r="IR14" s="158"/>
      <c r="IS14" s="158"/>
      <c r="IT14" s="158"/>
      <c r="IU14" s="158"/>
      <c r="IV14" s="158"/>
    </row>
    <row r="15" spans="1:256" s="209" customFormat="1" ht="31.5" customHeight="1" thickTop="1" thickBot="1">
      <c r="A15" s="217" t="s">
        <v>1006</v>
      </c>
      <c r="B15" s="204"/>
      <c r="C15" s="204">
        <v>9477</v>
      </c>
      <c r="D15" s="204"/>
      <c r="E15" s="204">
        <v>5770</v>
      </c>
      <c r="F15" s="204">
        <v>6270</v>
      </c>
      <c r="G15" s="204">
        <v>5091</v>
      </c>
      <c r="H15" s="204">
        <v>9968</v>
      </c>
      <c r="I15" s="204">
        <v>5092</v>
      </c>
      <c r="J15" s="204" t="s">
        <v>1106</v>
      </c>
      <c r="K15" s="204" t="s">
        <v>1107</v>
      </c>
      <c r="L15" s="204">
        <v>1404</v>
      </c>
      <c r="M15" s="204" t="s">
        <v>1108</v>
      </c>
      <c r="N15" s="205" t="s">
        <v>1109</v>
      </c>
      <c r="O15" s="205" t="s">
        <v>1110</v>
      </c>
      <c r="P15" s="205" t="s">
        <v>1111</v>
      </c>
      <c r="Q15" s="205" t="s">
        <v>1112</v>
      </c>
      <c r="R15" s="205" t="s">
        <v>1113</v>
      </c>
      <c r="S15" s="205" t="s">
        <v>1114</v>
      </c>
      <c r="T15" s="205" t="s">
        <v>1115</v>
      </c>
      <c r="U15" s="205" t="s">
        <v>1116</v>
      </c>
      <c r="V15" s="205" t="s">
        <v>1117</v>
      </c>
      <c r="W15" s="205" t="s">
        <v>1118</v>
      </c>
      <c r="X15" s="205" t="s">
        <v>1119</v>
      </c>
      <c r="Y15" s="205" t="s">
        <v>1120</v>
      </c>
      <c r="Z15" s="205" t="s">
        <v>1121</v>
      </c>
      <c r="AA15" s="205" t="s">
        <v>1122</v>
      </c>
      <c r="AB15" s="205" t="s">
        <v>1123</v>
      </c>
      <c r="AC15" s="205">
        <v>6240</v>
      </c>
      <c r="AD15" s="205" t="s">
        <v>1124</v>
      </c>
      <c r="AE15" s="205" t="s">
        <v>1125</v>
      </c>
      <c r="AF15" s="205" t="s">
        <v>1126</v>
      </c>
      <c r="AG15" s="205"/>
      <c r="AH15" s="205"/>
      <c r="AI15" s="204"/>
      <c r="AJ15" s="204"/>
      <c r="AK15" s="204"/>
      <c r="AL15" s="204"/>
      <c r="AM15" s="204">
        <v>6491</v>
      </c>
      <c r="AN15" s="204" t="s">
        <v>1127</v>
      </c>
      <c r="AO15" s="204" t="s">
        <v>1128</v>
      </c>
      <c r="AP15" s="204"/>
      <c r="AQ15" s="204"/>
      <c r="AR15" s="204" t="s">
        <v>1129</v>
      </c>
      <c r="AS15" s="206"/>
      <c r="AT15" s="204" t="s">
        <v>1130</v>
      </c>
      <c r="AU15" s="204"/>
      <c r="AV15" s="204" t="s">
        <v>1131</v>
      </c>
      <c r="AW15" s="204" t="s">
        <v>1132</v>
      </c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7">
        <v>2421</v>
      </c>
      <c r="BK15" s="207">
        <v>2431</v>
      </c>
      <c r="BL15" s="207"/>
      <c r="BM15" s="207"/>
      <c r="BN15" s="207"/>
      <c r="BO15" s="207"/>
      <c r="BP15" s="207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4"/>
      <c r="CH15" s="204"/>
      <c r="CI15" s="204"/>
      <c r="CJ15" s="204"/>
      <c r="CK15" s="20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8"/>
      <c r="EC15" s="158"/>
      <c r="ED15" s="158"/>
      <c r="EE15" s="158"/>
      <c r="EF15" s="158"/>
      <c r="EG15" s="158"/>
      <c r="EH15" s="158"/>
      <c r="EI15" s="158"/>
      <c r="EJ15" s="158"/>
      <c r="EK15" s="158"/>
      <c r="EL15" s="158"/>
      <c r="EM15" s="158"/>
      <c r="EN15" s="158"/>
      <c r="EO15" s="158"/>
      <c r="EP15" s="158"/>
      <c r="EQ15" s="158"/>
      <c r="ER15" s="158"/>
      <c r="ES15" s="158"/>
      <c r="ET15" s="158"/>
      <c r="EU15" s="158"/>
      <c r="EV15" s="158"/>
      <c r="EW15" s="158"/>
      <c r="EX15" s="158"/>
      <c r="EY15" s="158"/>
      <c r="EZ15" s="158"/>
      <c r="FA15" s="158"/>
      <c r="FB15" s="158"/>
      <c r="FC15" s="158"/>
      <c r="FD15" s="158"/>
      <c r="FE15" s="158"/>
      <c r="FF15" s="158"/>
      <c r="FG15" s="158"/>
      <c r="FH15" s="158"/>
      <c r="FI15" s="158"/>
      <c r="FJ15" s="158"/>
      <c r="FK15" s="158"/>
      <c r="FL15" s="158"/>
      <c r="FM15" s="158"/>
      <c r="FN15" s="158"/>
      <c r="FO15" s="158"/>
      <c r="FP15" s="158"/>
      <c r="FQ15" s="158"/>
      <c r="FR15" s="158"/>
      <c r="FS15" s="158"/>
      <c r="FT15" s="158"/>
      <c r="FU15" s="158"/>
      <c r="FV15" s="158"/>
      <c r="FW15" s="158"/>
      <c r="FX15" s="158"/>
      <c r="FY15" s="158"/>
      <c r="FZ15" s="158"/>
      <c r="GA15" s="158"/>
      <c r="GB15" s="158"/>
      <c r="GC15" s="158"/>
      <c r="GD15" s="158"/>
      <c r="GE15" s="158"/>
      <c r="GF15" s="158"/>
      <c r="GG15" s="158"/>
      <c r="GH15" s="158"/>
      <c r="GI15" s="158"/>
      <c r="GJ15" s="158"/>
      <c r="GK15" s="158"/>
      <c r="GL15" s="158"/>
      <c r="GM15" s="158"/>
      <c r="GN15" s="158"/>
      <c r="GO15" s="158"/>
      <c r="GP15" s="158"/>
      <c r="GQ15" s="158"/>
      <c r="GR15" s="158"/>
      <c r="GS15" s="158"/>
      <c r="GT15" s="158"/>
      <c r="GU15" s="158"/>
      <c r="GV15" s="158"/>
      <c r="GW15" s="158"/>
      <c r="GX15" s="158"/>
      <c r="GY15" s="158"/>
      <c r="GZ15" s="158"/>
      <c r="HA15" s="158"/>
      <c r="HB15" s="158"/>
      <c r="HC15" s="158"/>
      <c r="HD15" s="158"/>
      <c r="HE15" s="158"/>
      <c r="HF15" s="158"/>
      <c r="HG15" s="158"/>
      <c r="HH15" s="158"/>
      <c r="HI15" s="158"/>
      <c r="HJ15" s="158"/>
      <c r="HK15" s="158"/>
      <c r="HL15" s="158"/>
      <c r="HM15" s="158"/>
      <c r="HN15" s="158"/>
      <c r="HO15" s="158"/>
      <c r="HP15" s="158"/>
      <c r="HQ15" s="158"/>
      <c r="HR15" s="158"/>
      <c r="HS15" s="158"/>
      <c r="HT15" s="158"/>
      <c r="HU15" s="158"/>
      <c r="HV15" s="158"/>
      <c r="HW15" s="158"/>
      <c r="HX15" s="158"/>
      <c r="HY15" s="158"/>
      <c r="HZ15" s="158"/>
      <c r="IA15" s="158"/>
      <c r="IB15" s="158"/>
      <c r="IC15" s="158"/>
      <c r="ID15" s="158"/>
      <c r="IE15" s="158"/>
      <c r="IF15" s="158"/>
      <c r="IG15" s="158"/>
      <c r="IH15" s="158"/>
      <c r="II15" s="158"/>
      <c r="IJ15" s="158"/>
      <c r="IK15" s="158"/>
      <c r="IL15" s="158"/>
      <c r="IM15" s="158"/>
      <c r="IN15" s="158"/>
      <c r="IO15" s="158"/>
      <c r="IP15" s="158"/>
      <c r="IQ15" s="158"/>
      <c r="IR15" s="158"/>
      <c r="IS15" s="158"/>
      <c r="IT15" s="158"/>
      <c r="IU15" s="158"/>
      <c r="IV15" s="158"/>
    </row>
    <row r="16" spans="1:256" s="209" customFormat="1" ht="31.5" customHeight="1" thickTop="1" thickBot="1">
      <c r="A16" s="216"/>
      <c r="B16" s="204"/>
      <c r="C16" s="204">
        <f>525+80</f>
        <v>605</v>
      </c>
      <c r="D16" s="204"/>
      <c r="E16" s="204">
        <f>525+80</f>
        <v>605</v>
      </c>
      <c r="F16" s="204">
        <f>525+80</f>
        <v>605</v>
      </c>
      <c r="G16" s="204">
        <v>600</v>
      </c>
      <c r="H16" s="204">
        <v>605</v>
      </c>
      <c r="I16" s="204">
        <v>36</v>
      </c>
      <c r="J16" s="204">
        <v>216</v>
      </c>
      <c r="K16" s="204">
        <v>20000</v>
      </c>
      <c r="L16" s="204">
        <v>350</v>
      </c>
      <c r="M16" s="204">
        <v>600</v>
      </c>
      <c r="N16" s="205">
        <v>1000</v>
      </c>
      <c r="O16" s="205">
        <v>1000</v>
      </c>
      <c r="P16" s="205">
        <v>470</v>
      </c>
      <c r="Q16" s="205">
        <v>470</v>
      </c>
      <c r="R16" s="205">
        <v>470</v>
      </c>
      <c r="S16" s="205">
        <v>470</v>
      </c>
      <c r="T16" s="205">
        <v>1500</v>
      </c>
      <c r="U16" s="205">
        <v>1100</v>
      </c>
      <c r="V16" s="205">
        <v>1400</v>
      </c>
      <c r="W16" s="205">
        <v>1450</v>
      </c>
      <c r="X16" s="205">
        <v>1450</v>
      </c>
      <c r="Y16" s="205">
        <v>1000</v>
      </c>
      <c r="Z16" s="205">
        <v>1000</v>
      </c>
      <c r="AA16" s="205">
        <v>1450</v>
      </c>
      <c r="AB16" s="205">
        <v>450</v>
      </c>
      <c r="AC16" s="205">
        <v>420</v>
      </c>
      <c r="AD16" s="205">
        <v>200</v>
      </c>
      <c r="AE16" s="205">
        <v>1100</v>
      </c>
      <c r="AF16" s="205">
        <v>1100</v>
      </c>
      <c r="AG16" s="205"/>
      <c r="AH16" s="205"/>
      <c r="AI16" s="204"/>
      <c r="AJ16" s="204"/>
      <c r="AK16" s="204"/>
      <c r="AL16" s="204"/>
      <c r="AM16" s="204">
        <v>600</v>
      </c>
      <c r="AN16" s="204">
        <v>1450</v>
      </c>
      <c r="AO16" s="204">
        <v>30000</v>
      </c>
      <c r="AP16" s="204"/>
      <c r="AQ16" s="204"/>
      <c r="AR16" s="204">
        <v>15000</v>
      </c>
      <c r="AS16" s="206"/>
      <c r="AT16" s="204">
        <v>6000</v>
      </c>
      <c r="AU16" s="204"/>
      <c r="AV16" s="204">
        <v>750</v>
      </c>
      <c r="AW16" s="204">
        <v>5500</v>
      </c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7">
        <v>160</v>
      </c>
      <c r="BK16" s="207">
        <v>250</v>
      </c>
      <c r="BL16" s="207"/>
      <c r="BM16" s="207"/>
      <c r="BN16" s="207"/>
      <c r="BO16" s="207"/>
      <c r="BP16" s="207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4"/>
      <c r="CH16" s="204"/>
      <c r="CI16" s="204"/>
      <c r="CJ16" s="204"/>
      <c r="CK16" s="20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58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8"/>
      <c r="EC16" s="158"/>
      <c r="ED16" s="158"/>
      <c r="EE16" s="158"/>
      <c r="EF16" s="158"/>
      <c r="EG16" s="158"/>
      <c r="EH16" s="158"/>
      <c r="EI16" s="158"/>
      <c r="EJ16" s="158"/>
      <c r="EK16" s="158"/>
      <c r="EL16" s="158"/>
      <c r="EM16" s="158"/>
      <c r="EN16" s="158"/>
      <c r="EO16" s="158"/>
      <c r="EP16" s="158"/>
      <c r="EQ16" s="158"/>
      <c r="ER16" s="158"/>
      <c r="ES16" s="158"/>
      <c r="ET16" s="158"/>
      <c r="EU16" s="158"/>
      <c r="EV16" s="158"/>
      <c r="EW16" s="158"/>
      <c r="EX16" s="158"/>
      <c r="EY16" s="158"/>
      <c r="EZ16" s="158"/>
      <c r="FA16" s="158"/>
      <c r="FB16" s="158"/>
      <c r="FC16" s="158"/>
      <c r="FD16" s="158"/>
      <c r="FE16" s="158"/>
      <c r="FF16" s="158"/>
      <c r="FG16" s="158"/>
      <c r="FH16" s="158"/>
      <c r="FI16" s="158"/>
      <c r="FJ16" s="158"/>
      <c r="FK16" s="158"/>
      <c r="FL16" s="158"/>
      <c r="FM16" s="158"/>
      <c r="FN16" s="158"/>
      <c r="FO16" s="158"/>
      <c r="FP16" s="158"/>
      <c r="FQ16" s="158"/>
      <c r="FR16" s="158"/>
      <c r="FS16" s="158"/>
      <c r="FT16" s="158"/>
      <c r="FU16" s="158"/>
      <c r="FV16" s="158"/>
      <c r="FW16" s="158"/>
      <c r="FX16" s="158"/>
      <c r="FY16" s="158"/>
      <c r="FZ16" s="158"/>
      <c r="GA16" s="158"/>
      <c r="GB16" s="158"/>
      <c r="GC16" s="158"/>
      <c r="GD16" s="158"/>
      <c r="GE16" s="158"/>
      <c r="GF16" s="158"/>
      <c r="GG16" s="158"/>
      <c r="GH16" s="158"/>
      <c r="GI16" s="158"/>
      <c r="GJ16" s="158"/>
      <c r="GK16" s="158"/>
      <c r="GL16" s="158"/>
      <c r="GM16" s="158"/>
      <c r="GN16" s="158"/>
      <c r="GO16" s="158"/>
      <c r="GP16" s="158"/>
      <c r="GQ16" s="158"/>
      <c r="GR16" s="158"/>
      <c r="GS16" s="158"/>
      <c r="GT16" s="158"/>
      <c r="GU16" s="158"/>
      <c r="GV16" s="158"/>
      <c r="GW16" s="158"/>
      <c r="GX16" s="158"/>
      <c r="GY16" s="158"/>
      <c r="GZ16" s="158"/>
      <c r="HA16" s="158"/>
      <c r="HB16" s="158"/>
      <c r="HC16" s="158"/>
      <c r="HD16" s="158"/>
      <c r="HE16" s="158"/>
      <c r="HF16" s="158"/>
      <c r="HG16" s="158"/>
      <c r="HH16" s="158"/>
      <c r="HI16" s="158"/>
      <c r="HJ16" s="158"/>
      <c r="HK16" s="158"/>
      <c r="HL16" s="158"/>
      <c r="HM16" s="158"/>
      <c r="HN16" s="158"/>
      <c r="HO16" s="158"/>
      <c r="HP16" s="158"/>
      <c r="HQ16" s="158"/>
      <c r="HR16" s="158"/>
      <c r="HS16" s="158"/>
      <c r="HT16" s="158"/>
      <c r="HU16" s="158"/>
      <c r="HV16" s="158"/>
      <c r="HW16" s="158"/>
      <c r="HX16" s="158"/>
      <c r="HY16" s="158"/>
      <c r="HZ16" s="158"/>
      <c r="IA16" s="158"/>
      <c r="IB16" s="158"/>
      <c r="IC16" s="158"/>
      <c r="ID16" s="158"/>
      <c r="IE16" s="158"/>
      <c r="IF16" s="158"/>
      <c r="IG16" s="158"/>
      <c r="IH16" s="158"/>
      <c r="II16" s="158"/>
      <c r="IJ16" s="158"/>
      <c r="IK16" s="158"/>
      <c r="IL16" s="158"/>
      <c r="IM16" s="158"/>
      <c r="IN16" s="158"/>
      <c r="IO16" s="158"/>
      <c r="IP16" s="158"/>
      <c r="IQ16" s="158"/>
      <c r="IR16" s="158"/>
      <c r="IS16" s="158"/>
      <c r="IT16" s="158"/>
      <c r="IU16" s="158"/>
      <c r="IV16" s="158"/>
    </row>
    <row r="17" spans="1:256" s="210" customFormat="1" ht="31.5" customHeight="1" thickTop="1" thickBot="1">
      <c r="A17" s="215" t="s">
        <v>895</v>
      </c>
      <c r="B17" s="199" t="s">
        <v>1133</v>
      </c>
      <c r="C17" s="200" t="s">
        <v>1134</v>
      </c>
      <c r="D17" s="200" t="s">
        <v>1135</v>
      </c>
      <c r="E17" s="200" t="s">
        <v>1136</v>
      </c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>
        <v>950</v>
      </c>
      <c r="W17" s="200"/>
      <c r="X17" s="200" t="s">
        <v>1137</v>
      </c>
      <c r="Y17" s="200" t="s">
        <v>1138</v>
      </c>
      <c r="Z17" s="200" t="s">
        <v>1139</v>
      </c>
      <c r="AA17" s="200" t="s">
        <v>1140</v>
      </c>
      <c r="AB17" s="200"/>
      <c r="AC17" s="200"/>
      <c r="AD17" s="200"/>
      <c r="AE17" s="200"/>
      <c r="AF17" s="200"/>
      <c r="AG17" s="200"/>
      <c r="AZ17" s="200"/>
      <c r="BA17" s="200"/>
      <c r="BB17" s="200"/>
      <c r="BC17" s="200"/>
      <c r="BD17" s="200"/>
      <c r="BE17" s="200"/>
      <c r="BF17" s="200"/>
      <c r="BG17" s="200" t="s">
        <v>1141</v>
      </c>
      <c r="BH17" s="200" t="s">
        <v>1142</v>
      </c>
      <c r="BI17" s="200" t="s">
        <v>1143</v>
      </c>
      <c r="BJ17" s="200" t="s">
        <v>1144</v>
      </c>
      <c r="BK17" s="200" t="s">
        <v>1145</v>
      </c>
      <c r="BL17" s="200" t="s">
        <v>1146</v>
      </c>
      <c r="BM17" s="200" t="s">
        <v>1147</v>
      </c>
      <c r="BN17" s="200" t="s">
        <v>1148</v>
      </c>
      <c r="BO17" s="200"/>
      <c r="BP17" s="200"/>
      <c r="BQ17" s="200"/>
      <c r="BR17" s="200"/>
      <c r="BS17" s="200"/>
      <c r="BT17" s="200"/>
      <c r="BU17" s="200"/>
      <c r="BV17" s="200"/>
      <c r="BW17" s="200"/>
      <c r="BX17" s="200"/>
      <c r="BY17" s="200"/>
      <c r="BZ17" s="200"/>
      <c r="CA17" s="200"/>
      <c r="CB17" s="200"/>
      <c r="CC17" s="200"/>
      <c r="CD17" s="200"/>
      <c r="CE17" s="200"/>
      <c r="CF17" s="200"/>
      <c r="CG17" s="200"/>
      <c r="CH17" s="200"/>
      <c r="CI17" s="200"/>
      <c r="CJ17" s="200"/>
      <c r="CK17" s="202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58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8"/>
      <c r="EC17" s="158"/>
      <c r="ED17" s="158"/>
      <c r="EE17" s="158"/>
      <c r="EF17" s="158"/>
      <c r="EG17" s="158"/>
      <c r="EH17" s="158"/>
      <c r="EI17" s="158"/>
      <c r="EJ17" s="158"/>
      <c r="EK17" s="158"/>
      <c r="EL17" s="158"/>
      <c r="EM17" s="158"/>
      <c r="EN17" s="158"/>
      <c r="EO17" s="158"/>
      <c r="EP17" s="158"/>
      <c r="EQ17" s="158"/>
      <c r="ER17" s="158"/>
      <c r="ES17" s="158"/>
      <c r="ET17" s="158"/>
      <c r="EU17" s="158"/>
      <c r="EV17" s="158"/>
      <c r="EW17" s="158"/>
      <c r="EX17" s="158"/>
      <c r="EY17" s="158"/>
      <c r="EZ17" s="158"/>
      <c r="FA17" s="158"/>
      <c r="FB17" s="158"/>
      <c r="FC17" s="158"/>
      <c r="FD17" s="158"/>
      <c r="FE17" s="158"/>
      <c r="FF17" s="158"/>
      <c r="FG17" s="158"/>
      <c r="FH17" s="158"/>
      <c r="FI17" s="158"/>
      <c r="FJ17" s="158"/>
      <c r="FK17" s="158"/>
      <c r="FL17" s="158"/>
      <c r="FM17" s="158"/>
      <c r="FN17" s="158"/>
      <c r="FO17" s="158"/>
      <c r="FP17" s="158"/>
      <c r="FQ17" s="158"/>
      <c r="FR17" s="158"/>
      <c r="FS17" s="158"/>
      <c r="FT17" s="158"/>
      <c r="FU17" s="158"/>
      <c r="FV17" s="158"/>
      <c r="FW17" s="158"/>
      <c r="FX17" s="158"/>
      <c r="FY17" s="158"/>
      <c r="FZ17" s="158"/>
      <c r="GA17" s="158"/>
      <c r="GB17" s="158"/>
      <c r="GC17" s="158"/>
      <c r="GD17" s="158"/>
      <c r="GE17" s="158"/>
      <c r="GF17" s="158"/>
      <c r="GG17" s="158"/>
      <c r="GH17" s="158"/>
      <c r="GI17" s="158"/>
      <c r="GJ17" s="158"/>
      <c r="GK17" s="158"/>
      <c r="GL17" s="158"/>
      <c r="GM17" s="158"/>
      <c r="GN17" s="158"/>
      <c r="GO17" s="158"/>
      <c r="GP17" s="158"/>
      <c r="GQ17" s="158"/>
      <c r="GR17" s="158"/>
      <c r="GS17" s="158"/>
      <c r="GT17" s="158"/>
      <c r="GU17" s="158"/>
      <c r="GV17" s="158"/>
      <c r="GW17" s="158"/>
      <c r="GX17" s="158"/>
      <c r="GY17" s="158"/>
      <c r="GZ17" s="158"/>
      <c r="HA17" s="158"/>
      <c r="HB17" s="158"/>
      <c r="HC17" s="158"/>
      <c r="HD17" s="158"/>
      <c r="HE17" s="158"/>
      <c r="HF17" s="158"/>
      <c r="HG17" s="158"/>
      <c r="HH17" s="158"/>
      <c r="HI17" s="158"/>
      <c r="HJ17" s="158"/>
      <c r="HK17" s="158"/>
      <c r="HL17" s="158"/>
      <c r="HM17" s="158"/>
      <c r="HN17" s="158"/>
      <c r="HO17" s="158"/>
      <c r="HP17" s="158"/>
      <c r="HQ17" s="158"/>
      <c r="HR17" s="158"/>
      <c r="HS17" s="158"/>
      <c r="HT17" s="158"/>
      <c r="HU17" s="158"/>
      <c r="HV17" s="158"/>
      <c r="HW17" s="158"/>
      <c r="HX17" s="158"/>
      <c r="HY17" s="158"/>
      <c r="HZ17" s="158"/>
      <c r="IA17" s="158"/>
      <c r="IB17" s="158"/>
      <c r="IC17" s="158"/>
      <c r="ID17" s="158"/>
      <c r="IE17" s="158"/>
      <c r="IF17" s="158"/>
      <c r="IG17" s="158"/>
      <c r="IH17" s="158"/>
      <c r="II17" s="158"/>
      <c r="IJ17" s="158"/>
      <c r="IK17" s="158"/>
      <c r="IL17" s="158"/>
      <c r="IM17" s="158"/>
      <c r="IN17" s="158"/>
      <c r="IO17" s="158"/>
      <c r="IP17" s="158"/>
      <c r="IQ17" s="158"/>
      <c r="IR17" s="158"/>
      <c r="IS17" s="158"/>
      <c r="IT17" s="158"/>
      <c r="IU17" s="158"/>
      <c r="IV17" s="158"/>
    </row>
    <row r="18" spans="1:256" s="210" customFormat="1" ht="31.5" customHeight="1" thickTop="1" thickBot="1">
      <c r="A18" s="216"/>
      <c r="B18" s="211">
        <v>15000</v>
      </c>
      <c r="C18" s="212">
        <v>15000</v>
      </c>
      <c r="D18" s="212">
        <v>15000</v>
      </c>
      <c r="E18" s="212">
        <v>15000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>
        <v>1650</v>
      </c>
      <c r="Y18" s="212">
        <v>1650</v>
      </c>
      <c r="Z18" s="212">
        <v>1300</v>
      </c>
      <c r="AA18" s="212">
        <v>1800</v>
      </c>
      <c r="AB18" s="212"/>
      <c r="AC18" s="212"/>
      <c r="AD18" s="212"/>
      <c r="AE18" s="212"/>
      <c r="AF18" s="212"/>
      <c r="AG18" s="212"/>
      <c r="AH18" s="212">
        <f>8000/2</f>
        <v>4000</v>
      </c>
      <c r="AI18" s="212">
        <v>1100</v>
      </c>
      <c r="AJ18" s="212">
        <v>2000</v>
      </c>
      <c r="AK18" s="212">
        <v>3500</v>
      </c>
      <c r="AL18" s="212">
        <v>250</v>
      </c>
      <c r="AM18" s="212">
        <v>8100</v>
      </c>
      <c r="AN18" s="212">
        <v>1200</v>
      </c>
      <c r="AO18" s="212">
        <v>2500</v>
      </c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3"/>
      <c r="BK18" s="213">
        <v>530</v>
      </c>
      <c r="BL18" s="201"/>
      <c r="BM18" s="201"/>
      <c r="BN18" s="213"/>
      <c r="BO18" s="213"/>
      <c r="BP18" s="213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4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58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8"/>
      <c r="EC18" s="158"/>
      <c r="ED18" s="158"/>
      <c r="EE18" s="158"/>
      <c r="EF18" s="158"/>
      <c r="EG18" s="158"/>
      <c r="EH18" s="158"/>
      <c r="EI18" s="158"/>
      <c r="EJ18" s="158"/>
      <c r="EK18" s="158"/>
      <c r="EL18" s="158"/>
      <c r="EM18" s="158"/>
      <c r="EN18" s="158"/>
      <c r="EO18" s="158"/>
      <c r="EP18" s="158"/>
      <c r="EQ18" s="158"/>
      <c r="ER18" s="158"/>
      <c r="ES18" s="158"/>
      <c r="ET18" s="158"/>
      <c r="EU18" s="158"/>
      <c r="EV18" s="158"/>
      <c r="EW18" s="158"/>
      <c r="EX18" s="158"/>
      <c r="EY18" s="158"/>
      <c r="EZ18" s="158"/>
      <c r="FA18" s="158"/>
      <c r="FB18" s="158"/>
      <c r="FC18" s="158"/>
      <c r="FD18" s="158"/>
      <c r="FE18" s="158"/>
      <c r="FF18" s="158"/>
      <c r="FG18" s="158"/>
      <c r="FH18" s="158"/>
      <c r="FI18" s="158"/>
      <c r="FJ18" s="158"/>
      <c r="FK18" s="158"/>
      <c r="FL18" s="158"/>
      <c r="FM18" s="158"/>
      <c r="FN18" s="158"/>
      <c r="FO18" s="158"/>
      <c r="FP18" s="158"/>
      <c r="FQ18" s="158"/>
      <c r="FR18" s="158"/>
      <c r="FS18" s="158"/>
      <c r="FT18" s="158"/>
      <c r="FU18" s="158"/>
      <c r="FV18" s="158"/>
      <c r="FW18" s="158"/>
      <c r="FX18" s="158"/>
      <c r="FY18" s="158"/>
      <c r="FZ18" s="158"/>
      <c r="GA18" s="158"/>
      <c r="GB18" s="158"/>
      <c r="GC18" s="158"/>
      <c r="GD18" s="158"/>
      <c r="GE18" s="158"/>
      <c r="GF18" s="158"/>
      <c r="GG18" s="158"/>
      <c r="GH18" s="158"/>
      <c r="GI18" s="158"/>
      <c r="GJ18" s="158"/>
      <c r="GK18" s="158"/>
      <c r="GL18" s="158"/>
      <c r="GM18" s="158"/>
      <c r="GN18" s="158"/>
      <c r="GO18" s="158"/>
      <c r="GP18" s="158"/>
      <c r="GQ18" s="158"/>
      <c r="GR18" s="158"/>
      <c r="GS18" s="158"/>
      <c r="GT18" s="158"/>
      <c r="GU18" s="158"/>
      <c r="GV18" s="158"/>
      <c r="GW18" s="158"/>
      <c r="GX18" s="158"/>
      <c r="GY18" s="158"/>
      <c r="GZ18" s="158"/>
      <c r="HA18" s="158"/>
      <c r="HB18" s="158"/>
      <c r="HC18" s="158"/>
      <c r="HD18" s="158"/>
      <c r="HE18" s="158"/>
      <c r="HF18" s="158"/>
      <c r="HG18" s="158"/>
      <c r="HH18" s="158"/>
      <c r="HI18" s="158"/>
      <c r="HJ18" s="158"/>
      <c r="HK18" s="158"/>
      <c r="HL18" s="158"/>
      <c r="HM18" s="158"/>
      <c r="HN18" s="158"/>
      <c r="HO18" s="158"/>
      <c r="HP18" s="158"/>
      <c r="HQ18" s="158"/>
      <c r="HR18" s="158"/>
      <c r="HS18" s="158"/>
      <c r="HT18" s="158"/>
      <c r="HU18" s="158"/>
      <c r="HV18" s="158"/>
      <c r="HW18" s="158"/>
      <c r="HX18" s="158"/>
      <c r="HY18" s="158"/>
      <c r="HZ18" s="158"/>
      <c r="IA18" s="158"/>
      <c r="IB18" s="158"/>
      <c r="IC18" s="158"/>
      <c r="ID18" s="158"/>
      <c r="IE18" s="158"/>
      <c r="IF18" s="158"/>
      <c r="IG18" s="158"/>
      <c r="IH18" s="158"/>
      <c r="II18" s="158"/>
      <c r="IJ18" s="158"/>
      <c r="IK18" s="158"/>
      <c r="IL18" s="158"/>
      <c r="IM18" s="158"/>
      <c r="IN18" s="158"/>
      <c r="IO18" s="158"/>
      <c r="IP18" s="158"/>
      <c r="IQ18" s="158"/>
      <c r="IR18" s="158"/>
      <c r="IS18" s="158"/>
      <c r="IT18" s="158"/>
      <c r="IU18" s="158"/>
      <c r="IV18" s="158"/>
    </row>
  </sheetData>
  <mergeCells count="7">
    <mergeCell ref="A17:A18"/>
    <mergeCell ref="A5:A6"/>
    <mergeCell ref="A7:A8"/>
    <mergeCell ref="A9:A10"/>
    <mergeCell ref="A11:A12"/>
    <mergeCell ref="A13:A14"/>
    <mergeCell ref="A15:A1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FDD7-9492-4B87-9E0A-010B94353F64}">
  <dimension ref="B1:X3080"/>
  <sheetViews>
    <sheetView topLeftCell="J220" workbookViewId="0">
      <selection activeCell="Q1" sqref="Q1:R298"/>
    </sheetView>
  </sheetViews>
  <sheetFormatPr defaultRowHeight="15.5"/>
  <cols>
    <col min="2" max="2" width="14.36328125" style="7" customWidth="1"/>
    <col min="3" max="3" width="25.08984375" style="7" customWidth="1"/>
    <col min="5" max="5" width="8.7265625" style="6"/>
    <col min="6" max="6" width="28.54296875" style="5" customWidth="1"/>
    <col min="8" max="8" width="8.7265625" style="1"/>
    <col min="9" max="9" width="28.54296875" style="5" customWidth="1"/>
    <col min="11" max="11" width="14" style="3" customWidth="1"/>
    <col min="12" max="12" width="31.6328125" style="2" customWidth="1"/>
    <col min="14" max="14" width="8.7265625" style="4"/>
    <col min="15" max="15" width="27.7265625" customWidth="1"/>
    <col min="17" max="17" width="13.26953125" style="3" customWidth="1"/>
    <col min="18" max="18" width="28.54296875" style="2" customWidth="1"/>
    <col min="20" max="20" width="8.7265625" style="1"/>
    <col min="21" max="21" width="28.54296875" style="1" customWidth="1"/>
    <col min="23" max="23" width="8.7265625" style="1"/>
    <col min="24" max="24" width="28.54296875" style="1" customWidth="1"/>
  </cols>
  <sheetData>
    <row r="1" spans="2:24">
      <c r="B1" s="155" t="s">
        <v>900</v>
      </c>
      <c r="C1" s="155"/>
      <c r="E1"/>
      <c r="F1" t="s">
        <v>899</v>
      </c>
      <c r="H1"/>
      <c r="I1" t="s">
        <v>898</v>
      </c>
      <c r="K1"/>
      <c r="L1" t="s">
        <v>897</v>
      </c>
      <c r="N1"/>
      <c r="O1" t="s">
        <v>896</v>
      </c>
      <c r="Q1"/>
      <c r="R1" t="s">
        <v>895</v>
      </c>
      <c r="T1"/>
      <c r="U1" t="s">
        <v>894</v>
      </c>
      <c r="W1"/>
      <c r="X1" t="s">
        <v>893</v>
      </c>
    </row>
    <row r="2" spans="2:24">
      <c r="B2" s="154"/>
      <c r="C2" s="154"/>
      <c r="E2"/>
      <c r="F2"/>
      <c r="H2"/>
      <c r="I2"/>
      <c r="K2" s="153"/>
      <c r="L2" s="152"/>
      <c r="N2" s="151"/>
      <c r="O2" s="150"/>
      <c r="Q2" s="149"/>
      <c r="R2" s="148"/>
      <c r="T2"/>
      <c r="U2"/>
      <c r="W2"/>
      <c r="X2"/>
    </row>
    <row r="3" spans="2:24">
      <c r="B3" s="147" t="s">
        <v>890</v>
      </c>
      <c r="C3" s="146" t="s">
        <v>889</v>
      </c>
      <c r="E3"/>
      <c r="F3"/>
      <c r="H3"/>
      <c r="I3"/>
      <c r="K3" s="145" t="s">
        <v>890</v>
      </c>
      <c r="L3" s="144" t="s">
        <v>889</v>
      </c>
      <c r="N3" s="143" t="s">
        <v>890</v>
      </c>
      <c r="O3" s="142" t="s">
        <v>889</v>
      </c>
      <c r="Q3" s="141" t="s">
        <v>890</v>
      </c>
      <c r="R3" s="140" t="s">
        <v>889</v>
      </c>
      <c r="T3"/>
      <c r="U3"/>
      <c r="W3"/>
      <c r="X3"/>
    </row>
    <row r="4" spans="2:24">
      <c r="B4" s="18">
        <v>599</v>
      </c>
      <c r="C4" s="133" t="s">
        <v>887</v>
      </c>
      <c r="E4"/>
      <c r="F4"/>
      <c r="H4"/>
      <c r="I4"/>
      <c r="K4" s="134" t="s">
        <v>888</v>
      </c>
      <c r="L4" s="133" t="s">
        <v>887</v>
      </c>
      <c r="N4" s="81">
        <v>1369</v>
      </c>
      <c r="O4" s="80" t="s">
        <v>552</v>
      </c>
      <c r="Q4" s="78">
        <v>909</v>
      </c>
      <c r="R4" s="13" t="s">
        <v>892</v>
      </c>
      <c r="T4"/>
      <c r="U4"/>
      <c r="W4"/>
      <c r="X4"/>
    </row>
    <row r="5" spans="2:24">
      <c r="B5" s="18">
        <v>1246</v>
      </c>
      <c r="C5" s="133" t="s">
        <v>885</v>
      </c>
      <c r="E5" s="139" t="s">
        <v>890</v>
      </c>
      <c r="F5" s="138" t="s">
        <v>889</v>
      </c>
      <c r="H5" s="137" t="s">
        <v>890</v>
      </c>
      <c r="I5" s="138" t="s">
        <v>889</v>
      </c>
      <c r="K5" s="134">
        <v>1246</v>
      </c>
      <c r="L5" s="133" t="s">
        <v>885</v>
      </c>
      <c r="N5" s="81">
        <v>1733</v>
      </c>
      <c r="O5" s="80" t="s">
        <v>687</v>
      </c>
      <c r="Q5" s="20">
        <v>1020</v>
      </c>
      <c r="R5" s="13" t="s">
        <v>891</v>
      </c>
      <c r="T5" s="137" t="s">
        <v>890</v>
      </c>
      <c r="U5" s="136" t="s">
        <v>889</v>
      </c>
      <c r="W5" s="137" t="s">
        <v>890</v>
      </c>
      <c r="X5" s="136" t="s">
        <v>889</v>
      </c>
    </row>
    <row r="6" spans="2:24">
      <c r="B6" s="20">
        <v>1333</v>
      </c>
      <c r="C6" s="84" t="s">
        <v>242</v>
      </c>
      <c r="E6" s="135" t="s">
        <v>888</v>
      </c>
      <c r="F6" s="133" t="s">
        <v>887</v>
      </c>
      <c r="H6" s="135" t="s">
        <v>888</v>
      </c>
      <c r="I6" s="133" t="s">
        <v>887</v>
      </c>
      <c r="K6" s="20">
        <v>1333</v>
      </c>
      <c r="L6" s="84" t="s">
        <v>242</v>
      </c>
      <c r="N6" s="81">
        <v>2461</v>
      </c>
      <c r="O6" s="80" t="s">
        <v>636</v>
      </c>
      <c r="Q6" s="20">
        <v>1448</v>
      </c>
      <c r="R6" s="13" t="s">
        <v>886</v>
      </c>
      <c r="T6" s="134">
        <v>2763</v>
      </c>
      <c r="U6" s="133" t="s">
        <v>875</v>
      </c>
      <c r="W6" s="134">
        <v>2763</v>
      </c>
      <c r="X6" s="133" t="s">
        <v>875</v>
      </c>
    </row>
    <row r="7" spans="2:24">
      <c r="B7" s="20">
        <v>1476</v>
      </c>
      <c r="C7" s="84" t="s">
        <v>883</v>
      </c>
      <c r="E7" s="134">
        <v>1246</v>
      </c>
      <c r="F7" s="133" t="s">
        <v>885</v>
      </c>
      <c r="H7" s="135">
        <v>1246</v>
      </c>
      <c r="I7" s="133" t="s">
        <v>885</v>
      </c>
      <c r="K7" s="20">
        <v>1448</v>
      </c>
      <c r="L7" s="84" t="s">
        <v>272</v>
      </c>
      <c r="N7" s="81">
        <v>2488</v>
      </c>
      <c r="O7" s="80" t="s">
        <v>635</v>
      </c>
      <c r="Q7" s="78">
        <v>1733</v>
      </c>
      <c r="R7" s="13" t="s">
        <v>687</v>
      </c>
      <c r="T7" s="134">
        <v>3567</v>
      </c>
      <c r="U7" s="133" t="s">
        <v>817</v>
      </c>
      <c r="W7" s="134">
        <v>3567</v>
      </c>
      <c r="X7" s="133" t="s">
        <v>817</v>
      </c>
    </row>
    <row r="8" spans="2:24">
      <c r="B8" s="20">
        <v>1541</v>
      </c>
      <c r="C8" s="102" t="s">
        <v>882</v>
      </c>
      <c r="E8" s="20">
        <v>1333</v>
      </c>
      <c r="F8" s="84" t="s">
        <v>242</v>
      </c>
      <c r="H8" s="20">
        <v>1333</v>
      </c>
      <c r="I8" s="84" t="s">
        <v>242</v>
      </c>
      <c r="K8" s="20">
        <v>1476</v>
      </c>
      <c r="L8" s="102" t="s">
        <v>883</v>
      </c>
      <c r="N8" s="81">
        <v>2625</v>
      </c>
      <c r="O8" s="111" t="s">
        <v>632</v>
      </c>
      <c r="Q8" s="132">
        <v>2030</v>
      </c>
      <c r="R8" s="131" t="s">
        <v>818</v>
      </c>
      <c r="T8" s="18">
        <v>2747</v>
      </c>
      <c r="U8" s="17" t="s">
        <v>877</v>
      </c>
      <c r="W8" s="18">
        <v>2747</v>
      </c>
      <c r="X8" s="17" t="s">
        <v>877</v>
      </c>
    </row>
    <row r="9" spans="2:24">
      <c r="B9" s="20">
        <v>1845</v>
      </c>
      <c r="C9" s="84" t="s">
        <v>881</v>
      </c>
      <c r="E9" s="20">
        <v>1448</v>
      </c>
      <c r="F9" s="84" t="s">
        <v>272</v>
      </c>
      <c r="H9" s="20">
        <v>1448</v>
      </c>
      <c r="I9" s="84" t="s">
        <v>272</v>
      </c>
      <c r="K9" s="20">
        <v>1541</v>
      </c>
      <c r="L9" s="84" t="s">
        <v>882</v>
      </c>
      <c r="N9" s="81">
        <v>3292</v>
      </c>
      <c r="O9" s="127" t="s">
        <v>627</v>
      </c>
      <c r="Q9" s="78">
        <v>2210</v>
      </c>
      <c r="R9" s="13" t="s">
        <v>637</v>
      </c>
      <c r="T9" s="18">
        <v>2798</v>
      </c>
      <c r="U9" s="17" t="s">
        <v>884</v>
      </c>
      <c r="W9" s="18">
        <v>2798</v>
      </c>
      <c r="X9" s="17" t="s">
        <v>884</v>
      </c>
    </row>
    <row r="10" spans="2:24">
      <c r="B10" s="20">
        <v>1850</v>
      </c>
      <c r="C10" s="13" t="s">
        <v>880</v>
      </c>
      <c r="E10" s="20">
        <v>1476</v>
      </c>
      <c r="F10" s="102" t="s">
        <v>883</v>
      </c>
      <c r="H10" s="20">
        <v>1476</v>
      </c>
      <c r="I10" s="102" t="s">
        <v>883</v>
      </c>
      <c r="K10" s="20">
        <v>1845</v>
      </c>
      <c r="L10" s="13" t="s">
        <v>881</v>
      </c>
      <c r="N10" s="81">
        <v>3293</v>
      </c>
      <c r="O10" s="98" t="s">
        <v>625</v>
      </c>
      <c r="Q10" s="78">
        <v>2461</v>
      </c>
      <c r="R10" s="13" t="s">
        <v>636</v>
      </c>
      <c r="T10" s="18">
        <v>3130</v>
      </c>
      <c r="U10" s="17" t="s">
        <v>862</v>
      </c>
      <c r="W10" s="18">
        <v>3130</v>
      </c>
      <c r="X10" s="17" t="s">
        <v>862</v>
      </c>
    </row>
    <row r="11" spans="2:24">
      <c r="B11" s="128">
        <v>2009</v>
      </c>
      <c r="C11" s="84" t="s">
        <v>878</v>
      </c>
      <c r="E11" s="20">
        <v>1541</v>
      </c>
      <c r="F11" s="84" t="s">
        <v>882</v>
      </c>
      <c r="H11" s="20">
        <v>1541</v>
      </c>
      <c r="I11" s="84" t="s">
        <v>882</v>
      </c>
      <c r="K11" s="128">
        <v>1850</v>
      </c>
      <c r="L11" s="84" t="s">
        <v>880</v>
      </c>
      <c r="N11" s="101">
        <v>3305</v>
      </c>
      <c r="O11" s="111" t="s">
        <v>622</v>
      </c>
      <c r="Q11" s="78">
        <v>2488</v>
      </c>
      <c r="R11" s="13" t="s">
        <v>635</v>
      </c>
      <c r="T11" s="20">
        <v>2030</v>
      </c>
      <c r="U11" s="13" t="s">
        <v>818</v>
      </c>
      <c r="W11" s="20">
        <v>2030</v>
      </c>
      <c r="X11" s="13" t="s">
        <v>818</v>
      </c>
    </row>
    <row r="12" spans="2:24">
      <c r="B12" s="20">
        <v>2278</v>
      </c>
      <c r="C12" s="84" t="s">
        <v>250</v>
      </c>
      <c r="E12" s="20">
        <v>1845</v>
      </c>
      <c r="F12" s="13" t="s">
        <v>881</v>
      </c>
      <c r="H12" s="20">
        <v>1845</v>
      </c>
      <c r="I12" s="13" t="s">
        <v>881</v>
      </c>
      <c r="K12" s="20">
        <v>2009</v>
      </c>
      <c r="L12" s="84" t="s">
        <v>878</v>
      </c>
      <c r="N12" s="81">
        <v>3371</v>
      </c>
      <c r="O12" s="80" t="s">
        <v>620</v>
      </c>
      <c r="Q12" s="78">
        <v>2625</v>
      </c>
      <c r="R12" s="13" t="s">
        <v>632</v>
      </c>
      <c r="T12" s="20">
        <v>3302</v>
      </c>
      <c r="U12" s="13" t="s">
        <v>845</v>
      </c>
      <c r="W12" s="20">
        <v>3302</v>
      </c>
      <c r="X12" s="13" t="s">
        <v>845</v>
      </c>
    </row>
    <row r="13" spans="2:24">
      <c r="B13" s="115">
        <v>2374</v>
      </c>
      <c r="C13" s="114" t="s">
        <v>874</v>
      </c>
      <c r="E13" s="128">
        <v>1850</v>
      </c>
      <c r="F13" s="84" t="s">
        <v>880</v>
      </c>
      <c r="H13" s="128">
        <v>1850</v>
      </c>
      <c r="I13" s="84" t="s">
        <v>880</v>
      </c>
      <c r="K13" s="115">
        <v>2278</v>
      </c>
      <c r="L13" s="114" t="s">
        <v>250</v>
      </c>
      <c r="N13" s="81">
        <v>3671</v>
      </c>
      <c r="O13" s="80" t="s">
        <v>615</v>
      </c>
      <c r="Q13" s="78">
        <v>2643</v>
      </c>
      <c r="R13" s="13" t="s">
        <v>879</v>
      </c>
      <c r="T13" s="20">
        <v>3414</v>
      </c>
      <c r="U13" s="78" t="s">
        <v>824</v>
      </c>
      <c r="W13" s="20">
        <v>3414</v>
      </c>
      <c r="X13" s="78" t="s">
        <v>824</v>
      </c>
    </row>
    <row r="14" spans="2:24">
      <c r="B14" s="20">
        <v>2564</v>
      </c>
      <c r="C14" s="13" t="s">
        <v>871</v>
      </c>
      <c r="E14" s="20">
        <v>2009</v>
      </c>
      <c r="F14" s="84" t="s">
        <v>878</v>
      </c>
      <c r="H14" s="20">
        <v>2009</v>
      </c>
      <c r="I14" s="84" t="s">
        <v>878</v>
      </c>
      <c r="K14" s="20">
        <v>2374</v>
      </c>
      <c r="L14" s="13" t="s">
        <v>874</v>
      </c>
      <c r="N14" s="81">
        <v>3743</v>
      </c>
      <c r="O14" s="80" t="s">
        <v>217</v>
      </c>
      <c r="Q14" s="78">
        <v>2747</v>
      </c>
      <c r="R14" s="13" t="s">
        <v>877</v>
      </c>
      <c r="T14" s="20">
        <v>3650</v>
      </c>
      <c r="U14" s="78" t="s">
        <v>809</v>
      </c>
      <c r="W14" s="20">
        <v>3650</v>
      </c>
      <c r="X14" s="78" t="s">
        <v>809</v>
      </c>
    </row>
    <row r="15" spans="2:24">
      <c r="B15" s="18">
        <v>2865</v>
      </c>
      <c r="C15" s="109" t="s">
        <v>867</v>
      </c>
      <c r="E15" s="115">
        <v>2278</v>
      </c>
      <c r="F15" s="114" t="s">
        <v>250</v>
      </c>
      <c r="H15" s="115">
        <v>2278</v>
      </c>
      <c r="I15" s="114" t="s">
        <v>250</v>
      </c>
      <c r="K15" s="20">
        <v>2564</v>
      </c>
      <c r="L15" s="84" t="s">
        <v>871</v>
      </c>
      <c r="N15" s="81">
        <v>3843</v>
      </c>
      <c r="O15" s="111" t="s">
        <v>876</v>
      </c>
      <c r="Q15" s="78">
        <v>2763</v>
      </c>
      <c r="R15" s="13" t="s">
        <v>875</v>
      </c>
      <c r="T15" s="20">
        <v>3875</v>
      </c>
      <c r="U15" s="13" t="s">
        <v>800</v>
      </c>
      <c r="W15" s="20">
        <v>3875</v>
      </c>
      <c r="X15" s="13" t="s">
        <v>800</v>
      </c>
    </row>
    <row r="16" spans="2:24">
      <c r="B16" s="18">
        <v>2959</v>
      </c>
      <c r="C16" s="109" t="s">
        <v>865</v>
      </c>
      <c r="E16" s="20">
        <v>2374</v>
      </c>
      <c r="F16" s="13" t="s">
        <v>874</v>
      </c>
      <c r="H16" s="20">
        <v>2374</v>
      </c>
      <c r="I16" s="13" t="s">
        <v>874</v>
      </c>
      <c r="K16" s="20">
        <v>2865</v>
      </c>
      <c r="L16" s="84" t="s">
        <v>867</v>
      </c>
      <c r="N16" s="81">
        <v>3844</v>
      </c>
      <c r="O16" s="127" t="s">
        <v>873</v>
      </c>
      <c r="Q16" s="78">
        <v>2798</v>
      </c>
      <c r="R16" s="13" t="s">
        <v>872</v>
      </c>
      <c r="T16" s="20">
        <v>3899</v>
      </c>
      <c r="U16" s="13" t="s">
        <v>802</v>
      </c>
      <c r="W16" s="20">
        <v>3899</v>
      </c>
      <c r="X16" s="13" t="s">
        <v>802</v>
      </c>
    </row>
    <row r="17" spans="2:24">
      <c r="B17" s="128">
        <v>3244</v>
      </c>
      <c r="C17" s="102" t="s">
        <v>864</v>
      </c>
      <c r="E17" s="20">
        <v>2564</v>
      </c>
      <c r="F17" s="84" t="s">
        <v>871</v>
      </c>
      <c r="H17" s="20">
        <v>2564</v>
      </c>
      <c r="I17" s="84" t="s">
        <v>871</v>
      </c>
      <c r="K17" s="20">
        <v>2959</v>
      </c>
      <c r="L17" s="84" t="s">
        <v>865</v>
      </c>
      <c r="N17" s="81">
        <v>3863</v>
      </c>
      <c r="O17" s="98" t="s">
        <v>870</v>
      </c>
      <c r="Q17" s="78">
        <v>2804</v>
      </c>
      <c r="R17" s="13" t="s">
        <v>869</v>
      </c>
      <c r="T17" s="20">
        <v>4201</v>
      </c>
      <c r="U17" s="84" t="s">
        <v>868</v>
      </c>
      <c r="W17" s="20">
        <v>4201</v>
      </c>
      <c r="X17" s="84" t="s">
        <v>868</v>
      </c>
    </row>
    <row r="18" spans="2:24">
      <c r="B18" s="18">
        <v>3268</v>
      </c>
      <c r="C18" s="17" t="s">
        <v>860</v>
      </c>
      <c r="E18" s="20">
        <v>2865</v>
      </c>
      <c r="F18" s="84" t="s">
        <v>867</v>
      </c>
      <c r="H18" s="20">
        <v>2865</v>
      </c>
      <c r="I18" s="84" t="s">
        <v>867</v>
      </c>
      <c r="K18" s="128">
        <v>3244</v>
      </c>
      <c r="L18" s="102" t="s">
        <v>864</v>
      </c>
      <c r="N18" s="101">
        <v>3973</v>
      </c>
      <c r="O18" s="111" t="s">
        <v>562</v>
      </c>
      <c r="Q18" s="78">
        <v>2856</v>
      </c>
      <c r="R18" s="13" t="s">
        <v>866</v>
      </c>
      <c r="T18" s="20">
        <v>4144</v>
      </c>
      <c r="U18" s="13" t="s">
        <v>781</v>
      </c>
      <c r="W18" s="20">
        <v>4144</v>
      </c>
      <c r="X18" s="13" t="s">
        <v>781</v>
      </c>
    </row>
    <row r="19" spans="2:24">
      <c r="B19" s="130">
        <v>3277</v>
      </c>
      <c r="C19" s="129" t="s">
        <v>858</v>
      </c>
      <c r="E19" s="20">
        <v>2959</v>
      </c>
      <c r="F19" s="84" t="s">
        <v>865</v>
      </c>
      <c r="H19" s="20">
        <v>2959</v>
      </c>
      <c r="I19" s="84" t="s">
        <v>865</v>
      </c>
      <c r="K19" s="20">
        <v>3268</v>
      </c>
      <c r="L19" s="13" t="s">
        <v>860</v>
      </c>
      <c r="N19" s="81">
        <v>3974</v>
      </c>
      <c r="O19" s="80" t="s">
        <v>675</v>
      </c>
      <c r="Q19" s="78">
        <v>3130</v>
      </c>
      <c r="R19" s="13" t="s">
        <v>862</v>
      </c>
      <c r="T19" s="20">
        <v>4244</v>
      </c>
      <c r="U19" s="13" t="s">
        <v>784</v>
      </c>
      <c r="W19" s="20">
        <v>4244</v>
      </c>
      <c r="X19" s="13" t="s">
        <v>784</v>
      </c>
    </row>
    <row r="20" spans="2:24">
      <c r="B20" s="118">
        <v>3295</v>
      </c>
      <c r="C20" s="102" t="s">
        <v>853</v>
      </c>
      <c r="E20" s="128">
        <v>3244</v>
      </c>
      <c r="F20" s="102" t="s">
        <v>864</v>
      </c>
      <c r="H20" s="128">
        <v>3244</v>
      </c>
      <c r="I20" s="102" t="s">
        <v>864</v>
      </c>
      <c r="K20" s="115">
        <v>3277</v>
      </c>
      <c r="L20" s="114" t="s">
        <v>858</v>
      </c>
      <c r="N20" s="81">
        <v>3985</v>
      </c>
      <c r="O20" s="80" t="s">
        <v>863</v>
      </c>
      <c r="Q20" s="20">
        <v>3130</v>
      </c>
      <c r="R20" s="13" t="s">
        <v>862</v>
      </c>
      <c r="T20" s="20">
        <v>4271</v>
      </c>
      <c r="U20" s="13" t="s">
        <v>861</v>
      </c>
      <c r="W20" s="20">
        <v>4271</v>
      </c>
      <c r="X20" s="13" t="s">
        <v>861</v>
      </c>
    </row>
    <row r="21" spans="2:24">
      <c r="B21" s="20">
        <v>3349</v>
      </c>
      <c r="C21" s="84" t="s">
        <v>850</v>
      </c>
      <c r="E21" s="20">
        <v>3268</v>
      </c>
      <c r="F21" s="13" t="s">
        <v>860</v>
      </c>
      <c r="H21" s="20">
        <v>3268</v>
      </c>
      <c r="I21" s="13" t="s">
        <v>860</v>
      </c>
      <c r="K21" s="118">
        <v>3295</v>
      </c>
      <c r="L21" s="102" t="s">
        <v>853</v>
      </c>
      <c r="N21" s="81">
        <v>4052</v>
      </c>
      <c r="O21" s="80" t="s">
        <v>666</v>
      </c>
      <c r="Q21" s="78">
        <v>3135</v>
      </c>
      <c r="R21" s="13" t="s">
        <v>629</v>
      </c>
      <c r="T21" s="20">
        <v>4301</v>
      </c>
      <c r="U21" s="84" t="s">
        <v>859</v>
      </c>
      <c r="W21" s="20">
        <v>4301</v>
      </c>
      <c r="X21" s="84" t="s">
        <v>859</v>
      </c>
    </row>
    <row r="22" spans="2:24">
      <c r="B22" s="20">
        <v>3351</v>
      </c>
      <c r="C22" s="84" t="s">
        <v>276</v>
      </c>
      <c r="E22" s="115">
        <v>3277</v>
      </c>
      <c r="F22" s="114" t="s">
        <v>858</v>
      </c>
      <c r="H22" s="115">
        <v>3277</v>
      </c>
      <c r="I22" s="114" t="s">
        <v>858</v>
      </c>
      <c r="K22" s="20">
        <v>3349</v>
      </c>
      <c r="L22" s="84" t="s">
        <v>850</v>
      </c>
      <c r="N22" s="81">
        <v>4081</v>
      </c>
      <c r="O22" s="111" t="s">
        <v>857</v>
      </c>
      <c r="Q22" s="78">
        <v>3289</v>
      </c>
      <c r="R22" s="13" t="s">
        <v>856</v>
      </c>
      <c r="T22" s="20">
        <v>4232</v>
      </c>
      <c r="U22" s="84" t="s">
        <v>855</v>
      </c>
      <c r="W22" s="20">
        <v>4232</v>
      </c>
      <c r="X22" s="84" t="s">
        <v>855</v>
      </c>
    </row>
    <row r="23" spans="2:24">
      <c r="B23" s="20">
        <v>3590</v>
      </c>
      <c r="C23" s="84" t="s">
        <v>854</v>
      </c>
      <c r="E23" s="118">
        <v>3295</v>
      </c>
      <c r="F23" s="102" t="s">
        <v>853</v>
      </c>
      <c r="H23" s="118">
        <v>3295</v>
      </c>
      <c r="I23" s="102" t="s">
        <v>853</v>
      </c>
      <c r="K23" s="20">
        <v>3351</v>
      </c>
      <c r="L23" s="84" t="s">
        <v>276</v>
      </c>
      <c r="N23" s="81">
        <v>4097</v>
      </c>
      <c r="O23" s="127" t="s">
        <v>852</v>
      </c>
      <c r="Q23" s="78">
        <v>3292</v>
      </c>
      <c r="R23" s="13" t="s">
        <v>627</v>
      </c>
      <c r="T23" s="20">
        <v>4293</v>
      </c>
      <c r="U23" s="13" t="s">
        <v>851</v>
      </c>
      <c r="W23" s="20">
        <v>4293</v>
      </c>
      <c r="X23" s="13" t="s">
        <v>851</v>
      </c>
    </row>
    <row r="24" spans="2:24">
      <c r="B24" s="20">
        <v>3605</v>
      </c>
      <c r="C24" s="84" t="s">
        <v>846</v>
      </c>
      <c r="E24" s="20">
        <v>3349</v>
      </c>
      <c r="F24" s="84" t="s">
        <v>850</v>
      </c>
      <c r="H24" s="20">
        <v>3349</v>
      </c>
      <c r="I24" s="84" t="s">
        <v>850</v>
      </c>
      <c r="K24" s="20">
        <v>3605</v>
      </c>
      <c r="L24" s="84" t="s">
        <v>846</v>
      </c>
      <c r="N24" s="81">
        <v>4290</v>
      </c>
      <c r="O24" s="98" t="s">
        <v>849</v>
      </c>
      <c r="Q24" s="78">
        <v>3293</v>
      </c>
      <c r="R24" s="13" t="s">
        <v>625</v>
      </c>
      <c r="T24" s="20">
        <v>3693</v>
      </c>
      <c r="U24" s="13" t="s">
        <v>805</v>
      </c>
      <c r="W24" s="20">
        <v>3693</v>
      </c>
      <c r="X24" s="13" t="s">
        <v>805</v>
      </c>
    </row>
    <row r="25" spans="2:24">
      <c r="B25" s="20">
        <v>3606</v>
      </c>
      <c r="C25" s="113" t="s">
        <v>450</v>
      </c>
      <c r="E25" s="20">
        <v>3351</v>
      </c>
      <c r="F25" s="84" t="s">
        <v>276</v>
      </c>
      <c r="H25" s="20">
        <v>3351</v>
      </c>
      <c r="I25" s="84" t="s">
        <v>276</v>
      </c>
      <c r="K25" s="20">
        <v>3606</v>
      </c>
      <c r="L25" s="84" t="s">
        <v>450</v>
      </c>
      <c r="N25" s="101">
        <v>4013</v>
      </c>
      <c r="O25" s="111" t="s">
        <v>848</v>
      </c>
      <c r="Q25" s="78">
        <v>3300</v>
      </c>
      <c r="R25" s="78" t="s">
        <v>847</v>
      </c>
      <c r="T25" s="20">
        <v>4275</v>
      </c>
      <c r="U25" s="84" t="s">
        <v>484</v>
      </c>
      <c r="W25" s="20">
        <v>4275</v>
      </c>
      <c r="X25" s="84" t="s">
        <v>484</v>
      </c>
    </row>
    <row r="26" spans="2:24">
      <c r="B26" s="20">
        <v>3607</v>
      </c>
      <c r="C26" s="13" t="s">
        <v>256</v>
      </c>
      <c r="E26" s="20">
        <v>3605</v>
      </c>
      <c r="F26" s="84" t="s">
        <v>846</v>
      </c>
      <c r="H26" s="20">
        <v>3605</v>
      </c>
      <c r="I26" s="84" t="s">
        <v>846</v>
      </c>
      <c r="K26" s="20">
        <v>3607</v>
      </c>
      <c r="L26" s="113" t="s">
        <v>256</v>
      </c>
      <c r="N26" s="81">
        <v>4313</v>
      </c>
      <c r="O26" s="80" t="s">
        <v>511</v>
      </c>
      <c r="Q26" s="20">
        <v>3302</v>
      </c>
      <c r="R26" s="13" t="s">
        <v>845</v>
      </c>
      <c r="T26" s="20">
        <v>4167</v>
      </c>
      <c r="U26" s="13" t="s">
        <v>844</v>
      </c>
      <c r="W26" s="20">
        <v>4167</v>
      </c>
      <c r="X26" s="13" t="s">
        <v>844</v>
      </c>
    </row>
    <row r="27" spans="2:24">
      <c r="B27" s="20">
        <v>3638</v>
      </c>
      <c r="C27" s="13" t="s">
        <v>841</v>
      </c>
      <c r="E27" s="20">
        <v>3606</v>
      </c>
      <c r="F27" s="84" t="s">
        <v>450</v>
      </c>
      <c r="H27" s="20">
        <v>3606</v>
      </c>
      <c r="I27" s="84" t="s">
        <v>450</v>
      </c>
      <c r="K27" s="20">
        <v>3638</v>
      </c>
      <c r="L27" s="13" t="s">
        <v>841</v>
      </c>
      <c r="N27" s="81">
        <v>562</v>
      </c>
      <c r="O27" s="80" t="s">
        <v>214</v>
      </c>
      <c r="Q27" s="78">
        <v>3305</v>
      </c>
      <c r="R27" s="13" t="s">
        <v>622</v>
      </c>
      <c r="T27" s="20">
        <v>3343</v>
      </c>
      <c r="U27" s="13" t="s">
        <v>843</v>
      </c>
      <c r="W27" s="20">
        <v>3343</v>
      </c>
      <c r="X27" s="13" t="s">
        <v>843</v>
      </c>
    </row>
    <row r="28" spans="2:24">
      <c r="B28" s="20">
        <v>3653</v>
      </c>
      <c r="C28" s="84" t="s">
        <v>838</v>
      </c>
      <c r="E28" s="20">
        <v>3607</v>
      </c>
      <c r="F28" s="113" t="s">
        <v>256</v>
      </c>
      <c r="H28" s="20">
        <v>3607</v>
      </c>
      <c r="I28" s="113" t="s">
        <v>256</v>
      </c>
      <c r="K28" s="20">
        <v>3653</v>
      </c>
      <c r="L28" s="13" t="s">
        <v>838</v>
      </c>
      <c r="N28" s="81">
        <v>625</v>
      </c>
      <c r="O28" s="80" t="s">
        <v>207</v>
      </c>
      <c r="Q28" s="78">
        <v>3343</v>
      </c>
      <c r="R28" s="78" t="s">
        <v>843</v>
      </c>
      <c r="T28" s="20">
        <v>4132</v>
      </c>
      <c r="U28" s="13" t="s">
        <v>842</v>
      </c>
      <c r="W28" s="20">
        <v>4132</v>
      </c>
      <c r="X28" s="13" t="s">
        <v>842</v>
      </c>
    </row>
    <row r="29" spans="2:24">
      <c r="B29" s="18">
        <v>3715</v>
      </c>
      <c r="C29" s="17" t="s">
        <v>835</v>
      </c>
      <c r="E29" s="20">
        <v>3638</v>
      </c>
      <c r="F29" s="13" t="s">
        <v>841</v>
      </c>
      <c r="H29" s="20">
        <v>3638</v>
      </c>
      <c r="I29" s="13" t="s">
        <v>841</v>
      </c>
      <c r="K29" s="20">
        <v>3715</v>
      </c>
      <c r="L29" s="84" t="s">
        <v>835</v>
      </c>
      <c r="N29" s="81"/>
      <c r="O29" s="111"/>
      <c r="Q29" s="78">
        <v>3371</v>
      </c>
      <c r="R29" s="13" t="s">
        <v>620</v>
      </c>
      <c r="T29" s="78">
        <v>4315</v>
      </c>
      <c r="U29" s="13" t="s">
        <v>840</v>
      </c>
      <c r="W29" s="78">
        <v>4315</v>
      </c>
      <c r="X29" s="13" t="s">
        <v>840</v>
      </c>
    </row>
    <row r="30" spans="2:24">
      <c r="B30" s="20">
        <v>3752</v>
      </c>
      <c r="C30" s="13" t="s">
        <v>839</v>
      </c>
      <c r="E30" s="20">
        <v>3653</v>
      </c>
      <c r="F30" s="13" t="s">
        <v>838</v>
      </c>
      <c r="H30" s="20">
        <v>3653</v>
      </c>
      <c r="I30" s="13" t="s">
        <v>838</v>
      </c>
      <c r="K30" s="20">
        <v>3769</v>
      </c>
      <c r="L30" s="13" t="s">
        <v>831</v>
      </c>
      <c r="N30" s="81"/>
      <c r="O30" s="126"/>
      <c r="Q30" s="78">
        <v>3388</v>
      </c>
      <c r="R30" s="13" t="s">
        <v>675</v>
      </c>
      <c r="T30" s="20">
        <v>4331</v>
      </c>
      <c r="U30" s="78" t="s">
        <v>837</v>
      </c>
      <c r="W30" s="20">
        <v>4347</v>
      </c>
      <c r="X30" s="78" t="s">
        <v>836</v>
      </c>
    </row>
    <row r="31" spans="2:24">
      <c r="B31" s="20">
        <v>3832</v>
      </c>
      <c r="C31" s="84" t="s">
        <v>827</v>
      </c>
      <c r="E31" s="20">
        <v>3715</v>
      </c>
      <c r="F31" s="84" t="s">
        <v>835</v>
      </c>
      <c r="H31" s="20">
        <v>3715</v>
      </c>
      <c r="I31" s="84" t="s">
        <v>835</v>
      </c>
      <c r="K31" s="20">
        <v>3832</v>
      </c>
      <c r="L31" s="13" t="s">
        <v>827</v>
      </c>
      <c r="N31" s="81"/>
      <c r="O31" s="98"/>
      <c r="Q31" s="78">
        <v>3390</v>
      </c>
      <c r="R31" s="13" t="s">
        <v>671</v>
      </c>
      <c r="T31" s="20">
        <v>4326</v>
      </c>
      <c r="U31" s="13" t="s">
        <v>834</v>
      </c>
      <c r="W31" s="20">
        <v>4354</v>
      </c>
      <c r="X31" s="13" t="s">
        <v>833</v>
      </c>
    </row>
    <row r="32" spans="2:24">
      <c r="B32" s="20">
        <v>3834</v>
      </c>
      <c r="C32" s="84" t="s">
        <v>832</v>
      </c>
      <c r="E32" s="20">
        <v>3769</v>
      </c>
      <c r="F32" s="13" t="s">
        <v>831</v>
      </c>
      <c r="H32" s="20">
        <v>3769</v>
      </c>
      <c r="I32" s="13" t="s">
        <v>831</v>
      </c>
      <c r="K32" s="20">
        <v>3862</v>
      </c>
      <c r="L32" s="13" t="s">
        <v>825</v>
      </c>
      <c r="N32" s="101"/>
      <c r="O32" s="111"/>
      <c r="Q32" s="78">
        <v>3394</v>
      </c>
      <c r="R32" s="13" t="s">
        <v>617</v>
      </c>
      <c r="T32" s="20">
        <v>4330</v>
      </c>
      <c r="U32" s="13" t="s">
        <v>830</v>
      </c>
      <c r="W32" s="20">
        <v>4349</v>
      </c>
      <c r="X32" s="13" t="s">
        <v>829</v>
      </c>
    </row>
    <row r="33" spans="2:24">
      <c r="B33" s="20">
        <v>3840</v>
      </c>
      <c r="C33" s="13" t="s">
        <v>828</v>
      </c>
      <c r="E33" s="20">
        <v>3832</v>
      </c>
      <c r="F33" s="13" t="s">
        <v>827</v>
      </c>
      <c r="H33" s="20">
        <v>3832</v>
      </c>
      <c r="I33" s="13" t="s">
        <v>827</v>
      </c>
      <c r="K33" s="20">
        <v>3888</v>
      </c>
      <c r="L33" s="13" t="s">
        <v>822</v>
      </c>
      <c r="N33" s="81">
        <v>1333</v>
      </c>
      <c r="O33" s="80" t="s">
        <v>242</v>
      </c>
      <c r="Q33" s="78">
        <v>3398</v>
      </c>
      <c r="R33" s="13" t="s">
        <v>667</v>
      </c>
      <c r="T33" s="20">
        <v>4348</v>
      </c>
      <c r="U33" s="13" t="s">
        <v>826</v>
      </c>
      <c r="W33" s="20"/>
      <c r="X33" s="13"/>
    </row>
    <row r="34" spans="2:24">
      <c r="B34" s="20">
        <v>3862</v>
      </c>
      <c r="C34" s="84" t="s">
        <v>825</v>
      </c>
      <c r="E34" s="20">
        <v>3862</v>
      </c>
      <c r="F34" s="13" t="s">
        <v>825</v>
      </c>
      <c r="H34" s="20">
        <v>3862</v>
      </c>
      <c r="I34" s="13" t="s">
        <v>825</v>
      </c>
      <c r="K34" s="20">
        <v>3892</v>
      </c>
      <c r="L34" s="84" t="s">
        <v>819</v>
      </c>
      <c r="N34" s="101">
        <v>1448</v>
      </c>
      <c r="O34" s="98" t="s">
        <v>272</v>
      </c>
      <c r="Q34" s="78">
        <v>3414</v>
      </c>
      <c r="R34" s="13" t="s">
        <v>824</v>
      </c>
      <c r="T34" s="20">
        <v>4350</v>
      </c>
      <c r="U34" s="84" t="s">
        <v>823</v>
      </c>
      <c r="W34" s="78"/>
      <c r="X34" s="13"/>
    </row>
    <row r="35" spans="2:24">
      <c r="B35" s="20">
        <v>3888</v>
      </c>
      <c r="C35" s="84" t="s">
        <v>822</v>
      </c>
      <c r="E35" s="20">
        <v>3888</v>
      </c>
      <c r="F35" s="13" t="s">
        <v>822</v>
      </c>
      <c r="H35" s="20">
        <v>3888</v>
      </c>
      <c r="I35" s="13" t="s">
        <v>822</v>
      </c>
      <c r="K35" s="20">
        <v>3901</v>
      </c>
      <c r="L35" s="84" t="s">
        <v>815</v>
      </c>
      <c r="N35" s="81">
        <v>2010</v>
      </c>
      <c r="O35" s="98" t="s">
        <v>821</v>
      </c>
      <c r="Q35" s="78">
        <v>3456</v>
      </c>
      <c r="R35" s="13" t="s">
        <v>659</v>
      </c>
      <c r="T35" s="58">
        <v>659</v>
      </c>
      <c r="U35" s="78" t="s">
        <v>820</v>
      </c>
      <c r="W35" s="78"/>
      <c r="X35" s="13"/>
    </row>
    <row r="36" spans="2:24">
      <c r="B36" s="20">
        <v>3892</v>
      </c>
      <c r="C36" s="84" t="s">
        <v>819</v>
      </c>
      <c r="E36" s="20">
        <v>3892</v>
      </c>
      <c r="F36" s="84" t="s">
        <v>819</v>
      </c>
      <c r="H36" s="20">
        <v>3892</v>
      </c>
      <c r="I36" s="84" t="s">
        <v>819</v>
      </c>
      <c r="K36" s="20">
        <v>3919</v>
      </c>
      <c r="L36" s="13" t="s">
        <v>814</v>
      </c>
      <c r="N36" s="81">
        <v>2030</v>
      </c>
      <c r="O36" s="80" t="s">
        <v>818</v>
      </c>
      <c r="Q36" s="78">
        <v>3567</v>
      </c>
      <c r="R36" s="13" t="s">
        <v>817</v>
      </c>
      <c r="T36" s="20">
        <v>4363</v>
      </c>
      <c r="U36" s="13" t="s">
        <v>816</v>
      </c>
      <c r="W36" s="78"/>
      <c r="X36" s="78"/>
    </row>
    <row r="37" spans="2:24">
      <c r="B37" s="18">
        <v>3901</v>
      </c>
      <c r="C37" s="109" t="s">
        <v>815</v>
      </c>
      <c r="E37" s="20">
        <v>3901</v>
      </c>
      <c r="F37" s="84" t="s">
        <v>815</v>
      </c>
      <c r="H37" s="20">
        <v>3901</v>
      </c>
      <c r="I37" s="84" t="s">
        <v>815</v>
      </c>
      <c r="K37" s="20">
        <v>3922</v>
      </c>
      <c r="L37" s="84" t="s">
        <v>812</v>
      </c>
      <c r="N37" s="81">
        <v>2210</v>
      </c>
      <c r="O37" s="80" t="s">
        <v>637</v>
      </c>
      <c r="Q37" s="78">
        <v>3617</v>
      </c>
      <c r="R37" s="13" t="s">
        <v>654</v>
      </c>
      <c r="T37" s="20"/>
      <c r="U37" s="13"/>
      <c r="W37" s="78"/>
      <c r="X37" s="13"/>
    </row>
    <row r="38" spans="2:24">
      <c r="B38" s="18">
        <v>3919</v>
      </c>
      <c r="C38" s="109" t="s">
        <v>814</v>
      </c>
      <c r="E38" s="20">
        <v>3919</v>
      </c>
      <c r="F38" s="13" t="s">
        <v>814</v>
      </c>
      <c r="H38" s="20">
        <v>3919</v>
      </c>
      <c r="I38" s="13" t="s">
        <v>814</v>
      </c>
      <c r="K38" s="20">
        <v>3930</v>
      </c>
      <c r="L38" s="84" t="s">
        <v>810</v>
      </c>
      <c r="N38" s="81">
        <v>2984</v>
      </c>
      <c r="O38" s="100" t="s">
        <v>813</v>
      </c>
      <c r="Q38" s="78">
        <v>3626</v>
      </c>
      <c r="R38" s="13" t="s">
        <v>117</v>
      </c>
      <c r="T38" s="20"/>
      <c r="U38" s="84"/>
      <c r="W38" s="78"/>
      <c r="X38" s="13"/>
    </row>
    <row r="39" spans="2:24">
      <c r="B39" s="20">
        <v>3922</v>
      </c>
      <c r="C39" s="84" t="s">
        <v>812</v>
      </c>
      <c r="E39" s="20">
        <v>3922</v>
      </c>
      <c r="F39" s="84" t="s">
        <v>812</v>
      </c>
      <c r="H39" s="20">
        <v>3922</v>
      </c>
      <c r="I39" s="84" t="s">
        <v>812</v>
      </c>
      <c r="K39" s="20">
        <v>3960</v>
      </c>
      <c r="L39" s="84" t="s">
        <v>808</v>
      </c>
      <c r="N39" s="101">
        <v>3379</v>
      </c>
      <c r="O39" s="98" t="s">
        <v>811</v>
      </c>
      <c r="Q39" s="78">
        <v>3645</v>
      </c>
      <c r="R39" s="13" t="s">
        <v>648</v>
      </c>
      <c r="T39" s="58"/>
      <c r="U39" s="13"/>
      <c r="W39" s="78"/>
      <c r="X39" s="84"/>
    </row>
    <row r="40" spans="2:24">
      <c r="B40" s="20">
        <v>3930</v>
      </c>
      <c r="C40" s="13" t="s">
        <v>810</v>
      </c>
      <c r="E40" s="20">
        <v>3930</v>
      </c>
      <c r="F40" s="84" t="s">
        <v>810</v>
      </c>
      <c r="H40" s="20">
        <v>3930</v>
      </c>
      <c r="I40" s="84" t="s">
        <v>810</v>
      </c>
      <c r="K40" s="20">
        <v>3964</v>
      </c>
      <c r="L40" s="84" t="s">
        <v>806</v>
      </c>
      <c r="N40" s="81">
        <v>3632</v>
      </c>
      <c r="O40" s="80" t="s">
        <v>635</v>
      </c>
      <c r="Q40" s="78">
        <v>3650</v>
      </c>
      <c r="R40" s="102" t="s">
        <v>809</v>
      </c>
      <c r="T40" s="58"/>
      <c r="U40" s="78"/>
      <c r="W40" s="78"/>
      <c r="X40" s="13"/>
    </row>
    <row r="41" spans="2:24">
      <c r="B41" s="20">
        <v>3960</v>
      </c>
      <c r="C41" s="13" t="s">
        <v>808</v>
      </c>
      <c r="E41" s="20">
        <v>3960</v>
      </c>
      <c r="F41" s="84" t="s">
        <v>808</v>
      </c>
      <c r="H41" s="20">
        <v>3960</v>
      </c>
      <c r="I41" s="84" t="s">
        <v>808</v>
      </c>
      <c r="K41" s="20">
        <v>3968</v>
      </c>
      <c r="L41" s="84" t="s">
        <v>804</v>
      </c>
      <c r="N41" s="81">
        <v>4132</v>
      </c>
      <c r="O41" s="80" t="s">
        <v>807</v>
      </c>
      <c r="Q41" s="78">
        <v>3671</v>
      </c>
      <c r="R41" s="13" t="s">
        <v>615</v>
      </c>
      <c r="T41" s="58"/>
      <c r="U41" s="13"/>
      <c r="W41" s="78"/>
      <c r="X41" s="13"/>
    </row>
    <row r="42" spans="2:24">
      <c r="B42" s="20">
        <v>3964</v>
      </c>
      <c r="C42" s="13" t="s">
        <v>806</v>
      </c>
      <c r="E42" s="20">
        <v>3964</v>
      </c>
      <c r="F42" s="84" t="s">
        <v>806</v>
      </c>
      <c r="H42" s="20">
        <v>3964</v>
      </c>
      <c r="I42" s="84" t="s">
        <v>806</v>
      </c>
      <c r="K42" s="20">
        <v>3971</v>
      </c>
      <c r="L42" s="84" t="s">
        <v>803</v>
      </c>
      <c r="N42" s="81">
        <v>3637</v>
      </c>
      <c r="O42" s="80" t="s">
        <v>472</v>
      </c>
      <c r="Q42" s="78">
        <v>3693</v>
      </c>
      <c r="R42" s="13" t="s">
        <v>805</v>
      </c>
      <c r="T42" s="58"/>
      <c r="U42" s="13"/>
      <c r="W42" s="20"/>
      <c r="X42" s="13"/>
    </row>
    <row r="43" spans="2:24">
      <c r="B43" s="115">
        <v>3968</v>
      </c>
      <c r="C43" s="114" t="s">
        <v>804</v>
      </c>
      <c r="E43" s="20">
        <v>3968</v>
      </c>
      <c r="F43" s="84" t="s">
        <v>804</v>
      </c>
      <c r="H43" s="20">
        <v>3968</v>
      </c>
      <c r="I43" s="84" t="s">
        <v>804</v>
      </c>
      <c r="K43" s="20">
        <v>4017</v>
      </c>
      <c r="L43" s="13" t="s">
        <v>117</v>
      </c>
      <c r="N43" s="81">
        <v>1656</v>
      </c>
      <c r="O43" s="80" t="s">
        <v>470</v>
      </c>
      <c r="Q43" s="78">
        <v>3712</v>
      </c>
      <c r="R43" s="13" t="s">
        <v>609</v>
      </c>
      <c r="T43" s="58"/>
      <c r="U43" s="13"/>
      <c r="W43" s="20"/>
      <c r="X43" s="13"/>
    </row>
    <row r="44" spans="2:24">
      <c r="B44" s="20">
        <v>3971</v>
      </c>
      <c r="C44" s="13" t="s">
        <v>803</v>
      </c>
      <c r="E44" s="20">
        <v>3971</v>
      </c>
      <c r="F44" s="84" t="s">
        <v>803</v>
      </c>
      <c r="H44" s="20">
        <v>3971</v>
      </c>
      <c r="I44" s="84" t="s">
        <v>803</v>
      </c>
      <c r="K44" s="20">
        <v>4019</v>
      </c>
      <c r="L44" s="13" t="s">
        <v>801</v>
      </c>
      <c r="N44" s="81"/>
      <c r="O44" s="80"/>
      <c r="Q44" s="78">
        <v>3743</v>
      </c>
      <c r="R44" s="112" t="s">
        <v>217</v>
      </c>
      <c r="T44" s="78">
        <v>4356</v>
      </c>
      <c r="U44" s="84" t="s">
        <v>479</v>
      </c>
      <c r="W44" s="78"/>
      <c r="X44" s="13"/>
    </row>
    <row r="45" spans="2:24">
      <c r="B45" s="18">
        <v>4017</v>
      </c>
      <c r="C45" s="17" t="s">
        <v>117</v>
      </c>
      <c r="E45" s="20">
        <v>4017</v>
      </c>
      <c r="F45" s="13" t="s">
        <v>117</v>
      </c>
      <c r="H45" s="20">
        <v>4017</v>
      </c>
      <c r="I45" s="13" t="s">
        <v>117</v>
      </c>
      <c r="K45" s="20">
        <v>4033</v>
      </c>
      <c r="L45" s="13" t="s">
        <v>635</v>
      </c>
      <c r="N45" s="81"/>
      <c r="O45" s="80"/>
      <c r="Q45" s="78">
        <v>3766</v>
      </c>
      <c r="R45" s="13" t="s">
        <v>802</v>
      </c>
      <c r="T45" s="78">
        <v>4355</v>
      </c>
      <c r="U45" s="84" t="s">
        <v>477</v>
      </c>
      <c r="W45" s="78"/>
      <c r="X45" s="13"/>
    </row>
    <row r="46" spans="2:24">
      <c r="B46" s="18">
        <v>4019</v>
      </c>
      <c r="C46" s="17" t="s">
        <v>801</v>
      </c>
      <c r="E46" s="20">
        <v>4019</v>
      </c>
      <c r="F46" s="13" t="s">
        <v>801</v>
      </c>
      <c r="H46" s="20">
        <v>4019</v>
      </c>
      <c r="I46" s="13" t="s">
        <v>801</v>
      </c>
      <c r="K46" s="115">
        <v>4039</v>
      </c>
      <c r="L46" s="114" t="s">
        <v>796</v>
      </c>
      <c r="N46" s="81"/>
      <c r="O46" s="80"/>
      <c r="Q46" s="78">
        <v>3875</v>
      </c>
      <c r="R46" s="13" t="s">
        <v>800</v>
      </c>
      <c r="T46" s="78">
        <v>4357</v>
      </c>
      <c r="U46" s="84" t="s">
        <v>799</v>
      </c>
      <c r="W46" s="78"/>
      <c r="X46" s="13"/>
    </row>
    <row r="47" spans="2:24">
      <c r="B47" s="20">
        <v>4033</v>
      </c>
      <c r="C47" s="13" t="s">
        <v>635</v>
      </c>
      <c r="E47" s="20">
        <v>4033</v>
      </c>
      <c r="F47" s="13" t="s">
        <v>635</v>
      </c>
      <c r="H47" s="20">
        <v>4033</v>
      </c>
      <c r="I47" s="13" t="s">
        <v>635</v>
      </c>
      <c r="K47" s="20">
        <v>4058</v>
      </c>
      <c r="L47" s="13" t="s">
        <v>789</v>
      </c>
      <c r="N47" s="81"/>
      <c r="O47" s="80"/>
      <c r="Q47" s="20">
        <v>3899</v>
      </c>
      <c r="R47" s="13" t="s">
        <v>798</v>
      </c>
      <c r="T47" s="78">
        <v>606</v>
      </c>
      <c r="U47" s="78" t="s">
        <v>797</v>
      </c>
      <c r="W47" s="78"/>
      <c r="X47" s="13"/>
    </row>
    <row r="48" spans="2:24">
      <c r="B48" s="20">
        <v>4039</v>
      </c>
      <c r="C48" s="13" t="s">
        <v>796</v>
      </c>
      <c r="E48" s="115">
        <v>4039</v>
      </c>
      <c r="F48" s="114" t="s">
        <v>796</v>
      </c>
      <c r="H48" s="115">
        <v>4039</v>
      </c>
      <c r="I48" s="114" t="s">
        <v>796</v>
      </c>
      <c r="K48" s="20">
        <v>4083</v>
      </c>
      <c r="L48" s="13" t="s">
        <v>246</v>
      </c>
      <c r="N48" s="81"/>
      <c r="O48" s="80"/>
      <c r="Q48" s="78">
        <v>3936</v>
      </c>
      <c r="R48" s="13" t="s">
        <v>795</v>
      </c>
      <c r="T48" s="20" t="s">
        <v>794</v>
      </c>
      <c r="U48" s="13" t="s">
        <v>793</v>
      </c>
      <c r="W48" s="78"/>
      <c r="X48" s="13"/>
    </row>
    <row r="49" spans="2:24">
      <c r="B49" s="20">
        <v>4041</v>
      </c>
      <c r="C49" s="102" t="s">
        <v>792</v>
      </c>
      <c r="E49" s="20">
        <v>4058</v>
      </c>
      <c r="F49" s="13" t="s">
        <v>789</v>
      </c>
      <c r="H49" s="20">
        <v>4058</v>
      </c>
      <c r="I49" s="13" t="s">
        <v>789</v>
      </c>
      <c r="K49" s="20">
        <v>4093</v>
      </c>
      <c r="L49" s="13" t="s">
        <v>616</v>
      </c>
      <c r="N49" s="81">
        <v>13</v>
      </c>
      <c r="O49" s="80" t="s">
        <v>467</v>
      </c>
      <c r="Q49" s="78">
        <v>3942</v>
      </c>
      <c r="R49" s="13" t="s">
        <v>791</v>
      </c>
      <c r="T49" s="20" t="s">
        <v>753</v>
      </c>
      <c r="U49" s="78" t="s">
        <v>790</v>
      </c>
      <c r="W49" s="78"/>
      <c r="X49" s="13"/>
    </row>
    <row r="50" spans="2:24">
      <c r="B50" s="20">
        <v>4058</v>
      </c>
      <c r="C50" s="102" t="s">
        <v>789</v>
      </c>
      <c r="E50" s="20">
        <v>4083</v>
      </c>
      <c r="F50" s="13" t="s">
        <v>246</v>
      </c>
      <c r="H50" s="20">
        <v>4083</v>
      </c>
      <c r="I50" s="13" t="s">
        <v>246</v>
      </c>
      <c r="K50" s="20">
        <v>4102</v>
      </c>
      <c r="L50" s="13" t="s">
        <v>775</v>
      </c>
      <c r="N50" s="81">
        <v>25</v>
      </c>
      <c r="O50" s="80" t="s">
        <v>465</v>
      </c>
      <c r="Q50" s="20">
        <v>4107</v>
      </c>
      <c r="R50" s="13" t="s">
        <v>788</v>
      </c>
      <c r="T50" s="20" t="s">
        <v>787</v>
      </c>
      <c r="U50" s="13" t="s">
        <v>786</v>
      </c>
      <c r="W50" s="78"/>
      <c r="X50" s="13"/>
    </row>
    <row r="51" spans="2:24">
      <c r="B51" s="20">
        <v>4079</v>
      </c>
      <c r="C51" s="84" t="s">
        <v>785</v>
      </c>
      <c r="E51" s="20">
        <v>4093</v>
      </c>
      <c r="F51" s="13" t="s">
        <v>616</v>
      </c>
      <c r="H51" s="20">
        <v>4093</v>
      </c>
      <c r="I51" s="13" t="s">
        <v>616</v>
      </c>
      <c r="K51" s="20">
        <v>4110</v>
      </c>
      <c r="L51" s="13" t="s">
        <v>773</v>
      </c>
      <c r="N51" s="81">
        <v>93</v>
      </c>
      <c r="O51" s="80" t="s">
        <v>463</v>
      </c>
      <c r="Q51" s="20">
        <v>4108</v>
      </c>
      <c r="R51" s="13" t="s">
        <v>784</v>
      </c>
      <c r="T51" s="20" t="s">
        <v>783</v>
      </c>
      <c r="U51" s="84" t="s">
        <v>782</v>
      </c>
      <c r="W51" s="78"/>
      <c r="X51" s="13"/>
    </row>
    <row r="52" spans="2:24">
      <c r="B52" s="20">
        <v>4083</v>
      </c>
      <c r="C52" s="13" t="s">
        <v>246</v>
      </c>
      <c r="E52" s="20">
        <v>4102</v>
      </c>
      <c r="F52" s="13" t="s">
        <v>775</v>
      </c>
      <c r="H52" s="20">
        <v>4102</v>
      </c>
      <c r="I52" s="13" t="s">
        <v>775</v>
      </c>
      <c r="K52" s="20">
        <v>4114</v>
      </c>
      <c r="L52" s="13" t="s">
        <v>769</v>
      </c>
      <c r="N52" s="81">
        <v>94</v>
      </c>
      <c r="O52" s="80" t="s">
        <v>461</v>
      </c>
      <c r="Q52" s="78">
        <v>4144</v>
      </c>
      <c r="R52" s="84" t="s">
        <v>781</v>
      </c>
      <c r="T52" s="58" t="s">
        <v>780</v>
      </c>
      <c r="U52" s="78" t="s">
        <v>779</v>
      </c>
      <c r="W52" s="78"/>
      <c r="X52" s="13"/>
    </row>
    <row r="53" spans="2:24">
      <c r="B53" s="20">
        <v>4093</v>
      </c>
      <c r="C53" s="13" t="s">
        <v>616</v>
      </c>
      <c r="E53" s="20">
        <v>4110</v>
      </c>
      <c r="F53" s="13" t="s">
        <v>773</v>
      </c>
      <c r="H53" s="20">
        <v>4110</v>
      </c>
      <c r="I53" s="13" t="s">
        <v>773</v>
      </c>
      <c r="K53" s="20">
        <v>4117</v>
      </c>
      <c r="L53" s="102" t="s">
        <v>765</v>
      </c>
      <c r="N53" s="81">
        <v>96</v>
      </c>
      <c r="O53" s="80" t="s">
        <v>459</v>
      </c>
      <c r="Q53" s="20">
        <v>4150</v>
      </c>
      <c r="R53" s="13" t="s">
        <v>778</v>
      </c>
      <c r="T53" s="20"/>
      <c r="U53" s="13"/>
      <c r="W53" s="78"/>
      <c r="X53" s="13"/>
    </row>
    <row r="54" spans="2:24">
      <c r="B54" s="20">
        <v>4096</v>
      </c>
      <c r="C54" s="84" t="s">
        <v>777</v>
      </c>
      <c r="E54" s="20">
        <v>4114</v>
      </c>
      <c r="F54" s="13" t="s">
        <v>769</v>
      </c>
      <c r="H54" s="20">
        <v>4114</v>
      </c>
      <c r="I54" s="13" t="s">
        <v>769</v>
      </c>
      <c r="K54" s="20">
        <v>4152</v>
      </c>
      <c r="L54" s="102" t="s">
        <v>761</v>
      </c>
      <c r="N54" s="81">
        <v>124</v>
      </c>
      <c r="O54" s="80" t="s">
        <v>457</v>
      </c>
      <c r="Q54" s="20">
        <v>4178</v>
      </c>
      <c r="R54" s="13" t="s">
        <v>776</v>
      </c>
      <c r="T54" s="20"/>
      <c r="U54" s="84"/>
      <c r="W54" s="78"/>
      <c r="X54" s="13"/>
    </row>
    <row r="55" spans="2:24">
      <c r="B55" s="14">
        <v>4102</v>
      </c>
      <c r="C55" s="23" t="s">
        <v>775</v>
      </c>
      <c r="E55" s="20">
        <v>4117</v>
      </c>
      <c r="F55" s="102" t="s">
        <v>765</v>
      </c>
      <c r="H55" s="20">
        <v>4117</v>
      </c>
      <c r="I55" s="102" t="s">
        <v>765</v>
      </c>
      <c r="K55" s="20">
        <v>4162</v>
      </c>
      <c r="L55" s="84" t="s">
        <v>294</v>
      </c>
      <c r="N55" s="81">
        <v>109</v>
      </c>
      <c r="O55" s="80" t="s">
        <v>455</v>
      </c>
      <c r="Q55" s="20">
        <v>4180</v>
      </c>
      <c r="R55" s="13" t="s">
        <v>774</v>
      </c>
      <c r="T55" s="78"/>
      <c r="U55" s="13"/>
      <c r="W55" s="78"/>
      <c r="X55" s="13"/>
    </row>
    <row r="56" spans="2:24">
      <c r="B56" s="18">
        <v>4110</v>
      </c>
      <c r="C56" s="109" t="s">
        <v>773</v>
      </c>
      <c r="E56" s="20">
        <v>4152</v>
      </c>
      <c r="F56" s="102" t="s">
        <v>761</v>
      </c>
      <c r="H56" s="20">
        <v>4152</v>
      </c>
      <c r="I56" s="102" t="s">
        <v>761</v>
      </c>
      <c r="K56" s="20">
        <v>4173</v>
      </c>
      <c r="L56" s="13" t="s">
        <v>743</v>
      </c>
      <c r="N56" s="81">
        <v>140</v>
      </c>
      <c r="O56" s="80" t="s">
        <v>454</v>
      </c>
      <c r="Q56" s="20">
        <v>4181</v>
      </c>
      <c r="R56" s="13" t="s">
        <v>772</v>
      </c>
      <c r="T56" s="78" t="s">
        <v>771</v>
      </c>
      <c r="U56" s="13" t="s">
        <v>770</v>
      </c>
      <c r="W56" s="78"/>
      <c r="X56" s="13"/>
    </row>
    <row r="57" spans="2:24">
      <c r="B57" s="20">
        <v>4114</v>
      </c>
      <c r="C57" s="13" t="s">
        <v>769</v>
      </c>
      <c r="E57" s="20">
        <v>4162</v>
      </c>
      <c r="F57" s="84" t="s">
        <v>294</v>
      </c>
      <c r="H57" s="20">
        <v>4162</v>
      </c>
      <c r="I57" s="84" t="s">
        <v>294</v>
      </c>
      <c r="K57" s="20">
        <v>4185</v>
      </c>
      <c r="L57" s="13" t="s">
        <v>738</v>
      </c>
      <c r="N57" s="81">
        <v>141</v>
      </c>
      <c r="O57" s="80" t="s">
        <v>452</v>
      </c>
      <c r="Q57" s="78">
        <v>4182</v>
      </c>
      <c r="R57" s="78" t="s">
        <v>768</v>
      </c>
      <c r="T57" s="78" t="s">
        <v>767</v>
      </c>
      <c r="U57" s="13" t="s">
        <v>766</v>
      </c>
      <c r="W57" s="78"/>
      <c r="X57" s="13"/>
    </row>
    <row r="58" spans="2:24">
      <c r="B58" s="20">
        <v>4117</v>
      </c>
      <c r="C58" s="84" t="s">
        <v>765</v>
      </c>
      <c r="E58" s="20">
        <v>4173</v>
      </c>
      <c r="F58" s="13" t="s">
        <v>743</v>
      </c>
      <c r="H58" s="20">
        <v>4173</v>
      </c>
      <c r="I58" s="13" t="s">
        <v>743</v>
      </c>
      <c r="K58" s="20">
        <v>4219</v>
      </c>
      <c r="L58" s="84" t="s">
        <v>730</v>
      </c>
      <c r="N58" s="81">
        <v>146</v>
      </c>
      <c r="O58" s="80" t="s">
        <v>450</v>
      </c>
      <c r="Q58" s="20">
        <v>4276</v>
      </c>
      <c r="R58" s="13" t="s">
        <v>764</v>
      </c>
      <c r="T58" s="78" t="s">
        <v>763</v>
      </c>
      <c r="U58" s="125" t="s">
        <v>762</v>
      </c>
      <c r="W58" s="78"/>
      <c r="X58" s="13"/>
    </row>
    <row r="59" spans="2:24">
      <c r="B59" s="20">
        <v>4152</v>
      </c>
      <c r="C59" s="84" t="s">
        <v>761</v>
      </c>
      <c r="E59" s="20">
        <v>4185</v>
      </c>
      <c r="F59" s="13" t="s">
        <v>738</v>
      </c>
      <c r="H59" s="20">
        <v>4185</v>
      </c>
      <c r="I59" s="13" t="s">
        <v>738</v>
      </c>
      <c r="K59" s="115">
        <v>4220</v>
      </c>
      <c r="L59" s="114" t="s">
        <v>726</v>
      </c>
      <c r="N59" s="81">
        <v>152</v>
      </c>
      <c r="O59" s="80" t="s">
        <v>448</v>
      </c>
      <c r="Q59" s="78">
        <v>342</v>
      </c>
      <c r="R59" s="78" t="s">
        <v>760</v>
      </c>
      <c r="T59" s="78" t="s">
        <v>759</v>
      </c>
      <c r="U59" s="13" t="s">
        <v>758</v>
      </c>
      <c r="W59" s="78"/>
      <c r="X59" s="13"/>
    </row>
    <row r="60" spans="2:24">
      <c r="B60" s="20">
        <v>4162</v>
      </c>
      <c r="C60" s="13" t="s">
        <v>294</v>
      </c>
      <c r="E60" s="20">
        <v>4219</v>
      </c>
      <c r="F60" s="84" t="s">
        <v>730</v>
      </c>
      <c r="H60" s="20">
        <v>4219</v>
      </c>
      <c r="I60" s="84" t="s">
        <v>730</v>
      </c>
      <c r="K60" s="20">
        <v>4248</v>
      </c>
      <c r="L60" s="13" t="s">
        <v>748</v>
      </c>
      <c r="N60" s="81">
        <v>153</v>
      </c>
      <c r="O60" s="80" t="s">
        <v>446</v>
      </c>
      <c r="Q60" s="20">
        <v>4199</v>
      </c>
      <c r="R60" s="13" t="s">
        <v>757</v>
      </c>
      <c r="T60" s="78" t="s">
        <v>756</v>
      </c>
      <c r="U60" s="13" t="s">
        <v>755</v>
      </c>
      <c r="W60" s="78"/>
      <c r="X60" s="13"/>
    </row>
    <row r="61" spans="2:24">
      <c r="B61" s="20">
        <v>4164</v>
      </c>
      <c r="C61" s="102" t="s">
        <v>754</v>
      </c>
      <c r="E61" s="115">
        <v>4220</v>
      </c>
      <c r="F61" s="114" t="s">
        <v>726</v>
      </c>
      <c r="H61" s="115">
        <v>4220</v>
      </c>
      <c r="I61" s="114" t="s">
        <v>726</v>
      </c>
      <c r="K61" s="20">
        <v>4278</v>
      </c>
      <c r="L61" s="84" t="s">
        <v>742</v>
      </c>
      <c r="N61" s="81">
        <v>159</v>
      </c>
      <c r="O61" s="80" t="s">
        <v>444</v>
      </c>
      <c r="Q61" s="20" t="s">
        <v>753</v>
      </c>
      <c r="R61" s="13" t="s">
        <v>752</v>
      </c>
      <c r="T61" s="78" t="s">
        <v>751</v>
      </c>
      <c r="U61" s="13" t="s">
        <v>750</v>
      </c>
      <c r="W61" s="78"/>
      <c r="X61" s="13"/>
    </row>
    <row r="62" spans="2:24">
      <c r="B62" s="20">
        <v>4166</v>
      </c>
      <c r="C62" s="84" t="s">
        <v>749</v>
      </c>
      <c r="E62" s="20">
        <v>4248</v>
      </c>
      <c r="F62" s="13" t="s">
        <v>748</v>
      </c>
      <c r="H62" s="20">
        <v>4248</v>
      </c>
      <c r="I62" s="13" t="s">
        <v>748</v>
      </c>
      <c r="K62" s="20">
        <v>4323</v>
      </c>
      <c r="L62" s="13" t="s">
        <v>644</v>
      </c>
      <c r="N62" s="81">
        <v>3968</v>
      </c>
      <c r="O62" s="80" t="s">
        <v>442</v>
      </c>
      <c r="Q62" s="78" t="s">
        <v>747</v>
      </c>
      <c r="R62" s="78" t="s">
        <v>746</v>
      </c>
      <c r="T62" s="58" t="s">
        <v>745</v>
      </c>
      <c r="U62" s="78" t="s">
        <v>744</v>
      </c>
      <c r="W62" s="78"/>
      <c r="X62" s="13"/>
    </row>
    <row r="63" spans="2:24">
      <c r="B63" s="18">
        <v>4173</v>
      </c>
      <c r="C63" s="17" t="s">
        <v>743</v>
      </c>
      <c r="E63" s="20">
        <v>4278</v>
      </c>
      <c r="F63" s="84" t="s">
        <v>742</v>
      </c>
      <c r="H63" s="20">
        <v>4278</v>
      </c>
      <c r="I63" s="84" t="s">
        <v>742</v>
      </c>
      <c r="K63" s="20">
        <v>4327</v>
      </c>
      <c r="L63" s="84" t="s">
        <v>734</v>
      </c>
      <c r="N63" s="81">
        <v>3971</v>
      </c>
      <c r="O63" s="80" t="s">
        <v>440</v>
      </c>
      <c r="Q63" s="78">
        <v>4329</v>
      </c>
      <c r="R63" s="13" t="s">
        <v>741</v>
      </c>
      <c r="T63" s="20" t="s">
        <v>740</v>
      </c>
      <c r="U63" s="13" t="s">
        <v>739</v>
      </c>
      <c r="W63" s="78"/>
      <c r="X63" s="13"/>
    </row>
    <row r="64" spans="2:24">
      <c r="B64" s="18">
        <v>4185</v>
      </c>
      <c r="C64" s="109" t="s">
        <v>738</v>
      </c>
      <c r="E64" s="20">
        <v>4323</v>
      </c>
      <c r="F64" s="13" t="s">
        <v>644</v>
      </c>
      <c r="H64" s="20">
        <v>4323</v>
      </c>
      <c r="I64" s="13" t="s">
        <v>644</v>
      </c>
      <c r="K64" s="20">
        <v>4328</v>
      </c>
      <c r="L64" s="84" t="s">
        <v>729</v>
      </c>
      <c r="N64" s="81">
        <v>3653</v>
      </c>
      <c r="O64" s="80" t="s">
        <v>438</v>
      </c>
      <c r="Q64" s="78">
        <v>4338</v>
      </c>
      <c r="R64" s="13" t="s">
        <v>663</v>
      </c>
      <c r="T64" s="20" t="s">
        <v>737</v>
      </c>
      <c r="U64" s="84" t="s">
        <v>736</v>
      </c>
      <c r="W64" s="78"/>
      <c r="X64" s="13"/>
    </row>
    <row r="65" spans="2:24">
      <c r="B65" s="20">
        <v>4197</v>
      </c>
      <c r="C65" s="121" t="s">
        <v>735</v>
      </c>
      <c r="E65" s="20">
        <v>4327</v>
      </c>
      <c r="F65" s="84" t="s">
        <v>734</v>
      </c>
      <c r="H65" s="20">
        <v>4327</v>
      </c>
      <c r="I65" s="84" t="s">
        <v>734</v>
      </c>
      <c r="K65" s="20">
        <v>4332</v>
      </c>
      <c r="L65" s="84" t="s">
        <v>364</v>
      </c>
      <c r="N65" s="81">
        <v>4277</v>
      </c>
      <c r="O65" s="80" t="s">
        <v>436</v>
      </c>
      <c r="Q65" s="20">
        <v>4345</v>
      </c>
      <c r="R65" s="13" t="s">
        <v>733</v>
      </c>
      <c r="T65" s="78" t="s">
        <v>732</v>
      </c>
      <c r="U65" s="13" t="s">
        <v>731</v>
      </c>
      <c r="W65" s="78"/>
      <c r="X65" s="13"/>
    </row>
    <row r="66" spans="2:24">
      <c r="B66" s="115">
        <v>4219</v>
      </c>
      <c r="C66" s="119" t="s">
        <v>730</v>
      </c>
      <c r="E66" s="20">
        <v>4328</v>
      </c>
      <c r="F66" s="84" t="s">
        <v>729</v>
      </c>
      <c r="H66" s="20">
        <v>4328</v>
      </c>
      <c r="I66" s="84" t="s">
        <v>729</v>
      </c>
      <c r="K66" s="20">
        <v>4334</v>
      </c>
      <c r="L66" s="13" t="s">
        <v>720</v>
      </c>
      <c r="N66" s="81">
        <v>4296</v>
      </c>
      <c r="O66" s="80" t="s">
        <v>432</v>
      </c>
      <c r="Q66" s="20"/>
      <c r="R66" s="13"/>
      <c r="T66" s="78" t="s">
        <v>728</v>
      </c>
      <c r="U66" s="124" t="s">
        <v>727</v>
      </c>
      <c r="W66" s="78"/>
      <c r="X66" s="13"/>
    </row>
    <row r="67" spans="2:24">
      <c r="B67" s="115">
        <v>4220</v>
      </c>
      <c r="C67" s="119" t="s">
        <v>726</v>
      </c>
      <c r="E67" s="20">
        <v>4332</v>
      </c>
      <c r="F67" s="84" t="s">
        <v>364</v>
      </c>
      <c r="H67" s="20">
        <v>4332</v>
      </c>
      <c r="I67" s="84" t="s">
        <v>364</v>
      </c>
      <c r="K67" s="20">
        <v>4324</v>
      </c>
      <c r="L67" s="102" t="s">
        <v>716</v>
      </c>
      <c r="N67" s="81"/>
      <c r="O67" s="80"/>
      <c r="Q67" s="78" t="s">
        <v>725</v>
      </c>
      <c r="R67" s="13" t="s">
        <v>724</v>
      </c>
      <c r="T67" s="78" t="s">
        <v>723</v>
      </c>
      <c r="U67" s="13" t="s">
        <v>722</v>
      </c>
      <c r="W67" s="78"/>
      <c r="X67" s="13"/>
    </row>
    <row r="68" spans="2:24">
      <c r="B68" s="18">
        <v>4335</v>
      </c>
      <c r="C68" s="17" t="s">
        <v>721</v>
      </c>
      <c r="E68" s="20">
        <v>4334</v>
      </c>
      <c r="F68" s="13" t="s">
        <v>720</v>
      </c>
      <c r="H68" s="20">
        <v>4334</v>
      </c>
      <c r="I68" s="13" t="s">
        <v>720</v>
      </c>
      <c r="K68" s="20">
        <v>3844</v>
      </c>
      <c r="L68" s="102" t="s">
        <v>695</v>
      </c>
      <c r="N68" s="81"/>
      <c r="O68" s="80"/>
      <c r="Q68" s="20" t="s">
        <v>719</v>
      </c>
      <c r="R68" s="13" t="s">
        <v>718</v>
      </c>
      <c r="T68" s="78"/>
      <c r="U68" s="13"/>
      <c r="W68" s="78"/>
      <c r="X68" s="13"/>
    </row>
    <row r="69" spans="2:24">
      <c r="B69" s="20">
        <v>2625</v>
      </c>
      <c r="C69" s="13" t="s">
        <v>717</v>
      </c>
      <c r="E69" s="20">
        <v>4324</v>
      </c>
      <c r="F69" s="102" t="s">
        <v>716</v>
      </c>
      <c r="H69" s="20">
        <v>4324</v>
      </c>
      <c r="I69" s="102" t="s">
        <v>716</v>
      </c>
      <c r="K69" s="20">
        <v>3974</v>
      </c>
      <c r="L69" s="13" t="s">
        <v>670</v>
      </c>
      <c r="N69" s="81"/>
      <c r="O69" s="80"/>
      <c r="Q69" s="20" t="s">
        <v>715</v>
      </c>
      <c r="R69" s="13" t="s">
        <v>714</v>
      </c>
      <c r="T69" s="78"/>
      <c r="U69" s="13"/>
      <c r="W69" s="78"/>
      <c r="X69" s="13"/>
    </row>
    <row r="70" spans="2:24">
      <c r="B70" s="18">
        <v>4342</v>
      </c>
      <c r="C70" s="17" t="s">
        <v>713</v>
      </c>
      <c r="E70" s="20">
        <v>4340</v>
      </c>
      <c r="F70" s="102" t="s">
        <v>712</v>
      </c>
      <c r="H70" s="20">
        <v>4340</v>
      </c>
      <c r="I70" s="102" t="s">
        <v>712</v>
      </c>
      <c r="K70" s="20">
        <v>1733</v>
      </c>
      <c r="L70" s="84" t="s">
        <v>687</v>
      </c>
      <c r="N70" s="81"/>
      <c r="O70" s="80"/>
      <c r="Q70" s="20" t="s">
        <v>711</v>
      </c>
      <c r="R70" s="13" t="s">
        <v>710</v>
      </c>
      <c r="T70" s="78"/>
      <c r="U70" s="13"/>
      <c r="W70" s="78"/>
      <c r="X70" s="13"/>
    </row>
    <row r="71" spans="2:24">
      <c r="B71" s="20">
        <v>4317</v>
      </c>
      <c r="C71" s="13" t="s">
        <v>709</v>
      </c>
      <c r="E71" s="20">
        <v>4341</v>
      </c>
      <c r="F71" s="13" t="s">
        <v>708</v>
      </c>
      <c r="H71" s="20">
        <v>4341</v>
      </c>
      <c r="I71" s="13" t="s">
        <v>708</v>
      </c>
      <c r="K71" s="20">
        <v>3985</v>
      </c>
      <c r="L71" s="121" t="s">
        <v>683</v>
      </c>
      <c r="N71" s="81"/>
      <c r="O71" s="80"/>
      <c r="Q71" s="20" t="s">
        <v>707</v>
      </c>
      <c r="R71" s="13" t="s">
        <v>706</v>
      </c>
      <c r="T71" s="78"/>
      <c r="U71" s="13"/>
      <c r="W71" s="78"/>
      <c r="X71" s="13"/>
    </row>
    <row r="72" spans="2:24">
      <c r="B72" s="20">
        <v>4318</v>
      </c>
      <c r="C72" s="13" t="s">
        <v>705</v>
      </c>
      <c r="E72" s="20"/>
      <c r="F72" s="84"/>
      <c r="H72" s="20"/>
      <c r="I72" s="84"/>
      <c r="K72" s="115">
        <v>4361</v>
      </c>
      <c r="L72" s="119" t="s">
        <v>704</v>
      </c>
      <c r="N72" s="81"/>
      <c r="O72" s="80"/>
      <c r="Q72" s="20" t="s">
        <v>703</v>
      </c>
      <c r="R72" s="13" t="s">
        <v>702</v>
      </c>
      <c r="T72" s="78">
        <v>3790</v>
      </c>
      <c r="U72" s="13" t="s">
        <v>701</v>
      </c>
      <c r="W72" s="78"/>
      <c r="X72" s="13"/>
    </row>
    <row r="73" spans="2:24">
      <c r="B73" s="18">
        <v>4344</v>
      </c>
      <c r="C73" s="17" t="s">
        <v>700</v>
      </c>
      <c r="E73" s="20"/>
      <c r="F73" s="121"/>
      <c r="H73" s="20"/>
      <c r="I73" s="121"/>
      <c r="K73" s="115">
        <v>4364</v>
      </c>
      <c r="L73" s="119" t="s">
        <v>699</v>
      </c>
      <c r="N73" s="81"/>
      <c r="O73" s="80"/>
      <c r="Q73" s="78" t="s">
        <v>698</v>
      </c>
      <c r="R73" s="78" t="s">
        <v>697</v>
      </c>
      <c r="T73" s="78">
        <v>1733</v>
      </c>
      <c r="U73" s="13" t="s">
        <v>687</v>
      </c>
      <c r="W73" s="78"/>
      <c r="X73" s="13"/>
    </row>
    <row r="74" spans="2:24">
      <c r="B74" s="14">
        <v>4351</v>
      </c>
      <c r="C74" s="23" t="s">
        <v>696</v>
      </c>
      <c r="E74" s="20">
        <v>3844</v>
      </c>
      <c r="F74" s="102" t="s">
        <v>695</v>
      </c>
      <c r="H74" s="20">
        <v>3844</v>
      </c>
      <c r="I74" s="102" t="s">
        <v>695</v>
      </c>
      <c r="K74" s="120">
        <v>4052</v>
      </c>
      <c r="L74" s="119" t="s">
        <v>694</v>
      </c>
      <c r="N74" s="81"/>
      <c r="O74" s="80"/>
      <c r="Q74" s="20" t="s">
        <v>677</v>
      </c>
      <c r="R74" s="13" t="s">
        <v>676</v>
      </c>
      <c r="T74" s="78">
        <v>3037</v>
      </c>
      <c r="U74" s="13" t="s">
        <v>693</v>
      </c>
      <c r="W74" s="78"/>
      <c r="X74" s="13"/>
    </row>
    <row r="75" spans="2:24">
      <c r="B75" s="18">
        <v>4352</v>
      </c>
      <c r="C75" s="17" t="s">
        <v>692</v>
      </c>
      <c r="E75" s="20">
        <v>3974</v>
      </c>
      <c r="F75" s="13" t="s">
        <v>670</v>
      </c>
      <c r="H75" s="20">
        <v>3974</v>
      </c>
      <c r="I75" s="13" t="s">
        <v>670</v>
      </c>
      <c r="K75" s="20">
        <v>625</v>
      </c>
      <c r="L75" s="84" t="s">
        <v>691</v>
      </c>
      <c r="N75" s="81"/>
      <c r="O75" s="80"/>
      <c r="Q75" s="20" t="s">
        <v>690</v>
      </c>
      <c r="R75" s="13" t="s">
        <v>689</v>
      </c>
      <c r="T75" s="78">
        <v>3321</v>
      </c>
      <c r="U75" s="13" t="s">
        <v>688</v>
      </c>
      <c r="W75" s="78"/>
      <c r="X75" s="112"/>
    </row>
    <row r="76" spans="2:24">
      <c r="B76" s="123">
        <v>4353</v>
      </c>
      <c r="C76" s="122" t="s">
        <v>161</v>
      </c>
      <c r="E76" s="20">
        <v>1733</v>
      </c>
      <c r="F76" s="84" t="s">
        <v>687</v>
      </c>
      <c r="H76" s="20">
        <v>1733</v>
      </c>
      <c r="I76" s="84" t="s">
        <v>687</v>
      </c>
      <c r="K76" s="20">
        <v>4373</v>
      </c>
      <c r="L76" s="84" t="s">
        <v>686</v>
      </c>
      <c r="N76" s="81"/>
      <c r="O76" s="80"/>
      <c r="Q76" s="20"/>
      <c r="R76" s="13"/>
      <c r="T76" s="78">
        <v>3324</v>
      </c>
      <c r="U76" s="13" t="s">
        <v>685</v>
      </c>
      <c r="W76" s="78"/>
      <c r="X76" s="78"/>
    </row>
    <row r="77" spans="2:24">
      <c r="B77" s="18">
        <v>4360</v>
      </c>
      <c r="C77" s="109" t="s">
        <v>684</v>
      </c>
      <c r="E77" s="20">
        <v>3985</v>
      </c>
      <c r="F77" s="121" t="s">
        <v>683</v>
      </c>
      <c r="H77" s="20">
        <v>3985</v>
      </c>
      <c r="I77" s="121" t="s">
        <v>683</v>
      </c>
      <c r="K77" s="20">
        <v>4374</v>
      </c>
      <c r="L77" s="13" t="s">
        <v>682</v>
      </c>
      <c r="N77" s="81"/>
      <c r="O77" s="80"/>
      <c r="Q77" s="78" t="s">
        <v>681</v>
      </c>
      <c r="R77" s="84" t="s">
        <v>680</v>
      </c>
      <c r="T77" s="78">
        <v>3377</v>
      </c>
      <c r="U77" s="13" t="s">
        <v>679</v>
      </c>
      <c r="W77" s="78"/>
      <c r="X77" s="13"/>
    </row>
    <row r="78" spans="2:24">
      <c r="B78" s="18">
        <v>1448</v>
      </c>
      <c r="C78" s="109" t="s">
        <v>272</v>
      </c>
      <c r="E78" s="14">
        <v>3743</v>
      </c>
      <c r="F78" s="34" t="s">
        <v>678</v>
      </c>
      <c r="H78" s="14">
        <v>3743</v>
      </c>
      <c r="I78" s="34" t="s">
        <v>678</v>
      </c>
      <c r="K78" s="20"/>
      <c r="L78" s="13"/>
      <c r="N78" s="101"/>
      <c r="O78" s="98"/>
      <c r="Q78" s="20" t="s">
        <v>677</v>
      </c>
      <c r="R78" s="13" t="s">
        <v>676</v>
      </c>
      <c r="T78" s="78">
        <v>3388</v>
      </c>
      <c r="U78" s="13" t="s">
        <v>675</v>
      </c>
      <c r="W78" s="78"/>
      <c r="X78" s="13"/>
    </row>
    <row r="79" spans="2:24">
      <c r="B79" s="51"/>
      <c r="C79" s="50"/>
      <c r="E79" s="115">
        <v>4097</v>
      </c>
      <c r="F79" s="119" t="s">
        <v>674</v>
      </c>
      <c r="H79" s="115">
        <v>4097</v>
      </c>
      <c r="I79" s="119" t="s">
        <v>674</v>
      </c>
      <c r="K79" s="20"/>
      <c r="L79" s="13"/>
      <c r="N79" s="81"/>
      <c r="O79" s="80"/>
      <c r="Q79" s="20" t="s">
        <v>673</v>
      </c>
      <c r="R79" s="13" t="s">
        <v>672</v>
      </c>
      <c r="T79" s="78">
        <v>3390</v>
      </c>
      <c r="U79" s="13" t="s">
        <v>671</v>
      </c>
      <c r="W79" s="78"/>
      <c r="X79" s="13"/>
    </row>
    <row r="80" spans="2:24">
      <c r="B80" s="51"/>
      <c r="C80" s="50"/>
      <c r="E80" s="115">
        <v>3292</v>
      </c>
      <c r="F80" s="119" t="s">
        <v>670</v>
      </c>
      <c r="H80" s="115">
        <v>3292</v>
      </c>
      <c r="I80" s="119" t="s">
        <v>670</v>
      </c>
      <c r="K80" s="20">
        <v>71</v>
      </c>
      <c r="L80" s="13" t="s">
        <v>626</v>
      </c>
      <c r="N80" s="101"/>
      <c r="O80" s="111"/>
      <c r="Q80" s="20" t="s">
        <v>669</v>
      </c>
      <c r="R80" s="13" t="s">
        <v>668</v>
      </c>
      <c r="T80" s="78">
        <v>3398</v>
      </c>
      <c r="U80" s="13" t="s">
        <v>667</v>
      </c>
      <c r="W80" s="78"/>
      <c r="X80" s="13"/>
    </row>
    <row r="81" spans="2:24">
      <c r="B81" s="51"/>
      <c r="C81" s="50"/>
      <c r="E81" s="120">
        <v>4052</v>
      </c>
      <c r="F81" s="119" t="s">
        <v>666</v>
      </c>
      <c r="H81" s="120">
        <v>4052</v>
      </c>
      <c r="I81" s="119" t="s">
        <v>666</v>
      </c>
      <c r="K81" s="20">
        <v>489</v>
      </c>
      <c r="L81" s="13" t="s">
        <v>621</v>
      </c>
      <c r="N81" s="81"/>
      <c r="O81" s="80"/>
      <c r="Q81" s="20" t="s">
        <v>665</v>
      </c>
      <c r="R81" s="13" t="s">
        <v>664</v>
      </c>
      <c r="T81" s="78">
        <v>3421</v>
      </c>
      <c r="U81" s="13" t="s">
        <v>663</v>
      </c>
      <c r="W81" s="78"/>
      <c r="X81" s="13"/>
    </row>
    <row r="82" spans="2:24">
      <c r="B82" s="115">
        <v>4343</v>
      </c>
      <c r="C82" s="114" t="s">
        <v>662</v>
      </c>
      <c r="E82" s="20">
        <v>4313</v>
      </c>
      <c r="F82" s="84" t="s">
        <v>511</v>
      </c>
      <c r="H82" s="20">
        <v>4313</v>
      </c>
      <c r="I82" s="84" t="s">
        <v>511</v>
      </c>
      <c r="K82" s="20">
        <v>526</v>
      </c>
      <c r="L82" s="13" t="s">
        <v>628</v>
      </c>
      <c r="N82" s="81"/>
      <c r="O82" s="80"/>
      <c r="Q82" s="78" t="s">
        <v>661</v>
      </c>
      <c r="R82" s="78" t="s">
        <v>660</v>
      </c>
      <c r="T82" s="78">
        <v>3456</v>
      </c>
      <c r="U82" s="13" t="s">
        <v>659</v>
      </c>
      <c r="W82" s="78"/>
      <c r="X82" s="13"/>
    </row>
    <row r="83" spans="2:24">
      <c r="B83" s="51">
        <v>4284</v>
      </c>
      <c r="C83" s="50" t="s">
        <v>658</v>
      </c>
      <c r="E83" s="20">
        <v>4290</v>
      </c>
      <c r="F83" s="84" t="s">
        <v>657</v>
      </c>
      <c r="H83" s="20">
        <v>4290</v>
      </c>
      <c r="I83" s="84" t="s">
        <v>657</v>
      </c>
      <c r="K83" s="20">
        <v>748</v>
      </c>
      <c r="L83" s="13" t="s">
        <v>644</v>
      </c>
      <c r="N83" s="81"/>
      <c r="O83" s="80"/>
      <c r="Q83" s="20" t="s">
        <v>656</v>
      </c>
      <c r="R83" s="13" t="s">
        <v>655</v>
      </c>
      <c r="T83" s="78">
        <v>3617</v>
      </c>
      <c r="U83" s="13" t="s">
        <v>654</v>
      </c>
      <c r="W83" s="78"/>
      <c r="X83" s="13"/>
    </row>
    <row r="84" spans="2:24">
      <c r="B84" s="18"/>
      <c r="C84" s="109"/>
      <c r="E84" s="20"/>
      <c r="F84" s="84"/>
      <c r="H84" s="20"/>
      <c r="I84" s="84"/>
      <c r="K84" s="20">
        <v>800</v>
      </c>
      <c r="L84" s="13" t="s">
        <v>634</v>
      </c>
      <c r="N84" s="81"/>
      <c r="O84" s="80"/>
      <c r="Q84" s="78" t="s">
        <v>653</v>
      </c>
      <c r="R84" s="78" t="s">
        <v>652</v>
      </c>
      <c r="T84" s="78">
        <v>3619</v>
      </c>
      <c r="U84" s="13" t="s">
        <v>651</v>
      </c>
      <c r="W84" s="78"/>
      <c r="X84" s="13"/>
    </row>
    <row r="85" spans="2:24">
      <c r="B85" s="20">
        <v>1594</v>
      </c>
      <c r="C85" s="84" t="s">
        <v>623</v>
      </c>
      <c r="E85" s="20">
        <v>71</v>
      </c>
      <c r="F85" s="13" t="s">
        <v>626</v>
      </c>
      <c r="H85" s="20">
        <v>71</v>
      </c>
      <c r="I85" s="13" t="s">
        <v>626</v>
      </c>
      <c r="K85" s="20">
        <v>958</v>
      </c>
      <c r="L85" s="13" t="s">
        <v>605</v>
      </c>
      <c r="N85" s="81"/>
      <c r="O85" s="80"/>
      <c r="Q85" s="20" t="s">
        <v>650</v>
      </c>
      <c r="R85" s="13" t="s">
        <v>649</v>
      </c>
      <c r="T85" s="78">
        <v>3632</v>
      </c>
      <c r="U85" s="13" t="s">
        <v>635</v>
      </c>
      <c r="W85" s="78"/>
      <c r="X85" s="13"/>
    </row>
    <row r="86" spans="2:24">
      <c r="B86" s="20">
        <v>3758</v>
      </c>
      <c r="C86" s="13" t="s">
        <v>593</v>
      </c>
      <c r="E86" s="20">
        <v>489</v>
      </c>
      <c r="F86" s="13" t="s">
        <v>621</v>
      </c>
      <c r="H86" s="20">
        <v>489</v>
      </c>
      <c r="I86" s="13" t="s">
        <v>621</v>
      </c>
      <c r="K86" s="20">
        <v>1020</v>
      </c>
      <c r="L86" s="13" t="s">
        <v>619</v>
      </c>
      <c r="N86" s="81"/>
      <c r="O86" s="80"/>
      <c r="Q86" s="20"/>
      <c r="R86" s="13"/>
      <c r="T86" s="78">
        <v>3645</v>
      </c>
      <c r="U86" s="13" t="s">
        <v>648</v>
      </c>
      <c r="W86" s="78"/>
      <c r="X86" s="13"/>
    </row>
    <row r="87" spans="2:24">
      <c r="B87" s="118">
        <v>1445</v>
      </c>
      <c r="C87" s="102" t="s">
        <v>633</v>
      </c>
      <c r="E87" s="20">
        <v>526</v>
      </c>
      <c r="F87" s="13" t="s">
        <v>628</v>
      </c>
      <c r="H87" s="20">
        <v>526</v>
      </c>
      <c r="I87" s="13" t="s">
        <v>628</v>
      </c>
      <c r="K87" s="20">
        <v>1094</v>
      </c>
      <c r="L87" s="13" t="s">
        <v>603</v>
      </c>
      <c r="N87" s="81"/>
      <c r="O87" s="80"/>
      <c r="Q87" s="78" t="s">
        <v>647</v>
      </c>
      <c r="R87" s="78" t="s">
        <v>646</v>
      </c>
      <c r="T87" s="78">
        <v>3648</v>
      </c>
      <c r="U87" s="13" t="s">
        <v>645</v>
      </c>
      <c r="W87" s="78"/>
      <c r="X87" s="13"/>
    </row>
    <row r="88" spans="2:24">
      <c r="B88" s="20">
        <v>3668</v>
      </c>
      <c r="C88" s="84" t="s">
        <v>600</v>
      </c>
      <c r="E88" s="20">
        <v>748</v>
      </c>
      <c r="F88" s="13" t="s">
        <v>644</v>
      </c>
      <c r="H88" s="20">
        <v>748</v>
      </c>
      <c r="I88" s="13" t="s">
        <v>644</v>
      </c>
      <c r="K88" s="20">
        <v>1134</v>
      </c>
      <c r="L88" s="13" t="s">
        <v>265</v>
      </c>
      <c r="N88" s="81"/>
      <c r="O88" s="80"/>
      <c r="Q88" s="20"/>
      <c r="R88" s="13"/>
      <c r="T88" s="78">
        <v>3673</v>
      </c>
      <c r="U88" s="13" t="s">
        <v>643</v>
      </c>
      <c r="W88" s="78"/>
      <c r="X88" s="13"/>
    </row>
    <row r="89" spans="2:24">
      <c r="B89" s="20">
        <v>4048</v>
      </c>
      <c r="C89" s="84" t="s">
        <v>575</v>
      </c>
      <c r="E89" s="20">
        <v>800</v>
      </c>
      <c r="F89" s="13" t="s">
        <v>634</v>
      </c>
      <c r="H89" s="20">
        <v>800</v>
      </c>
      <c r="I89" s="13" t="s">
        <v>634</v>
      </c>
      <c r="K89" s="20">
        <v>1253</v>
      </c>
      <c r="L89" s="13" t="s">
        <v>631</v>
      </c>
      <c r="N89" s="81"/>
      <c r="O89" s="80"/>
      <c r="Q89" s="20"/>
      <c r="R89" s="13"/>
      <c r="T89" s="78">
        <v>3675</v>
      </c>
      <c r="U89" s="13" t="s">
        <v>642</v>
      </c>
      <c r="W89" s="78"/>
      <c r="X89" s="13"/>
    </row>
    <row r="90" spans="2:24">
      <c r="B90" s="117">
        <v>4072</v>
      </c>
      <c r="C90" s="116" t="s">
        <v>573</v>
      </c>
      <c r="E90" s="20">
        <v>958</v>
      </c>
      <c r="F90" s="13" t="s">
        <v>605</v>
      </c>
      <c r="H90" s="20">
        <v>958</v>
      </c>
      <c r="I90" s="13" t="s">
        <v>605</v>
      </c>
      <c r="K90" s="20">
        <v>1328</v>
      </c>
      <c r="L90" s="13" t="s">
        <v>570</v>
      </c>
      <c r="N90" s="81"/>
      <c r="O90" s="80"/>
      <c r="Q90" s="20"/>
      <c r="R90" s="13"/>
      <c r="T90" s="78">
        <v>3713</v>
      </c>
      <c r="U90" s="13" t="s">
        <v>641</v>
      </c>
      <c r="W90" s="78"/>
      <c r="X90" s="13"/>
    </row>
    <row r="91" spans="2:24">
      <c r="B91" s="20">
        <v>4115</v>
      </c>
      <c r="C91" s="116" t="s">
        <v>569</v>
      </c>
      <c r="E91" s="20">
        <v>1020</v>
      </c>
      <c r="F91" s="13" t="s">
        <v>619</v>
      </c>
      <c r="H91" s="20">
        <v>1020</v>
      </c>
      <c r="I91" s="13" t="s">
        <v>619</v>
      </c>
      <c r="K91" s="20">
        <v>1445</v>
      </c>
      <c r="L91" s="13" t="s">
        <v>633</v>
      </c>
      <c r="N91" s="81"/>
      <c r="O91" s="80"/>
      <c r="Q91" s="20"/>
      <c r="R91" s="13"/>
      <c r="T91" s="78">
        <v>3771</v>
      </c>
      <c r="U91" s="13" t="s">
        <v>640</v>
      </c>
      <c r="W91" s="20"/>
      <c r="X91" s="13"/>
    </row>
    <row r="92" spans="2:24">
      <c r="B92" s="20">
        <v>4091</v>
      </c>
      <c r="C92" s="13" t="s">
        <v>451</v>
      </c>
      <c r="E92" s="20">
        <v>1094</v>
      </c>
      <c r="F92" s="13" t="s">
        <v>603</v>
      </c>
      <c r="H92" s="20">
        <v>1094</v>
      </c>
      <c r="I92" s="13" t="s">
        <v>603</v>
      </c>
      <c r="K92" s="20">
        <v>1446</v>
      </c>
      <c r="L92" s="13" t="s">
        <v>630</v>
      </c>
      <c r="N92" s="81"/>
      <c r="O92" s="80"/>
      <c r="Q92" s="78"/>
      <c r="R92" s="78"/>
      <c r="T92" s="78">
        <v>3787</v>
      </c>
      <c r="U92" s="13" t="s">
        <v>639</v>
      </c>
      <c r="W92" s="78"/>
      <c r="X92" s="13"/>
    </row>
    <row r="93" spans="2:24">
      <c r="B93" s="20">
        <v>4076</v>
      </c>
      <c r="C93" s="13" t="s">
        <v>638</v>
      </c>
      <c r="E93" s="20">
        <v>1134</v>
      </c>
      <c r="F93" s="13" t="s">
        <v>265</v>
      </c>
      <c r="H93" s="20">
        <v>1134</v>
      </c>
      <c r="I93" s="13" t="s">
        <v>265</v>
      </c>
      <c r="K93" s="20">
        <v>1562</v>
      </c>
      <c r="L93" s="13" t="s">
        <v>601</v>
      </c>
      <c r="N93" s="81"/>
      <c r="O93" s="80"/>
      <c r="Q93" s="20"/>
      <c r="R93" s="13"/>
      <c r="T93" s="78">
        <v>2210</v>
      </c>
      <c r="U93" s="13" t="s">
        <v>637</v>
      </c>
      <c r="W93" s="78"/>
      <c r="X93" s="13"/>
    </row>
    <row r="94" spans="2:24">
      <c r="B94" s="115">
        <v>676</v>
      </c>
      <c r="C94" s="114" t="s">
        <v>225</v>
      </c>
      <c r="E94" s="20">
        <v>1253</v>
      </c>
      <c r="F94" s="13" t="s">
        <v>631</v>
      </c>
      <c r="H94" s="20">
        <v>1253</v>
      </c>
      <c r="I94" s="13" t="s">
        <v>631</v>
      </c>
      <c r="K94" s="20">
        <v>1571</v>
      </c>
      <c r="L94" s="13" t="s">
        <v>598</v>
      </c>
      <c r="N94" s="81"/>
      <c r="O94" s="80"/>
      <c r="Q94" s="20"/>
      <c r="R94" s="13"/>
      <c r="T94" s="78">
        <v>2461</v>
      </c>
      <c r="U94" s="13" t="s">
        <v>636</v>
      </c>
      <c r="W94" s="78"/>
      <c r="X94" s="13"/>
    </row>
    <row r="95" spans="2:24">
      <c r="B95" s="20">
        <v>2756</v>
      </c>
      <c r="C95" s="113" t="s">
        <v>612</v>
      </c>
      <c r="E95" s="20">
        <v>1328</v>
      </c>
      <c r="F95" s="13" t="s">
        <v>570</v>
      </c>
      <c r="H95" s="20">
        <v>1328</v>
      </c>
      <c r="I95" s="13" t="s">
        <v>570</v>
      </c>
      <c r="K95" s="20">
        <v>1572</v>
      </c>
      <c r="L95" s="13" t="s">
        <v>270</v>
      </c>
      <c r="N95" s="81"/>
      <c r="O95" s="80"/>
      <c r="Q95" s="20"/>
      <c r="R95" s="13"/>
      <c r="T95" s="78">
        <v>2488</v>
      </c>
      <c r="U95" s="13" t="s">
        <v>635</v>
      </c>
      <c r="W95" s="78"/>
      <c r="X95" s="13"/>
    </row>
    <row r="96" spans="2:24">
      <c r="B96" s="20">
        <v>800</v>
      </c>
      <c r="C96" s="13" t="s">
        <v>634</v>
      </c>
      <c r="E96" s="20">
        <v>1445</v>
      </c>
      <c r="F96" s="13" t="s">
        <v>633</v>
      </c>
      <c r="H96" s="20">
        <v>1445</v>
      </c>
      <c r="I96" s="13" t="s">
        <v>633</v>
      </c>
      <c r="K96" s="20">
        <v>1594</v>
      </c>
      <c r="L96" s="13" t="s">
        <v>623</v>
      </c>
      <c r="N96" s="101"/>
      <c r="O96" s="111"/>
      <c r="Q96" s="20"/>
      <c r="R96" s="13"/>
      <c r="T96" s="78">
        <v>2625</v>
      </c>
      <c r="U96" s="13" t="s">
        <v>632</v>
      </c>
      <c r="W96" s="78"/>
      <c r="X96" s="13"/>
    </row>
    <row r="97" spans="2:24">
      <c r="B97" s="20">
        <v>1253</v>
      </c>
      <c r="C97" s="13" t="s">
        <v>631</v>
      </c>
      <c r="E97" s="20">
        <v>1446</v>
      </c>
      <c r="F97" s="13" t="s">
        <v>630</v>
      </c>
      <c r="H97" s="20">
        <v>1446</v>
      </c>
      <c r="I97" s="13" t="s">
        <v>630</v>
      </c>
      <c r="K97" s="20">
        <v>1610</v>
      </c>
      <c r="L97" s="13" t="s">
        <v>564</v>
      </c>
      <c r="N97" s="81"/>
      <c r="O97" s="80"/>
      <c r="Q97" s="78"/>
      <c r="R97" s="78"/>
      <c r="T97" s="78">
        <v>3135</v>
      </c>
      <c r="U97" s="13" t="s">
        <v>629</v>
      </c>
      <c r="W97" s="78"/>
      <c r="X97" s="13"/>
    </row>
    <row r="98" spans="2:24">
      <c r="B98" s="20">
        <v>526</v>
      </c>
      <c r="C98" s="113" t="s">
        <v>628</v>
      </c>
      <c r="E98" s="20">
        <v>1562</v>
      </c>
      <c r="F98" s="13" t="s">
        <v>601</v>
      </c>
      <c r="H98" s="20">
        <v>1562</v>
      </c>
      <c r="I98" s="13" t="s">
        <v>601</v>
      </c>
      <c r="K98" s="20">
        <v>1643</v>
      </c>
      <c r="L98" s="13" t="s">
        <v>544</v>
      </c>
      <c r="N98" s="81"/>
      <c r="O98" s="80"/>
      <c r="Q98" s="20"/>
      <c r="R98" s="13"/>
      <c r="T98" s="78">
        <v>3292</v>
      </c>
      <c r="U98" s="13" t="s">
        <v>627</v>
      </c>
      <c r="W98" s="78"/>
      <c r="X98" s="13"/>
    </row>
    <row r="99" spans="2:24">
      <c r="B99" s="20">
        <v>71</v>
      </c>
      <c r="C99" s="84" t="s">
        <v>626</v>
      </c>
      <c r="E99" s="20">
        <v>1571</v>
      </c>
      <c r="F99" s="13" t="s">
        <v>598</v>
      </c>
      <c r="H99" s="20">
        <v>1571</v>
      </c>
      <c r="I99" s="13" t="s">
        <v>598</v>
      </c>
      <c r="K99" s="20">
        <v>1677</v>
      </c>
      <c r="L99" s="13" t="s">
        <v>596</v>
      </c>
      <c r="N99" s="81"/>
      <c r="O99" s="80"/>
      <c r="Q99" s="20"/>
      <c r="R99" s="13"/>
      <c r="T99" s="78">
        <v>3293</v>
      </c>
      <c r="U99" s="13" t="s">
        <v>625</v>
      </c>
      <c r="W99" s="78"/>
      <c r="X99" s="13"/>
    </row>
    <row r="100" spans="2:24">
      <c r="B100" s="20">
        <v>1963</v>
      </c>
      <c r="C100" s="84" t="s">
        <v>614</v>
      </c>
      <c r="E100" s="20">
        <v>1572</v>
      </c>
      <c r="F100" s="13" t="s">
        <v>270</v>
      </c>
      <c r="H100" s="20">
        <v>1572</v>
      </c>
      <c r="I100" s="13" t="s">
        <v>270</v>
      </c>
      <c r="K100" s="20">
        <v>1677</v>
      </c>
      <c r="L100" s="13" t="s">
        <v>596</v>
      </c>
      <c r="N100" s="81"/>
      <c r="O100" s="80"/>
      <c r="Q100" s="20"/>
      <c r="R100" s="13"/>
      <c r="T100" s="78">
        <v>3304</v>
      </c>
      <c r="U100" s="13" t="s">
        <v>624</v>
      </c>
      <c r="W100" s="78"/>
      <c r="X100" s="13"/>
    </row>
    <row r="101" spans="2:24">
      <c r="B101" s="20">
        <v>3171</v>
      </c>
      <c r="C101" s="13" t="s">
        <v>607</v>
      </c>
      <c r="E101" s="20">
        <v>1594</v>
      </c>
      <c r="F101" s="13" t="s">
        <v>623</v>
      </c>
      <c r="H101" s="20">
        <v>1594</v>
      </c>
      <c r="I101" s="13" t="s">
        <v>623</v>
      </c>
      <c r="K101" s="20">
        <v>1777</v>
      </c>
      <c r="L101" s="13" t="s">
        <v>594</v>
      </c>
      <c r="N101" s="81"/>
      <c r="O101" s="80"/>
      <c r="Q101" s="78"/>
      <c r="R101" s="78"/>
      <c r="T101" s="78">
        <v>3305</v>
      </c>
      <c r="U101" s="13" t="s">
        <v>622</v>
      </c>
      <c r="W101" s="78"/>
      <c r="X101" s="13"/>
    </row>
    <row r="102" spans="2:24">
      <c r="B102" s="48">
        <v>489</v>
      </c>
      <c r="C102" s="47" t="s">
        <v>621</v>
      </c>
      <c r="E102" s="20">
        <v>1610</v>
      </c>
      <c r="F102" s="13" t="s">
        <v>564</v>
      </c>
      <c r="H102" s="20">
        <v>1610</v>
      </c>
      <c r="I102" s="13" t="s">
        <v>564</v>
      </c>
      <c r="K102" s="20">
        <v>1933</v>
      </c>
      <c r="L102" s="13" t="s">
        <v>579</v>
      </c>
      <c r="N102" s="81"/>
      <c r="O102" s="80"/>
      <c r="Q102" s="78"/>
      <c r="R102" s="13"/>
      <c r="T102" s="78">
        <v>3371</v>
      </c>
      <c r="U102" s="13" t="s">
        <v>620</v>
      </c>
      <c r="W102" s="78"/>
      <c r="X102" s="13"/>
    </row>
    <row r="103" spans="2:24">
      <c r="B103" s="48">
        <v>1020</v>
      </c>
      <c r="C103" s="47" t="s">
        <v>619</v>
      </c>
      <c r="E103" s="20">
        <v>1643</v>
      </c>
      <c r="F103" s="13" t="s">
        <v>544</v>
      </c>
      <c r="H103" s="20">
        <v>1643</v>
      </c>
      <c r="I103" s="13" t="s">
        <v>544</v>
      </c>
      <c r="K103" s="20">
        <v>1963</v>
      </c>
      <c r="L103" s="13" t="s">
        <v>614</v>
      </c>
      <c r="N103" s="81"/>
      <c r="O103" s="80"/>
      <c r="Q103" s="78"/>
      <c r="R103" s="13"/>
      <c r="T103" s="78">
        <v>3372</v>
      </c>
      <c r="U103" s="13" t="s">
        <v>618</v>
      </c>
      <c r="W103" s="78"/>
      <c r="X103" s="13"/>
    </row>
    <row r="104" spans="2:24">
      <c r="B104" s="20">
        <v>2866</v>
      </c>
      <c r="C104" s="102" t="s">
        <v>610</v>
      </c>
      <c r="E104" s="20">
        <v>1677</v>
      </c>
      <c r="F104" s="13" t="s">
        <v>596</v>
      </c>
      <c r="H104" s="20">
        <v>1677</v>
      </c>
      <c r="I104" s="13" t="s">
        <v>596</v>
      </c>
      <c r="K104" s="20">
        <v>2756</v>
      </c>
      <c r="L104" s="13" t="s">
        <v>612</v>
      </c>
      <c r="N104" s="81"/>
      <c r="O104" s="80"/>
      <c r="Q104" s="20"/>
      <c r="R104" s="13"/>
      <c r="T104" s="78">
        <v>3394</v>
      </c>
      <c r="U104" s="112" t="s">
        <v>617</v>
      </c>
      <c r="W104" s="78"/>
      <c r="X104" s="13"/>
    </row>
    <row r="105" spans="2:24">
      <c r="B105" s="20">
        <v>3990</v>
      </c>
      <c r="C105" s="13" t="s">
        <v>578</v>
      </c>
      <c r="E105" s="20">
        <v>1677</v>
      </c>
      <c r="F105" s="13" t="s">
        <v>596</v>
      </c>
      <c r="H105" s="20">
        <v>1677</v>
      </c>
      <c r="I105" s="13" t="s">
        <v>596</v>
      </c>
      <c r="K105" s="20">
        <v>2866</v>
      </c>
      <c r="L105" s="13" t="s">
        <v>610</v>
      </c>
      <c r="N105" s="81"/>
      <c r="O105" s="80"/>
      <c r="Q105" s="20"/>
      <c r="R105" s="13"/>
      <c r="T105" s="78">
        <v>3588</v>
      </c>
      <c r="U105" s="78" t="s">
        <v>616</v>
      </c>
      <c r="W105" s="78"/>
      <c r="X105" s="13"/>
    </row>
    <row r="106" spans="2:24">
      <c r="B106" s="20">
        <v>3263</v>
      </c>
      <c r="C106" s="13" t="s">
        <v>252</v>
      </c>
      <c r="E106" s="20">
        <v>1777</v>
      </c>
      <c r="F106" s="13" t="s">
        <v>594</v>
      </c>
      <c r="H106" s="20">
        <v>1777</v>
      </c>
      <c r="I106" s="13" t="s">
        <v>594</v>
      </c>
      <c r="K106" s="20">
        <v>3046</v>
      </c>
      <c r="L106" s="13" t="s">
        <v>262</v>
      </c>
      <c r="N106" s="81"/>
      <c r="O106" s="80"/>
      <c r="Q106" s="20"/>
      <c r="R106" s="13"/>
      <c r="T106" s="78">
        <v>3626</v>
      </c>
      <c r="U106" s="13" t="s">
        <v>117</v>
      </c>
      <c r="W106" s="20"/>
      <c r="X106" s="13"/>
    </row>
    <row r="107" spans="2:24">
      <c r="B107" s="20">
        <v>3799</v>
      </c>
      <c r="C107" s="102" t="s">
        <v>587</v>
      </c>
      <c r="E107" s="20">
        <v>1933</v>
      </c>
      <c r="F107" s="13" t="s">
        <v>579</v>
      </c>
      <c r="H107" s="20">
        <v>1933</v>
      </c>
      <c r="I107" s="13" t="s">
        <v>579</v>
      </c>
      <c r="K107" s="20">
        <v>3171</v>
      </c>
      <c r="L107" s="13" t="s">
        <v>607</v>
      </c>
      <c r="N107" s="81"/>
      <c r="O107" s="80"/>
      <c r="Q107" s="20"/>
      <c r="R107" s="13"/>
      <c r="T107" s="78">
        <v>3671</v>
      </c>
      <c r="U107" s="13" t="s">
        <v>615</v>
      </c>
      <c r="W107" s="78"/>
      <c r="X107" s="13"/>
    </row>
    <row r="108" spans="2:24">
      <c r="B108" s="20">
        <v>3798</v>
      </c>
      <c r="C108" s="102" t="s">
        <v>590</v>
      </c>
      <c r="E108" s="20">
        <v>1963</v>
      </c>
      <c r="F108" s="13" t="s">
        <v>614</v>
      </c>
      <c r="H108" s="20">
        <v>1963</v>
      </c>
      <c r="I108" s="13" t="s">
        <v>614</v>
      </c>
      <c r="K108" s="20">
        <v>3234</v>
      </c>
      <c r="L108" s="13" t="s">
        <v>591</v>
      </c>
      <c r="N108" s="81"/>
      <c r="O108" s="80"/>
      <c r="Q108" s="20"/>
      <c r="R108" s="13"/>
      <c r="T108" s="78">
        <v>3694</v>
      </c>
      <c r="U108" s="13" t="s">
        <v>613</v>
      </c>
      <c r="W108" s="78"/>
      <c r="X108" s="13"/>
    </row>
    <row r="109" spans="2:24">
      <c r="B109" s="20">
        <v>3913</v>
      </c>
      <c r="C109" s="84" t="s">
        <v>581</v>
      </c>
      <c r="E109" s="20">
        <v>2756</v>
      </c>
      <c r="F109" s="13" t="s">
        <v>612</v>
      </c>
      <c r="H109" s="20">
        <v>2756</v>
      </c>
      <c r="I109" s="13" t="s">
        <v>612</v>
      </c>
      <c r="K109" s="20">
        <v>3263</v>
      </c>
      <c r="L109" s="13" t="s">
        <v>252</v>
      </c>
      <c r="N109" s="81"/>
      <c r="O109" s="80"/>
      <c r="Q109" s="78"/>
      <c r="R109" s="78"/>
      <c r="T109" s="78">
        <v>3695</v>
      </c>
      <c r="U109" s="13" t="s">
        <v>611</v>
      </c>
      <c r="W109" s="78"/>
      <c r="X109" s="13"/>
    </row>
    <row r="110" spans="2:24">
      <c r="B110" s="20">
        <v>4124</v>
      </c>
      <c r="C110" s="84" t="s">
        <v>559</v>
      </c>
      <c r="E110" s="20">
        <v>2866</v>
      </c>
      <c r="F110" s="13" t="s">
        <v>610</v>
      </c>
      <c r="H110" s="20">
        <v>2866</v>
      </c>
      <c r="I110" s="13" t="s">
        <v>610</v>
      </c>
      <c r="K110" s="20">
        <v>3668</v>
      </c>
      <c r="L110" s="13" t="s">
        <v>600</v>
      </c>
      <c r="N110" s="81"/>
      <c r="O110" s="80"/>
      <c r="Q110" s="78"/>
      <c r="R110" s="13"/>
      <c r="T110" s="78">
        <v>3712</v>
      </c>
      <c r="U110" s="13" t="s">
        <v>609</v>
      </c>
      <c r="W110" s="78"/>
      <c r="X110" s="13"/>
    </row>
    <row r="111" spans="2:24">
      <c r="B111" s="20">
        <v>4126</v>
      </c>
      <c r="C111" s="13" t="s">
        <v>608</v>
      </c>
      <c r="E111" s="20">
        <v>3046</v>
      </c>
      <c r="F111" s="13" t="s">
        <v>262</v>
      </c>
      <c r="H111" s="20">
        <v>3046</v>
      </c>
      <c r="I111" s="13" t="s">
        <v>262</v>
      </c>
      <c r="K111" s="20">
        <v>3745</v>
      </c>
      <c r="L111" s="13" t="s">
        <v>588</v>
      </c>
      <c r="N111" s="81"/>
      <c r="O111" s="80"/>
      <c r="Q111" s="78"/>
      <c r="R111" s="13"/>
      <c r="T111" s="78">
        <v>3743</v>
      </c>
      <c r="U111" s="13" t="s">
        <v>217</v>
      </c>
      <c r="W111" s="78"/>
      <c r="X111" s="13"/>
    </row>
    <row r="112" spans="2:24">
      <c r="B112" s="20">
        <v>4155</v>
      </c>
      <c r="C112" s="102" t="s">
        <v>563</v>
      </c>
      <c r="E112" s="20">
        <v>3171</v>
      </c>
      <c r="F112" s="13" t="s">
        <v>607</v>
      </c>
      <c r="H112" s="20">
        <v>3171</v>
      </c>
      <c r="I112" s="13" t="s">
        <v>607</v>
      </c>
      <c r="K112" s="20">
        <v>3751</v>
      </c>
      <c r="L112" s="13" t="s">
        <v>585</v>
      </c>
      <c r="N112" s="81"/>
      <c r="O112" s="80"/>
      <c r="Q112" s="20"/>
      <c r="R112" s="13"/>
      <c r="T112" s="78">
        <v>3759</v>
      </c>
      <c r="U112" s="13" t="s">
        <v>606</v>
      </c>
      <c r="W112" s="78"/>
      <c r="X112" s="13"/>
    </row>
    <row r="113" spans="2:24">
      <c r="B113" s="18">
        <v>958</v>
      </c>
      <c r="C113" s="110" t="s">
        <v>605</v>
      </c>
      <c r="E113" s="20">
        <v>3234</v>
      </c>
      <c r="F113" s="13" t="s">
        <v>591</v>
      </c>
      <c r="H113" s="20">
        <v>3234</v>
      </c>
      <c r="I113" s="13" t="s">
        <v>591</v>
      </c>
      <c r="K113" s="20">
        <v>3758</v>
      </c>
      <c r="L113" s="13" t="s">
        <v>593</v>
      </c>
      <c r="N113" s="101"/>
      <c r="O113" s="111"/>
      <c r="Q113" s="20"/>
      <c r="R113" s="13"/>
      <c r="T113" s="78">
        <v>3772</v>
      </c>
      <c r="U113" s="13" t="s">
        <v>604</v>
      </c>
      <c r="W113" s="78"/>
      <c r="X113" s="13"/>
    </row>
    <row r="114" spans="2:24">
      <c r="B114" s="18">
        <v>1094</v>
      </c>
      <c r="C114" s="17" t="s">
        <v>603</v>
      </c>
      <c r="E114" s="20">
        <v>3263</v>
      </c>
      <c r="F114" s="13" t="s">
        <v>252</v>
      </c>
      <c r="H114" s="20">
        <v>3263</v>
      </c>
      <c r="I114" s="13" t="s">
        <v>252</v>
      </c>
      <c r="K114" s="20">
        <v>3798</v>
      </c>
      <c r="L114" s="13" t="s">
        <v>590</v>
      </c>
      <c r="N114" s="81"/>
      <c r="O114" s="80"/>
      <c r="Q114" s="78"/>
      <c r="R114" s="13"/>
      <c r="T114" s="78">
        <v>3779</v>
      </c>
      <c r="U114" s="13" t="s">
        <v>602</v>
      </c>
      <c r="W114" s="20"/>
      <c r="X114" s="13"/>
    </row>
    <row r="115" spans="2:24">
      <c r="B115" s="18">
        <v>1562</v>
      </c>
      <c r="C115" s="110" t="s">
        <v>601</v>
      </c>
      <c r="E115" s="20">
        <v>3668</v>
      </c>
      <c r="F115" s="13" t="s">
        <v>600</v>
      </c>
      <c r="H115" s="20">
        <v>3668</v>
      </c>
      <c r="I115" s="13" t="s">
        <v>600</v>
      </c>
      <c r="K115" s="20">
        <v>3799</v>
      </c>
      <c r="L115" s="13" t="s">
        <v>587</v>
      </c>
      <c r="N115" s="81"/>
      <c r="O115" s="80"/>
      <c r="Q115" s="78"/>
      <c r="R115" s="13"/>
      <c r="T115" s="78">
        <v>3781</v>
      </c>
      <c r="U115" s="13" t="s">
        <v>599</v>
      </c>
      <c r="W115" s="78"/>
      <c r="X115" s="13"/>
    </row>
    <row r="116" spans="2:24">
      <c r="B116" s="18">
        <v>1571</v>
      </c>
      <c r="C116" s="17" t="s">
        <v>598</v>
      </c>
      <c r="E116" s="20">
        <v>3745</v>
      </c>
      <c r="F116" s="13" t="s">
        <v>588</v>
      </c>
      <c r="H116" s="20">
        <v>3745</v>
      </c>
      <c r="I116" s="13" t="s">
        <v>588</v>
      </c>
      <c r="K116" s="20">
        <v>3854</v>
      </c>
      <c r="L116" s="13" t="s">
        <v>584</v>
      </c>
      <c r="N116" s="81"/>
      <c r="O116" s="105"/>
      <c r="Q116" s="78"/>
      <c r="R116" s="13"/>
      <c r="T116" s="78">
        <v>3782</v>
      </c>
      <c r="U116" s="13" t="s">
        <v>597</v>
      </c>
      <c r="W116" s="78"/>
      <c r="X116" s="13"/>
    </row>
    <row r="117" spans="2:24">
      <c r="B117" s="18">
        <v>1677</v>
      </c>
      <c r="C117" s="17" t="s">
        <v>596</v>
      </c>
      <c r="E117" s="20">
        <v>3751</v>
      </c>
      <c r="F117" s="13" t="s">
        <v>585</v>
      </c>
      <c r="H117" s="20">
        <v>3751</v>
      </c>
      <c r="I117" s="13" t="s">
        <v>585</v>
      </c>
      <c r="K117" s="20">
        <v>3913</v>
      </c>
      <c r="L117" s="13" t="s">
        <v>581</v>
      </c>
      <c r="N117" s="81"/>
      <c r="O117" s="80"/>
      <c r="Q117" s="20"/>
      <c r="R117" s="13"/>
      <c r="T117" s="78">
        <v>3783</v>
      </c>
      <c r="U117" s="13" t="s">
        <v>595</v>
      </c>
      <c r="W117" s="78"/>
      <c r="X117" s="13"/>
    </row>
    <row r="118" spans="2:24">
      <c r="B118" s="18">
        <v>1777</v>
      </c>
      <c r="C118" s="110" t="s">
        <v>594</v>
      </c>
      <c r="E118" s="20">
        <v>3758</v>
      </c>
      <c r="F118" s="13" t="s">
        <v>593</v>
      </c>
      <c r="H118" s="20">
        <v>3758</v>
      </c>
      <c r="I118" s="13" t="s">
        <v>593</v>
      </c>
      <c r="K118" s="20">
        <v>3990</v>
      </c>
      <c r="L118" s="13" t="s">
        <v>578</v>
      </c>
      <c r="N118" s="81"/>
      <c r="O118" s="80"/>
      <c r="Q118" s="78"/>
      <c r="R118" s="78"/>
      <c r="T118" s="78">
        <v>3784</v>
      </c>
      <c r="U118" s="13" t="s">
        <v>592</v>
      </c>
      <c r="W118" s="78"/>
      <c r="X118" s="13"/>
    </row>
    <row r="119" spans="2:24">
      <c r="B119" s="18">
        <v>3234</v>
      </c>
      <c r="C119" s="110" t="s">
        <v>591</v>
      </c>
      <c r="E119" s="20">
        <v>3798</v>
      </c>
      <c r="F119" s="13" t="s">
        <v>590</v>
      </c>
      <c r="H119" s="20">
        <v>3798</v>
      </c>
      <c r="I119" s="13" t="s">
        <v>590</v>
      </c>
      <c r="K119" s="20">
        <v>4048</v>
      </c>
      <c r="L119" s="13" t="s">
        <v>575</v>
      </c>
      <c r="N119" s="81"/>
      <c r="O119" s="80"/>
      <c r="Q119" s="78"/>
      <c r="R119" s="13"/>
      <c r="T119" s="78">
        <v>3789</v>
      </c>
      <c r="U119" s="13" t="s">
        <v>589</v>
      </c>
      <c r="W119" s="78"/>
      <c r="X119" s="13"/>
    </row>
    <row r="120" spans="2:24">
      <c r="B120" s="18">
        <v>3745</v>
      </c>
      <c r="C120" s="109" t="s">
        <v>588</v>
      </c>
      <c r="E120" s="20">
        <v>3799</v>
      </c>
      <c r="F120" s="13" t="s">
        <v>587</v>
      </c>
      <c r="H120" s="20">
        <v>3799</v>
      </c>
      <c r="I120" s="13" t="s">
        <v>587</v>
      </c>
      <c r="K120" s="20">
        <v>4072</v>
      </c>
      <c r="L120" s="13" t="s">
        <v>573</v>
      </c>
      <c r="N120" s="81"/>
      <c r="O120" s="105"/>
      <c r="Q120" s="78"/>
      <c r="R120" s="13"/>
      <c r="T120" s="20">
        <v>3793</v>
      </c>
      <c r="U120" s="13" t="s">
        <v>586</v>
      </c>
      <c r="W120" s="20"/>
      <c r="X120" s="13"/>
    </row>
    <row r="121" spans="2:24">
      <c r="B121" s="18">
        <v>3751</v>
      </c>
      <c r="C121" s="17" t="s">
        <v>585</v>
      </c>
      <c r="E121" s="20">
        <v>3854</v>
      </c>
      <c r="F121" s="13" t="s">
        <v>584</v>
      </c>
      <c r="H121" s="20">
        <v>3854</v>
      </c>
      <c r="I121" s="13" t="s">
        <v>584</v>
      </c>
      <c r="K121" s="20">
        <v>4115</v>
      </c>
      <c r="L121" s="13" t="s">
        <v>569</v>
      </c>
      <c r="N121" s="81"/>
      <c r="O121" s="80"/>
      <c r="Q121" s="78"/>
      <c r="R121" s="13"/>
      <c r="T121" s="78">
        <v>3792</v>
      </c>
      <c r="U121" s="13" t="s">
        <v>583</v>
      </c>
      <c r="W121" s="20"/>
      <c r="X121" s="13"/>
    </row>
    <row r="122" spans="2:24">
      <c r="B122" s="18">
        <v>3854</v>
      </c>
      <c r="C122" s="17" t="s">
        <v>582</v>
      </c>
      <c r="E122" s="20">
        <v>3913</v>
      </c>
      <c r="F122" s="13" t="s">
        <v>581</v>
      </c>
      <c r="H122" s="20">
        <v>3913</v>
      </c>
      <c r="I122" s="13" t="s">
        <v>581</v>
      </c>
      <c r="K122" s="20">
        <v>4124</v>
      </c>
      <c r="L122" s="13" t="s">
        <v>559</v>
      </c>
      <c r="N122" s="81"/>
      <c r="O122" s="80"/>
      <c r="Q122" s="78"/>
      <c r="R122" s="13"/>
      <c r="T122" s="78">
        <v>3800</v>
      </c>
      <c r="U122" s="13" t="s">
        <v>580</v>
      </c>
      <c r="W122" s="20"/>
      <c r="X122" s="13"/>
    </row>
    <row r="123" spans="2:24">
      <c r="B123" s="18">
        <v>1933</v>
      </c>
      <c r="C123" s="17" t="s">
        <v>579</v>
      </c>
      <c r="E123" s="20">
        <v>3990</v>
      </c>
      <c r="F123" s="13" t="s">
        <v>578</v>
      </c>
      <c r="H123" s="20">
        <v>3990</v>
      </c>
      <c r="I123" s="13" t="s">
        <v>578</v>
      </c>
      <c r="K123" s="20">
        <v>4155</v>
      </c>
      <c r="L123" s="13" t="s">
        <v>563</v>
      </c>
      <c r="N123" s="81"/>
      <c r="O123" s="80"/>
      <c r="Q123" s="78"/>
      <c r="R123" s="13"/>
      <c r="T123" s="78">
        <v>3804</v>
      </c>
      <c r="U123" s="13" t="s">
        <v>577</v>
      </c>
      <c r="W123" s="20"/>
      <c r="X123" s="13"/>
    </row>
    <row r="124" spans="2:24">
      <c r="B124" s="48">
        <v>2545</v>
      </c>
      <c r="C124" s="47" t="s">
        <v>576</v>
      </c>
      <c r="E124" s="20">
        <v>4048</v>
      </c>
      <c r="F124" s="13" t="s">
        <v>575</v>
      </c>
      <c r="H124" s="20">
        <v>4048</v>
      </c>
      <c r="I124" s="13" t="s">
        <v>575</v>
      </c>
      <c r="K124" s="20">
        <v>4279</v>
      </c>
      <c r="L124" s="13" t="s">
        <v>561</v>
      </c>
      <c r="N124" s="81"/>
      <c r="O124" s="80"/>
      <c r="Q124" s="20"/>
      <c r="R124" s="13"/>
      <c r="T124" s="78">
        <v>3842</v>
      </c>
      <c r="U124" s="13" t="s">
        <v>574</v>
      </c>
      <c r="W124" s="20"/>
      <c r="X124" s="13"/>
    </row>
    <row r="125" spans="2:24">
      <c r="B125" s="20">
        <v>1134</v>
      </c>
      <c r="C125" s="84" t="s">
        <v>265</v>
      </c>
      <c r="E125" s="20">
        <v>4072</v>
      </c>
      <c r="F125" s="13" t="s">
        <v>573</v>
      </c>
      <c r="H125" s="20">
        <v>4072</v>
      </c>
      <c r="I125" s="13" t="s">
        <v>573</v>
      </c>
      <c r="K125" s="108">
        <v>4296</v>
      </c>
      <c r="L125" s="107" t="s">
        <v>572</v>
      </c>
      <c r="N125" s="81"/>
      <c r="O125" s="80"/>
      <c r="Q125" s="20"/>
      <c r="R125" s="13"/>
      <c r="T125" s="78">
        <v>3856</v>
      </c>
      <c r="U125" s="13" t="s">
        <v>571</v>
      </c>
      <c r="W125" s="20"/>
      <c r="X125" s="13"/>
    </row>
    <row r="126" spans="2:24">
      <c r="B126" s="20">
        <v>1328</v>
      </c>
      <c r="C126" s="84" t="s">
        <v>570</v>
      </c>
      <c r="E126" s="20">
        <v>4115</v>
      </c>
      <c r="F126" s="13" t="s">
        <v>569</v>
      </c>
      <c r="H126" s="20">
        <v>4115</v>
      </c>
      <c r="I126" s="13" t="s">
        <v>569</v>
      </c>
      <c r="K126" s="108">
        <v>3305</v>
      </c>
      <c r="L126" s="107" t="s">
        <v>568</v>
      </c>
      <c r="N126" s="81"/>
      <c r="O126" s="80"/>
      <c r="Q126" s="78"/>
      <c r="R126" s="13"/>
      <c r="T126" s="78">
        <v>62</v>
      </c>
      <c r="U126" s="13" t="s">
        <v>567</v>
      </c>
      <c r="W126" s="20"/>
      <c r="X126" s="13"/>
    </row>
    <row r="127" spans="2:24">
      <c r="B127" s="58">
        <v>1572</v>
      </c>
      <c r="C127" s="102" t="s">
        <v>270</v>
      </c>
      <c r="E127" s="20">
        <v>4124</v>
      </c>
      <c r="F127" s="13" t="s">
        <v>559</v>
      </c>
      <c r="H127" s="20">
        <v>4124</v>
      </c>
      <c r="I127" s="13" t="s">
        <v>559</v>
      </c>
      <c r="K127" s="58">
        <v>1493</v>
      </c>
      <c r="L127" s="102" t="s">
        <v>566</v>
      </c>
      <c r="N127" s="81"/>
      <c r="O127" s="105"/>
      <c r="Q127" s="78"/>
      <c r="R127" s="13"/>
      <c r="T127" s="78">
        <v>63</v>
      </c>
      <c r="U127" s="13" t="s">
        <v>565</v>
      </c>
      <c r="W127" s="20"/>
      <c r="X127" s="13"/>
    </row>
    <row r="128" spans="2:24">
      <c r="B128" s="58">
        <v>1610</v>
      </c>
      <c r="C128" s="102" t="s">
        <v>564</v>
      </c>
      <c r="E128" s="20">
        <v>4155</v>
      </c>
      <c r="F128" s="13" t="s">
        <v>563</v>
      </c>
      <c r="H128" s="20">
        <v>4155</v>
      </c>
      <c r="I128" s="13" t="s">
        <v>563</v>
      </c>
      <c r="K128" s="58"/>
      <c r="L128" s="102"/>
      <c r="N128" s="101"/>
      <c r="O128" s="98"/>
      <c r="Q128" s="20"/>
      <c r="R128" s="13"/>
      <c r="T128" s="78">
        <v>66</v>
      </c>
      <c r="U128" s="13" t="s">
        <v>562</v>
      </c>
      <c r="W128" s="20"/>
      <c r="X128" s="13"/>
    </row>
    <row r="129" spans="2:24">
      <c r="B129" s="108">
        <v>3046</v>
      </c>
      <c r="C129" s="107" t="s">
        <v>262</v>
      </c>
      <c r="E129" s="20">
        <v>4279</v>
      </c>
      <c r="F129" s="13" t="s">
        <v>561</v>
      </c>
      <c r="H129" s="20">
        <v>4279</v>
      </c>
      <c r="I129" s="13" t="s">
        <v>561</v>
      </c>
      <c r="K129" s="58"/>
      <c r="L129" s="13"/>
      <c r="N129" s="81"/>
      <c r="O129" s="98"/>
      <c r="Q129" s="78"/>
      <c r="R129" s="78"/>
      <c r="T129" s="78">
        <v>67</v>
      </c>
      <c r="U129" s="13" t="s">
        <v>560</v>
      </c>
      <c r="W129" s="20"/>
      <c r="X129" s="13"/>
    </row>
    <row r="130" spans="2:24">
      <c r="B130" s="58">
        <v>4124</v>
      </c>
      <c r="C130" s="102" t="s">
        <v>559</v>
      </c>
      <c r="E130" s="58">
        <v>1700</v>
      </c>
      <c r="F130" s="102" t="s">
        <v>558</v>
      </c>
      <c r="H130" s="58">
        <v>1700</v>
      </c>
      <c r="I130" s="102" t="s">
        <v>558</v>
      </c>
      <c r="K130" s="58"/>
      <c r="L130" s="13"/>
      <c r="N130" s="81"/>
      <c r="O130" s="98"/>
      <c r="Q130" s="78"/>
      <c r="R130" s="13"/>
      <c r="T130" s="78">
        <v>68</v>
      </c>
      <c r="U130" s="13" t="s">
        <v>557</v>
      </c>
      <c r="W130" s="20"/>
      <c r="X130" s="13"/>
    </row>
    <row r="131" spans="2:24">
      <c r="B131" s="58">
        <v>4314</v>
      </c>
      <c r="C131" s="13" t="s">
        <v>556</v>
      </c>
      <c r="E131" s="58">
        <v>3571</v>
      </c>
      <c r="F131" s="102" t="s">
        <v>555</v>
      </c>
      <c r="H131" s="58">
        <v>3571</v>
      </c>
      <c r="I131" s="102" t="s">
        <v>555</v>
      </c>
      <c r="K131" s="58"/>
      <c r="L131" s="13"/>
      <c r="N131" s="81"/>
      <c r="O131" s="80"/>
      <c r="Q131" s="78"/>
      <c r="R131" s="13"/>
      <c r="T131" s="78">
        <v>72</v>
      </c>
      <c r="U131" s="13" t="s">
        <v>554</v>
      </c>
      <c r="W131" s="20"/>
      <c r="X131" s="13"/>
    </row>
    <row r="132" spans="2:24">
      <c r="B132" s="58" t="s">
        <v>553</v>
      </c>
      <c r="C132" s="13" t="s">
        <v>552</v>
      </c>
      <c r="E132" s="108">
        <v>4284</v>
      </c>
      <c r="F132" s="107" t="s">
        <v>551</v>
      </c>
      <c r="H132" s="108">
        <v>4284</v>
      </c>
      <c r="I132" s="107" t="s">
        <v>551</v>
      </c>
      <c r="K132" s="58"/>
      <c r="L132" s="13"/>
      <c r="N132" s="81"/>
      <c r="O132" s="80"/>
      <c r="Q132" s="20">
        <v>4254</v>
      </c>
      <c r="R132" s="13" t="s">
        <v>550</v>
      </c>
      <c r="T132" s="78">
        <v>82</v>
      </c>
      <c r="U132" s="13" t="s">
        <v>549</v>
      </c>
      <c r="W132" s="20"/>
      <c r="X132" s="13"/>
    </row>
    <row r="133" spans="2:24">
      <c r="B133" s="72">
        <v>4279</v>
      </c>
      <c r="C133" s="50" t="s">
        <v>548</v>
      </c>
      <c r="E133" s="58">
        <v>4296</v>
      </c>
      <c r="F133" s="102" t="s">
        <v>432</v>
      </c>
      <c r="H133" s="58">
        <v>4296</v>
      </c>
      <c r="I133" s="102" t="s">
        <v>432</v>
      </c>
      <c r="K133" s="58"/>
      <c r="L133" s="13"/>
      <c r="N133" s="81"/>
      <c r="O133" s="100"/>
      <c r="Q133" s="78">
        <v>4169</v>
      </c>
      <c r="R133" s="78" t="s">
        <v>547</v>
      </c>
      <c r="T133" s="78">
        <v>83</v>
      </c>
      <c r="U133" s="13" t="s">
        <v>546</v>
      </c>
      <c r="W133" s="20"/>
      <c r="X133" s="13"/>
    </row>
    <row r="134" spans="2:24">
      <c r="B134" s="72">
        <v>4230</v>
      </c>
      <c r="C134" s="50" t="s">
        <v>545</v>
      </c>
      <c r="E134" s="58">
        <v>1643</v>
      </c>
      <c r="F134" s="102" t="s">
        <v>544</v>
      </c>
      <c r="H134" s="58">
        <v>1643</v>
      </c>
      <c r="I134" s="102" t="s">
        <v>544</v>
      </c>
      <c r="K134" s="58"/>
      <c r="L134" s="13"/>
      <c r="N134" s="81"/>
      <c r="O134" s="80"/>
      <c r="Q134" s="78"/>
      <c r="R134" s="13"/>
      <c r="T134" s="78">
        <v>92</v>
      </c>
      <c r="U134" s="13" t="s">
        <v>543</v>
      </c>
      <c r="W134" s="20"/>
      <c r="X134" s="13"/>
    </row>
    <row r="135" spans="2:24">
      <c r="B135" s="106">
        <v>4072</v>
      </c>
      <c r="C135" s="50" t="s">
        <v>542</v>
      </c>
      <c r="E135" s="58"/>
      <c r="F135" s="13"/>
      <c r="H135" s="58"/>
      <c r="I135" s="13"/>
      <c r="K135" s="58"/>
      <c r="L135" s="13"/>
      <c r="N135" s="101"/>
      <c r="O135" s="98"/>
      <c r="Q135" s="78"/>
      <c r="R135" s="13"/>
      <c r="T135" s="20">
        <v>94</v>
      </c>
      <c r="U135" s="13" t="s">
        <v>541</v>
      </c>
      <c r="W135" s="78"/>
      <c r="X135" s="84"/>
    </row>
    <row r="136" spans="2:24">
      <c r="B136" s="103"/>
      <c r="C136" s="102"/>
      <c r="E136" s="58"/>
      <c r="F136" s="13"/>
      <c r="H136" s="58"/>
      <c r="I136" s="13"/>
      <c r="K136" s="58"/>
      <c r="L136" s="13"/>
      <c r="N136" s="81"/>
      <c r="O136" s="80"/>
      <c r="Q136" s="20">
        <v>4260</v>
      </c>
      <c r="R136" s="13" t="s">
        <v>540</v>
      </c>
      <c r="T136" s="78">
        <v>95</v>
      </c>
      <c r="U136" s="13" t="s">
        <v>539</v>
      </c>
      <c r="W136" s="78"/>
      <c r="X136" s="84"/>
    </row>
    <row r="137" spans="2:24">
      <c r="B137" s="58"/>
      <c r="C137" s="13"/>
      <c r="E137" s="58"/>
      <c r="F137" s="13"/>
      <c r="H137" s="58"/>
      <c r="I137" s="13"/>
      <c r="K137" s="58"/>
      <c r="L137" s="13"/>
      <c r="N137" s="81"/>
      <c r="O137" s="98"/>
      <c r="Q137" s="20">
        <v>4269</v>
      </c>
      <c r="R137" s="13" t="s">
        <v>538</v>
      </c>
      <c r="T137" s="78">
        <v>96</v>
      </c>
      <c r="U137" s="13" t="s">
        <v>537</v>
      </c>
      <c r="W137" s="78"/>
      <c r="X137" s="13"/>
    </row>
    <row r="138" spans="2:24">
      <c r="B138" s="58"/>
      <c r="C138" s="13"/>
      <c r="E138" s="58"/>
      <c r="F138" s="13"/>
      <c r="H138" s="58"/>
      <c r="I138" s="13"/>
      <c r="K138" s="58"/>
      <c r="L138" s="13"/>
      <c r="N138" s="81"/>
      <c r="O138" s="105"/>
      <c r="Q138" s="20">
        <v>4286</v>
      </c>
      <c r="R138" s="13" t="s">
        <v>536</v>
      </c>
      <c r="T138" s="78">
        <v>97</v>
      </c>
      <c r="U138" s="13" t="s">
        <v>535</v>
      </c>
      <c r="W138" s="78"/>
      <c r="X138" s="13"/>
    </row>
    <row r="139" spans="2:24">
      <c r="B139" s="103"/>
      <c r="C139" s="102"/>
      <c r="E139" s="103"/>
      <c r="F139" s="102"/>
      <c r="H139" s="103"/>
      <c r="I139" s="102"/>
      <c r="K139" s="99"/>
      <c r="L139" s="69"/>
      <c r="N139" s="81"/>
      <c r="O139" s="100"/>
      <c r="Q139" s="20">
        <v>561</v>
      </c>
      <c r="R139" s="13" t="s">
        <v>534</v>
      </c>
      <c r="T139" s="78">
        <v>98</v>
      </c>
      <c r="U139" s="13" t="s">
        <v>533</v>
      </c>
      <c r="W139" s="20"/>
      <c r="X139" s="13"/>
    </row>
    <row r="140" spans="2:24">
      <c r="B140" s="58"/>
      <c r="C140" s="13"/>
      <c r="E140" s="58"/>
      <c r="F140" s="13"/>
      <c r="H140" s="58"/>
      <c r="I140" s="13"/>
      <c r="K140" s="99"/>
      <c r="L140" s="69"/>
      <c r="N140" s="81"/>
      <c r="O140" s="80"/>
      <c r="Q140" s="20">
        <v>560</v>
      </c>
      <c r="R140" s="13" t="s">
        <v>532</v>
      </c>
      <c r="T140" s="78">
        <v>100</v>
      </c>
      <c r="U140" s="13" t="s">
        <v>531</v>
      </c>
      <c r="W140" s="20"/>
      <c r="X140" s="13"/>
    </row>
    <row r="141" spans="2:24">
      <c r="B141" s="58"/>
      <c r="C141" s="13"/>
      <c r="E141" s="58"/>
      <c r="F141" s="13"/>
      <c r="H141" s="58"/>
      <c r="I141" s="13"/>
      <c r="K141" s="99"/>
      <c r="L141" s="69"/>
      <c r="N141" s="81"/>
      <c r="O141" s="104"/>
      <c r="Q141" s="20">
        <v>1</v>
      </c>
      <c r="R141" s="13" t="s">
        <v>530</v>
      </c>
      <c r="T141" s="78">
        <v>102</v>
      </c>
      <c r="U141" s="13" t="s">
        <v>529</v>
      </c>
      <c r="W141" s="78"/>
      <c r="X141" s="84"/>
    </row>
    <row r="142" spans="2:24">
      <c r="B142" s="58">
        <v>416</v>
      </c>
      <c r="C142" s="13" t="s">
        <v>265</v>
      </c>
      <c r="E142" s="103"/>
      <c r="F142" s="102"/>
      <c r="H142" s="103"/>
      <c r="I142" s="102"/>
      <c r="K142" s="99"/>
      <c r="L142" s="69"/>
      <c r="N142" s="101"/>
      <c r="O142" s="98"/>
      <c r="Q142" s="20">
        <v>1007</v>
      </c>
      <c r="R142" s="13" t="s">
        <v>528</v>
      </c>
      <c r="T142" s="78">
        <v>104</v>
      </c>
      <c r="U142" s="13" t="s">
        <v>527</v>
      </c>
      <c r="W142" s="78"/>
      <c r="X142" s="84"/>
    </row>
    <row r="143" spans="2:24">
      <c r="B143" s="99">
        <v>465</v>
      </c>
      <c r="C143" s="69" t="s">
        <v>515</v>
      </c>
      <c r="E143" s="58"/>
      <c r="F143" s="13"/>
      <c r="H143" s="58"/>
      <c r="I143" s="13"/>
      <c r="K143" s="99"/>
      <c r="L143" s="69"/>
      <c r="N143" s="81"/>
      <c r="O143" s="80"/>
      <c r="Q143" s="20">
        <v>1010</v>
      </c>
      <c r="R143" s="13" t="s">
        <v>526</v>
      </c>
      <c r="T143" s="20">
        <v>107</v>
      </c>
      <c r="U143" s="13" t="s">
        <v>525</v>
      </c>
      <c r="W143" s="78"/>
      <c r="X143" s="84"/>
    </row>
    <row r="144" spans="2:24">
      <c r="B144" s="99">
        <v>1443</v>
      </c>
      <c r="C144" s="69" t="s">
        <v>512</v>
      </c>
      <c r="E144" s="58"/>
      <c r="F144" s="13"/>
      <c r="H144" s="58"/>
      <c r="I144" s="13"/>
      <c r="K144" s="99">
        <v>416</v>
      </c>
      <c r="L144" s="69" t="s">
        <v>265</v>
      </c>
      <c r="N144" s="81"/>
      <c r="O144" s="100"/>
      <c r="Q144" s="20">
        <v>4132</v>
      </c>
      <c r="R144" s="13" t="s">
        <v>524</v>
      </c>
      <c r="T144" s="78">
        <v>108</v>
      </c>
      <c r="U144" s="13" t="s">
        <v>523</v>
      </c>
      <c r="W144" s="78"/>
      <c r="X144" s="84"/>
    </row>
    <row r="145" spans="2:24">
      <c r="B145" s="97">
        <v>1656</v>
      </c>
      <c r="C145" s="96" t="s">
        <v>509</v>
      </c>
      <c r="E145" s="58"/>
      <c r="F145" s="13"/>
      <c r="H145" s="58"/>
      <c r="I145" s="13"/>
      <c r="K145" s="97">
        <v>465</v>
      </c>
      <c r="L145" s="96" t="s">
        <v>515</v>
      </c>
      <c r="N145" s="81"/>
      <c r="O145" s="80"/>
      <c r="Q145" s="20">
        <v>4294</v>
      </c>
      <c r="R145" s="13" t="s">
        <v>522</v>
      </c>
      <c r="T145" s="78">
        <v>109</v>
      </c>
      <c r="U145" s="13" t="s">
        <v>521</v>
      </c>
      <c r="W145" s="78"/>
      <c r="X145" s="84"/>
    </row>
    <row r="146" spans="2:24">
      <c r="B146" s="97">
        <v>2284</v>
      </c>
      <c r="C146" s="96" t="s">
        <v>259</v>
      </c>
      <c r="E146" s="99"/>
      <c r="F146" s="69"/>
      <c r="H146" s="99"/>
      <c r="I146" s="69"/>
      <c r="K146" s="97">
        <v>1443</v>
      </c>
      <c r="L146" s="96" t="s">
        <v>512</v>
      </c>
      <c r="N146" s="81"/>
      <c r="O146" s="98"/>
      <c r="Q146" s="20" t="s">
        <v>520</v>
      </c>
      <c r="R146" s="13" t="s">
        <v>519</v>
      </c>
      <c r="T146" s="78">
        <v>110</v>
      </c>
      <c r="U146" s="13" t="s">
        <v>518</v>
      </c>
      <c r="W146" s="78"/>
      <c r="X146" s="84"/>
    </row>
    <row r="147" spans="2:24">
      <c r="B147" s="58">
        <v>2327</v>
      </c>
      <c r="C147" s="13" t="s">
        <v>434</v>
      </c>
      <c r="E147" s="99">
        <v>416</v>
      </c>
      <c r="F147" s="69" t="s">
        <v>265</v>
      </c>
      <c r="H147" s="99">
        <v>416</v>
      </c>
      <c r="I147" s="69" t="s">
        <v>265</v>
      </c>
      <c r="K147" s="58">
        <v>1656</v>
      </c>
      <c r="L147" s="13" t="s">
        <v>509</v>
      </c>
      <c r="N147" s="81"/>
      <c r="O147" s="98"/>
      <c r="Q147" s="20">
        <v>2</v>
      </c>
      <c r="R147" s="13" t="s">
        <v>517</v>
      </c>
      <c r="T147" s="78">
        <v>111</v>
      </c>
      <c r="U147" s="13" t="s">
        <v>516</v>
      </c>
      <c r="W147" s="78"/>
      <c r="X147" s="84"/>
    </row>
    <row r="148" spans="2:24">
      <c r="B148" s="54">
        <v>2399</v>
      </c>
      <c r="C148" s="50" t="s">
        <v>504</v>
      </c>
      <c r="E148" s="97">
        <v>465</v>
      </c>
      <c r="F148" s="96" t="s">
        <v>515</v>
      </c>
      <c r="H148" s="97">
        <v>465</v>
      </c>
      <c r="I148" s="96" t="s">
        <v>515</v>
      </c>
      <c r="K148" s="54">
        <v>2284</v>
      </c>
      <c r="L148" s="50" t="s">
        <v>259</v>
      </c>
      <c r="N148" s="81"/>
      <c r="O148" s="80"/>
      <c r="Q148" s="20">
        <v>3</v>
      </c>
      <c r="R148" s="13" t="s">
        <v>514</v>
      </c>
      <c r="T148" s="78">
        <v>112</v>
      </c>
      <c r="U148" s="13" t="s">
        <v>513</v>
      </c>
      <c r="W148" s="78"/>
      <c r="X148" s="84"/>
    </row>
    <row r="149" spans="2:24">
      <c r="B149" s="54">
        <v>2516</v>
      </c>
      <c r="C149" s="47" t="s">
        <v>502</v>
      </c>
      <c r="E149" s="97">
        <v>1443</v>
      </c>
      <c r="F149" s="96" t="s">
        <v>512</v>
      </c>
      <c r="H149" s="97">
        <v>1443</v>
      </c>
      <c r="I149" s="96" t="s">
        <v>512</v>
      </c>
      <c r="K149" s="54">
        <v>2327</v>
      </c>
      <c r="L149" s="47" t="s">
        <v>434</v>
      </c>
      <c r="N149" s="81"/>
      <c r="O149" s="80"/>
      <c r="Q149" s="20">
        <v>4</v>
      </c>
      <c r="R149" s="13" t="s">
        <v>511</v>
      </c>
      <c r="T149" s="20">
        <v>113</v>
      </c>
      <c r="U149" s="13" t="s">
        <v>510</v>
      </c>
      <c r="W149" s="78"/>
      <c r="X149" s="84"/>
    </row>
    <row r="150" spans="2:24">
      <c r="B150" s="94">
        <v>2631</v>
      </c>
      <c r="C150" s="50" t="s">
        <v>500</v>
      </c>
      <c r="E150" s="58">
        <v>1656</v>
      </c>
      <c r="F150" s="13" t="s">
        <v>509</v>
      </c>
      <c r="H150" s="58">
        <v>1656</v>
      </c>
      <c r="I150" s="13" t="s">
        <v>509</v>
      </c>
      <c r="K150" s="94">
        <v>2399</v>
      </c>
      <c r="L150" s="71" t="s">
        <v>504</v>
      </c>
      <c r="N150" s="81"/>
      <c r="O150" s="80"/>
      <c r="Q150" s="20">
        <v>5</v>
      </c>
      <c r="R150" s="13" t="s">
        <v>508</v>
      </c>
      <c r="T150" s="20">
        <v>118</v>
      </c>
      <c r="U150" s="13" t="s">
        <v>507</v>
      </c>
      <c r="W150" s="78"/>
      <c r="X150" s="84"/>
    </row>
    <row r="151" spans="2:24">
      <c r="B151" s="93">
        <v>2649</v>
      </c>
      <c r="C151" s="50" t="s">
        <v>498</v>
      </c>
      <c r="E151" s="54">
        <v>2284</v>
      </c>
      <c r="F151" s="50" t="s">
        <v>259</v>
      </c>
      <c r="H151" s="54">
        <v>2284</v>
      </c>
      <c r="I151" s="50" t="s">
        <v>259</v>
      </c>
      <c r="K151" s="93">
        <v>2516</v>
      </c>
      <c r="L151" s="50" t="s">
        <v>502</v>
      </c>
      <c r="N151" s="81"/>
      <c r="O151" s="95"/>
      <c r="Q151" s="20"/>
      <c r="R151" s="13"/>
      <c r="T151" s="20">
        <v>126</v>
      </c>
      <c r="U151" s="13" t="s">
        <v>506</v>
      </c>
      <c r="W151" s="78"/>
      <c r="X151" s="84"/>
    </row>
    <row r="152" spans="2:24">
      <c r="B152" s="75">
        <v>2794</v>
      </c>
      <c r="C152" s="50" t="s">
        <v>496</v>
      </c>
      <c r="E152" s="54">
        <v>2327</v>
      </c>
      <c r="F152" s="47" t="s">
        <v>434</v>
      </c>
      <c r="H152" s="54">
        <v>2327</v>
      </c>
      <c r="I152" s="47" t="s">
        <v>434</v>
      </c>
      <c r="K152" s="75">
        <v>2631</v>
      </c>
      <c r="L152" s="50" t="s">
        <v>500</v>
      </c>
      <c r="N152" s="81"/>
      <c r="O152" s="80"/>
      <c r="Q152" s="20"/>
      <c r="R152" s="13"/>
      <c r="T152" s="20">
        <v>117</v>
      </c>
      <c r="U152" s="13" t="s">
        <v>505</v>
      </c>
      <c r="W152" s="78"/>
      <c r="X152" s="84"/>
    </row>
    <row r="153" spans="2:24">
      <c r="B153" s="75">
        <v>2837</v>
      </c>
      <c r="C153" s="50" t="s">
        <v>494</v>
      </c>
      <c r="E153" s="94">
        <v>2399</v>
      </c>
      <c r="F153" s="71" t="s">
        <v>504</v>
      </c>
      <c r="H153" s="94">
        <v>2399</v>
      </c>
      <c r="I153" s="71" t="s">
        <v>504</v>
      </c>
      <c r="K153" s="75">
        <v>2649</v>
      </c>
      <c r="L153" s="50" t="s">
        <v>498</v>
      </c>
      <c r="N153" s="81"/>
      <c r="O153" s="80"/>
      <c r="Q153" s="20"/>
      <c r="R153" s="13"/>
      <c r="T153" s="78">
        <v>433</v>
      </c>
      <c r="U153" s="13" t="s">
        <v>503</v>
      </c>
      <c r="W153" s="78"/>
      <c r="X153" s="84"/>
    </row>
    <row r="154" spans="2:24">
      <c r="B154" s="75">
        <v>2849</v>
      </c>
      <c r="C154" s="50" t="s">
        <v>491</v>
      </c>
      <c r="E154" s="93">
        <v>2516</v>
      </c>
      <c r="F154" s="50" t="s">
        <v>502</v>
      </c>
      <c r="H154" s="93">
        <v>2516</v>
      </c>
      <c r="I154" s="50" t="s">
        <v>502</v>
      </c>
      <c r="K154" s="75">
        <v>2794</v>
      </c>
      <c r="L154" s="50" t="s">
        <v>496</v>
      </c>
      <c r="N154" s="81"/>
      <c r="O154" s="80"/>
      <c r="Q154" s="20"/>
      <c r="R154" s="13"/>
      <c r="T154" s="78">
        <v>435</v>
      </c>
      <c r="U154" s="13" t="s">
        <v>501</v>
      </c>
      <c r="W154" s="78"/>
      <c r="X154" s="84"/>
    </row>
    <row r="155" spans="2:24">
      <c r="B155" s="75">
        <v>2851</v>
      </c>
      <c r="C155" s="50" t="s">
        <v>489</v>
      </c>
      <c r="E155" s="75">
        <v>2631</v>
      </c>
      <c r="F155" s="50" t="s">
        <v>500</v>
      </c>
      <c r="H155" s="75">
        <v>2631</v>
      </c>
      <c r="I155" s="50" t="s">
        <v>500</v>
      </c>
      <c r="K155" s="82">
        <v>2837</v>
      </c>
      <c r="L155" s="71" t="s">
        <v>494</v>
      </c>
      <c r="N155" s="81"/>
      <c r="O155" s="80"/>
      <c r="Q155" s="20"/>
      <c r="R155" s="13"/>
      <c r="T155" s="20">
        <v>3935</v>
      </c>
      <c r="U155" s="13" t="s">
        <v>499</v>
      </c>
      <c r="W155" s="78"/>
      <c r="X155" s="84"/>
    </row>
    <row r="156" spans="2:24">
      <c r="B156" s="75">
        <v>2890</v>
      </c>
      <c r="C156" s="50" t="s">
        <v>487</v>
      </c>
      <c r="E156" s="75">
        <v>2649</v>
      </c>
      <c r="F156" s="50" t="s">
        <v>498</v>
      </c>
      <c r="H156" s="75">
        <v>2649</v>
      </c>
      <c r="I156" s="50" t="s">
        <v>498</v>
      </c>
      <c r="K156" s="75">
        <v>2849</v>
      </c>
      <c r="L156" s="50" t="s">
        <v>491</v>
      </c>
      <c r="N156" s="81"/>
      <c r="O156" s="80"/>
      <c r="Q156" s="20"/>
      <c r="R156" s="13"/>
      <c r="T156" s="20">
        <v>3934</v>
      </c>
      <c r="U156" s="13" t="s">
        <v>497</v>
      </c>
      <c r="W156" s="78"/>
      <c r="X156" s="84"/>
    </row>
    <row r="157" spans="2:24">
      <c r="B157" s="54">
        <v>2895</v>
      </c>
      <c r="C157" s="50" t="s">
        <v>485</v>
      </c>
      <c r="E157" s="75">
        <v>2794</v>
      </c>
      <c r="F157" s="50" t="s">
        <v>496</v>
      </c>
      <c r="H157" s="75">
        <v>2794</v>
      </c>
      <c r="I157" s="50" t="s">
        <v>496</v>
      </c>
      <c r="K157" s="54">
        <v>2851</v>
      </c>
      <c r="L157" s="50" t="s">
        <v>489</v>
      </c>
      <c r="N157" s="81"/>
      <c r="O157" s="80"/>
      <c r="Q157" s="20"/>
      <c r="R157" s="13"/>
      <c r="T157" s="78">
        <v>3991</v>
      </c>
      <c r="U157" s="84" t="s">
        <v>495</v>
      </c>
      <c r="W157" s="78"/>
      <c r="X157" s="84"/>
    </row>
    <row r="158" spans="2:24">
      <c r="B158" s="75">
        <v>2938</v>
      </c>
      <c r="C158" s="58" t="s">
        <v>483</v>
      </c>
      <c r="E158" s="82">
        <v>2837</v>
      </c>
      <c r="F158" s="71" t="s">
        <v>494</v>
      </c>
      <c r="H158" s="82">
        <v>2837</v>
      </c>
      <c r="I158" s="71" t="s">
        <v>494</v>
      </c>
      <c r="K158" s="75">
        <v>2890</v>
      </c>
      <c r="L158" s="58" t="s">
        <v>487</v>
      </c>
      <c r="N158" s="81"/>
      <c r="O158" s="80"/>
      <c r="Q158" s="20"/>
      <c r="R158" s="13"/>
      <c r="T158" s="78" t="s">
        <v>493</v>
      </c>
      <c r="U158" s="84" t="s">
        <v>492</v>
      </c>
      <c r="W158" s="78"/>
      <c r="X158" s="84"/>
    </row>
    <row r="159" spans="2:24">
      <c r="B159" s="75">
        <v>2960</v>
      </c>
      <c r="C159" s="50" t="s">
        <v>481</v>
      </c>
      <c r="E159" s="75">
        <v>2849</v>
      </c>
      <c r="F159" s="50" t="s">
        <v>491</v>
      </c>
      <c r="H159" s="75">
        <v>2849</v>
      </c>
      <c r="I159" s="50" t="s">
        <v>491</v>
      </c>
      <c r="K159" s="75">
        <v>2895</v>
      </c>
      <c r="L159" s="50" t="s">
        <v>485</v>
      </c>
      <c r="N159" s="81"/>
      <c r="O159" s="80"/>
      <c r="Q159" s="20"/>
      <c r="R159" s="13"/>
      <c r="T159" s="78">
        <v>352</v>
      </c>
      <c r="U159" s="84" t="s">
        <v>490</v>
      </c>
      <c r="W159" s="78"/>
      <c r="X159" s="84"/>
    </row>
    <row r="160" spans="2:24">
      <c r="B160" s="75">
        <v>2984</v>
      </c>
      <c r="C160" s="50" t="s">
        <v>299</v>
      </c>
      <c r="E160" s="54">
        <v>2851</v>
      </c>
      <c r="F160" s="50" t="s">
        <v>489</v>
      </c>
      <c r="H160" s="54">
        <v>2851</v>
      </c>
      <c r="I160" s="50" t="s">
        <v>489</v>
      </c>
      <c r="K160" s="75">
        <v>2938</v>
      </c>
      <c r="L160" s="50" t="s">
        <v>483</v>
      </c>
      <c r="N160" s="81"/>
      <c r="O160" s="80"/>
      <c r="Q160" s="20"/>
      <c r="R160" s="13"/>
      <c r="T160" s="78">
        <v>582</v>
      </c>
      <c r="U160" s="84" t="s">
        <v>488</v>
      </c>
      <c r="W160" s="78"/>
      <c r="X160" s="84"/>
    </row>
    <row r="161" spans="2:24">
      <c r="B161" s="54">
        <v>3111</v>
      </c>
      <c r="C161" s="47" t="s">
        <v>476</v>
      </c>
      <c r="E161" s="75">
        <v>2890</v>
      </c>
      <c r="F161" s="58" t="s">
        <v>487</v>
      </c>
      <c r="H161" s="75">
        <v>2890</v>
      </c>
      <c r="I161" s="58" t="s">
        <v>487</v>
      </c>
      <c r="K161" s="54">
        <v>2960</v>
      </c>
      <c r="L161" s="47" t="s">
        <v>481</v>
      </c>
      <c r="N161" s="81"/>
      <c r="O161" s="80"/>
      <c r="Q161" s="20"/>
      <c r="R161" s="13"/>
      <c r="T161" s="78">
        <v>376</v>
      </c>
      <c r="U161" s="84" t="s">
        <v>486</v>
      </c>
      <c r="W161" s="78"/>
      <c r="X161" s="84"/>
    </row>
    <row r="162" spans="2:24">
      <c r="B162" s="75">
        <v>3123</v>
      </c>
      <c r="C162" s="47" t="s">
        <v>474</v>
      </c>
      <c r="E162" s="75">
        <v>2895</v>
      </c>
      <c r="F162" s="50" t="s">
        <v>485</v>
      </c>
      <c r="H162" s="75">
        <v>2895</v>
      </c>
      <c r="I162" s="50" t="s">
        <v>485</v>
      </c>
      <c r="K162" s="75">
        <v>2984</v>
      </c>
      <c r="L162" s="47" t="s">
        <v>299</v>
      </c>
      <c r="N162" s="81"/>
      <c r="O162" s="80"/>
      <c r="Q162" s="20"/>
      <c r="R162" s="13"/>
      <c r="T162" s="78">
        <v>4275</v>
      </c>
      <c r="U162" s="84" t="s">
        <v>484</v>
      </c>
      <c r="W162" s="78"/>
      <c r="X162" s="84"/>
    </row>
    <row r="163" spans="2:24">
      <c r="B163" s="75">
        <v>3187</v>
      </c>
      <c r="C163" s="50" t="s">
        <v>473</v>
      </c>
      <c r="E163" s="75">
        <v>2938</v>
      </c>
      <c r="F163" s="50" t="s">
        <v>483</v>
      </c>
      <c r="H163" s="75">
        <v>2938</v>
      </c>
      <c r="I163" s="50" t="s">
        <v>483</v>
      </c>
      <c r="K163" s="75">
        <v>3111</v>
      </c>
      <c r="L163" s="50" t="s">
        <v>476</v>
      </c>
      <c r="N163" s="81"/>
      <c r="O163" s="80"/>
      <c r="Q163" s="20"/>
      <c r="R163" s="13"/>
      <c r="T163" s="78">
        <v>602</v>
      </c>
      <c r="U163" s="84" t="s">
        <v>482</v>
      </c>
      <c r="W163" s="78"/>
      <c r="X163" s="84"/>
    </row>
    <row r="164" spans="2:24">
      <c r="B164" s="76">
        <v>3258</v>
      </c>
      <c r="C164" s="47" t="s">
        <v>471</v>
      </c>
      <c r="E164" s="54">
        <v>2960</v>
      </c>
      <c r="F164" s="47" t="s">
        <v>481</v>
      </c>
      <c r="H164" s="54">
        <v>2960</v>
      </c>
      <c r="I164" s="47" t="s">
        <v>481</v>
      </c>
      <c r="K164" s="76">
        <v>3123</v>
      </c>
      <c r="L164" s="47" t="s">
        <v>474</v>
      </c>
      <c r="N164" s="81"/>
      <c r="O164" s="80"/>
      <c r="Q164" s="20"/>
      <c r="R164" s="13"/>
      <c r="T164" s="78" t="s">
        <v>480</v>
      </c>
      <c r="U164" s="84" t="s">
        <v>479</v>
      </c>
      <c r="W164" s="78"/>
      <c r="X164" s="84"/>
    </row>
    <row r="165" spans="2:24">
      <c r="B165" s="89">
        <v>3303</v>
      </c>
      <c r="C165" s="50" t="s">
        <v>469</v>
      </c>
      <c r="E165" s="75">
        <v>2984</v>
      </c>
      <c r="F165" s="47" t="s">
        <v>299</v>
      </c>
      <c r="H165" s="75">
        <v>2984</v>
      </c>
      <c r="I165" s="47" t="s">
        <v>299</v>
      </c>
      <c r="K165" s="89">
        <v>3187</v>
      </c>
      <c r="L165" s="50" t="s">
        <v>473</v>
      </c>
      <c r="N165" s="81"/>
      <c r="O165" s="80"/>
      <c r="Q165" s="20"/>
      <c r="R165" s="13"/>
      <c r="T165" s="78" t="s">
        <v>478</v>
      </c>
      <c r="U165" s="84" t="s">
        <v>477</v>
      </c>
      <c r="W165" s="78"/>
      <c r="X165" s="84"/>
    </row>
    <row r="166" spans="2:24">
      <c r="B166" s="75">
        <v>3337</v>
      </c>
      <c r="C166" s="50" t="s">
        <v>468</v>
      </c>
      <c r="E166" s="75">
        <v>3111</v>
      </c>
      <c r="F166" s="50" t="s">
        <v>476</v>
      </c>
      <c r="H166" s="75">
        <v>3111</v>
      </c>
      <c r="I166" s="50" t="s">
        <v>476</v>
      </c>
      <c r="K166" s="82">
        <v>3258</v>
      </c>
      <c r="L166" s="71" t="s">
        <v>471</v>
      </c>
      <c r="N166" s="81"/>
      <c r="O166" s="80"/>
      <c r="Q166" s="20"/>
      <c r="R166" s="13"/>
      <c r="T166" s="78" t="s">
        <v>122</v>
      </c>
      <c r="U166" s="84" t="s">
        <v>475</v>
      </c>
      <c r="W166" s="78"/>
      <c r="X166" s="84"/>
    </row>
    <row r="167" spans="2:24">
      <c r="B167" s="75">
        <v>3352</v>
      </c>
      <c r="C167" s="50" t="s">
        <v>466</v>
      </c>
      <c r="E167" s="76">
        <v>3123</v>
      </c>
      <c r="F167" s="47" t="s">
        <v>474</v>
      </c>
      <c r="H167" s="76">
        <v>3123</v>
      </c>
      <c r="I167" s="47" t="s">
        <v>474</v>
      </c>
      <c r="K167" s="75">
        <v>3303</v>
      </c>
      <c r="L167" s="71" t="s">
        <v>469</v>
      </c>
      <c r="N167" s="81"/>
      <c r="O167" s="80"/>
      <c r="Q167" s="20"/>
      <c r="R167" s="13"/>
      <c r="T167" s="78"/>
      <c r="U167" s="84"/>
      <c r="W167" s="78"/>
      <c r="X167" s="84"/>
    </row>
    <row r="168" spans="2:24">
      <c r="B168" s="92">
        <v>3353</v>
      </c>
      <c r="C168" s="50" t="s">
        <v>464</v>
      </c>
      <c r="E168" s="89">
        <v>3187</v>
      </c>
      <c r="F168" s="50" t="s">
        <v>473</v>
      </c>
      <c r="H168" s="89">
        <v>3187</v>
      </c>
      <c r="I168" s="50" t="s">
        <v>473</v>
      </c>
      <c r="K168" s="92">
        <v>3337</v>
      </c>
      <c r="L168" s="50" t="s">
        <v>468</v>
      </c>
      <c r="N168" s="81">
        <v>3637</v>
      </c>
      <c r="O168" s="80" t="s">
        <v>472</v>
      </c>
      <c r="Q168" s="20"/>
      <c r="R168" s="13"/>
      <c r="T168" s="78"/>
      <c r="U168" s="84"/>
      <c r="W168" s="78"/>
      <c r="X168" s="84"/>
    </row>
    <row r="169" spans="2:24">
      <c r="B169" s="75">
        <v>3379</v>
      </c>
      <c r="C169" s="50" t="s">
        <v>462</v>
      </c>
      <c r="E169" s="82">
        <v>3258</v>
      </c>
      <c r="F169" s="71" t="s">
        <v>471</v>
      </c>
      <c r="H169" s="82">
        <v>3258</v>
      </c>
      <c r="I169" s="71" t="s">
        <v>471</v>
      </c>
      <c r="K169" s="75">
        <v>3352</v>
      </c>
      <c r="L169" s="50" t="s">
        <v>466</v>
      </c>
      <c r="N169" s="81">
        <v>1656</v>
      </c>
      <c r="O169" s="80" t="s">
        <v>470</v>
      </c>
      <c r="Q169" s="20"/>
      <c r="R169" s="13"/>
      <c r="T169" s="78"/>
      <c r="U169" s="84"/>
      <c r="W169" s="78"/>
      <c r="X169" s="84"/>
    </row>
    <row r="170" spans="2:24">
      <c r="B170" s="76">
        <v>3380</v>
      </c>
      <c r="C170" s="88" t="s">
        <v>460</v>
      </c>
      <c r="E170" s="75">
        <v>3303</v>
      </c>
      <c r="F170" s="71" t="s">
        <v>469</v>
      </c>
      <c r="H170" s="75">
        <v>3303</v>
      </c>
      <c r="I170" s="71" t="s">
        <v>469</v>
      </c>
      <c r="K170" s="76">
        <v>3353</v>
      </c>
      <c r="L170" s="88" t="s">
        <v>464</v>
      </c>
      <c r="N170" s="81">
        <v>562</v>
      </c>
      <c r="O170" s="80" t="s">
        <v>214</v>
      </c>
      <c r="Q170" s="20"/>
      <c r="R170" s="13"/>
      <c r="T170" s="90"/>
      <c r="U170" s="90"/>
      <c r="W170" s="78"/>
      <c r="X170" s="84"/>
    </row>
    <row r="171" spans="2:24" ht="18">
      <c r="B171" s="75">
        <v>3499</v>
      </c>
      <c r="C171" s="50" t="s">
        <v>458</v>
      </c>
      <c r="E171" s="92">
        <v>3337</v>
      </c>
      <c r="F171" s="50" t="s">
        <v>468</v>
      </c>
      <c r="H171" s="92">
        <v>3337</v>
      </c>
      <c r="I171" s="50" t="s">
        <v>468</v>
      </c>
      <c r="K171" s="75">
        <v>3379</v>
      </c>
      <c r="L171" s="50" t="s">
        <v>462</v>
      </c>
      <c r="N171" s="81">
        <v>13</v>
      </c>
      <c r="O171" s="80" t="s">
        <v>467</v>
      </c>
      <c r="Q171" s="20"/>
      <c r="R171" s="13"/>
      <c r="T171" s="91"/>
      <c r="U171" s="90"/>
      <c r="W171" s="78"/>
      <c r="X171" s="84"/>
    </row>
    <row r="172" spans="2:24">
      <c r="B172" s="89">
        <v>3526</v>
      </c>
      <c r="C172" s="50" t="s">
        <v>456</v>
      </c>
      <c r="E172" s="75">
        <v>3352</v>
      </c>
      <c r="F172" s="50" t="s">
        <v>466</v>
      </c>
      <c r="H172" s="75">
        <v>3352</v>
      </c>
      <c r="I172" s="50" t="s">
        <v>466</v>
      </c>
      <c r="K172" s="89">
        <v>3380</v>
      </c>
      <c r="L172" s="50" t="s">
        <v>460</v>
      </c>
      <c r="N172" s="81">
        <v>25</v>
      </c>
      <c r="O172" s="80" t="s">
        <v>465</v>
      </c>
      <c r="Q172" s="20"/>
      <c r="R172" s="13"/>
      <c r="T172" s="78"/>
      <c r="U172" s="84"/>
      <c r="W172" s="78"/>
      <c r="X172" s="84"/>
    </row>
    <row r="173" spans="2:24">
      <c r="B173" s="75">
        <v>3622</v>
      </c>
      <c r="C173" s="50" t="s">
        <v>284</v>
      </c>
      <c r="E173" s="76">
        <v>3353</v>
      </c>
      <c r="F173" s="88" t="s">
        <v>464</v>
      </c>
      <c r="H173" s="76">
        <v>3353</v>
      </c>
      <c r="I173" s="88" t="s">
        <v>464</v>
      </c>
      <c r="K173" s="82">
        <v>3499</v>
      </c>
      <c r="L173" s="71" t="s">
        <v>458</v>
      </c>
      <c r="N173" s="81">
        <v>93</v>
      </c>
      <c r="O173" s="80" t="s">
        <v>463</v>
      </c>
      <c r="Q173" s="20"/>
      <c r="R173" s="13"/>
      <c r="T173" s="78"/>
      <c r="U173" s="84"/>
      <c r="W173" s="78"/>
      <c r="X173" s="84"/>
    </row>
    <row r="174" spans="2:24">
      <c r="B174" s="76">
        <v>3637</v>
      </c>
      <c r="C174" s="88" t="s">
        <v>453</v>
      </c>
      <c r="E174" s="75">
        <v>3379</v>
      </c>
      <c r="F174" s="50" t="s">
        <v>462</v>
      </c>
      <c r="H174" s="75">
        <v>3379</v>
      </c>
      <c r="I174" s="50" t="s">
        <v>462</v>
      </c>
      <c r="K174" s="76">
        <v>3526</v>
      </c>
      <c r="L174" s="88" t="s">
        <v>456</v>
      </c>
      <c r="N174" s="81">
        <v>94</v>
      </c>
      <c r="O174" s="80" t="s">
        <v>461</v>
      </c>
      <c r="Q174" s="20"/>
      <c r="R174" s="13"/>
      <c r="T174" s="78"/>
      <c r="U174" s="84"/>
      <c r="W174" s="78"/>
      <c r="X174" s="84"/>
    </row>
    <row r="175" spans="2:24">
      <c r="B175" s="54">
        <v>3929</v>
      </c>
      <c r="C175" s="50" t="s">
        <v>451</v>
      </c>
      <c r="E175" s="89">
        <v>3380</v>
      </c>
      <c r="F175" s="50" t="s">
        <v>460</v>
      </c>
      <c r="H175" s="89">
        <v>3380</v>
      </c>
      <c r="I175" s="50" t="s">
        <v>460</v>
      </c>
      <c r="K175" s="54">
        <v>3622</v>
      </c>
      <c r="L175" s="50" t="s">
        <v>284</v>
      </c>
      <c r="N175" s="81">
        <v>96</v>
      </c>
      <c r="O175" s="80" t="s">
        <v>459</v>
      </c>
      <c r="Q175" s="20"/>
      <c r="R175" s="20"/>
      <c r="T175" s="78"/>
      <c r="U175" s="84"/>
      <c r="W175" s="78"/>
      <c r="X175" s="84"/>
    </row>
    <row r="176" spans="2:24">
      <c r="B176" s="75">
        <v>3959</v>
      </c>
      <c r="C176" s="50" t="s">
        <v>449</v>
      </c>
      <c r="E176" s="82">
        <v>3499</v>
      </c>
      <c r="F176" s="71" t="s">
        <v>458</v>
      </c>
      <c r="H176" s="82">
        <v>3499</v>
      </c>
      <c r="I176" s="71" t="s">
        <v>458</v>
      </c>
      <c r="K176" s="82">
        <v>3637</v>
      </c>
      <c r="L176" s="50" t="s">
        <v>453</v>
      </c>
      <c r="N176" s="81">
        <v>124</v>
      </c>
      <c r="O176" s="80" t="s">
        <v>457</v>
      </c>
      <c r="Q176" s="20"/>
      <c r="R176" s="20"/>
      <c r="T176" s="78"/>
      <c r="U176" s="84"/>
      <c r="W176" s="78"/>
      <c r="X176" s="84"/>
    </row>
    <row r="177" spans="2:24">
      <c r="B177" s="54">
        <v>3996</v>
      </c>
      <c r="C177" s="50" t="s">
        <v>447</v>
      </c>
      <c r="E177" s="76">
        <v>3526</v>
      </c>
      <c r="F177" s="88" t="s">
        <v>456</v>
      </c>
      <c r="H177" s="76">
        <v>3526</v>
      </c>
      <c r="I177" s="88" t="s">
        <v>456</v>
      </c>
      <c r="K177" s="54">
        <v>3929</v>
      </c>
      <c r="L177" s="50" t="s">
        <v>451</v>
      </c>
      <c r="N177" s="81">
        <v>109</v>
      </c>
      <c r="O177" s="80" t="s">
        <v>455</v>
      </c>
      <c r="Q177" s="87"/>
      <c r="R177" s="20"/>
      <c r="T177" s="78"/>
      <c r="U177" s="84"/>
      <c r="W177" s="78"/>
      <c r="X177" s="84"/>
    </row>
    <row r="178" spans="2:24">
      <c r="B178" s="86">
        <v>4024</v>
      </c>
      <c r="C178" s="85" t="s">
        <v>445</v>
      </c>
      <c r="E178" s="54">
        <v>3622</v>
      </c>
      <c r="F178" s="50" t="s">
        <v>284</v>
      </c>
      <c r="H178" s="54">
        <v>3622</v>
      </c>
      <c r="I178" s="50" t="s">
        <v>284</v>
      </c>
      <c r="K178" s="86">
        <v>3959</v>
      </c>
      <c r="L178" s="85" t="s">
        <v>449</v>
      </c>
      <c r="N178" s="81">
        <v>140</v>
      </c>
      <c r="O178" s="80" t="s">
        <v>454</v>
      </c>
      <c r="Q178" s="20"/>
      <c r="R178" s="13"/>
      <c r="T178" s="78"/>
      <c r="U178" s="84"/>
      <c r="W178" s="78"/>
      <c r="X178" s="84"/>
    </row>
    <row r="179" spans="2:24">
      <c r="B179" s="86">
        <v>4031</v>
      </c>
      <c r="C179" s="85" t="s">
        <v>443</v>
      </c>
      <c r="E179" s="82">
        <v>3637</v>
      </c>
      <c r="F179" s="50" t="s">
        <v>453</v>
      </c>
      <c r="H179" s="82">
        <v>3637</v>
      </c>
      <c r="I179" s="50" t="s">
        <v>453</v>
      </c>
      <c r="K179" s="86">
        <v>3996</v>
      </c>
      <c r="L179" s="85" t="s">
        <v>447</v>
      </c>
      <c r="N179" s="81">
        <v>141</v>
      </c>
      <c r="O179" s="80" t="s">
        <v>452</v>
      </c>
      <c r="Q179" s="20"/>
      <c r="R179" s="13"/>
      <c r="T179" s="78"/>
      <c r="U179" s="84"/>
      <c r="W179" s="78"/>
      <c r="X179" s="84"/>
    </row>
    <row r="180" spans="2:24">
      <c r="B180" s="86">
        <v>4032</v>
      </c>
      <c r="C180" s="85" t="s">
        <v>441</v>
      </c>
      <c r="E180" s="54">
        <v>3929</v>
      </c>
      <c r="F180" s="50" t="s">
        <v>451</v>
      </c>
      <c r="H180" s="54">
        <v>3929</v>
      </c>
      <c r="I180" s="50" t="s">
        <v>451</v>
      </c>
      <c r="K180" s="86">
        <v>4024</v>
      </c>
      <c r="L180" s="85" t="s">
        <v>445</v>
      </c>
      <c r="N180" s="81">
        <v>146</v>
      </c>
      <c r="O180" s="80" t="s">
        <v>450</v>
      </c>
      <c r="Q180" s="20"/>
      <c r="R180" s="13"/>
      <c r="T180" s="78"/>
      <c r="U180" s="84"/>
      <c r="W180" s="78"/>
      <c r="X180" s="84"/>
    </row>
    <row r="181" spans="2:24">
      <c r="B181" s="86">
        <v>4070</v>
      </c>
      <c r="C181" s="85" t="s">
        <v>439</v>
      </c>
      <c r="E181" s="86">
        <v>3959</v>
      </c>
      <c r="F181" s="85" t="s">
        <v>449</v>
      </c>
      <c r="H181" s="86">
        <v>3959</v>
      </c>
      <c r="I181" s="85" t="s">
        <v>449</v>
      </c>
      <c r="K181" s="86">
        <v>4031</v>
      </c>
      <c r="L181" s="85" t="s">
        <v>443</v>
      </c>
      <c r="N181" s="81">
        <v>152</v>
      </c>
      <c r="O181" s="80" t="s">
        <v>448</v>
      </c>
      <c r="Q181" s="20"/>
      <c r="R181" s="13"/>
      <c r="T181" s="78"/>
      <c r="U181" s="84"/>
      <c r="W181" s="78"/>
      <c r="X181" s="84"/>
    </row>
    <row r="182" spans="2:24" ht="18">
      <c r="B182" s="75">
        <v>4073</v>
      </c>
      <c r="C182" s="83" t="s">
        <v>437</v>
      </c>
      <c r="E182" s="86">
        <v>3996</v>
      </c>
      <c r="F182" s="85" t="s">
        <v>447</v>
      </c>
      <c r="H182" s="86">
        <v>3996</v>
      </c>
      <c r="I182" s="85" t="s">
        <v>447</v>
      </c>
      <c r="K182" s="75">
        <v>4032</v>
      </c>
      <c r="L182" s="83" t="s">
        <v>441</v>
      </c>
      <c r="N182" s="81">
        <v>153</v>
      </c>
      <c r="O182" s="80" t="s">
        <v>446</v>
      </c>
      <c r="Q182" s="20"/>
      <c r="R182" s="13"/>
    </row>
    <row r="183" spans="2:24">
      <c r="B183" s="75">
        <v>4116</v>
      </c>
      <c r="C183" s="47" t="s">
        <v>435</v>
      </c>
      <c r="E183" s="86">
        <v>4024</v>
      </c>
      <c r="F183" s="85" t="s">
        <v>445</v>
      </c>
      <c r="H183" s="86">
        <v>4024</v>
      </c>
      <c r="I183" s="85" t="s">
        <v>445</v>
      </c>
      <c r="K183" s="75">
        <v>4070</v>
      </c>
      <c r="L183" s="47" t="s">
        <v>439</v>
      </c>
      <c r="N183" s="81">
        <v>159</v>
      </c>
      <c r="O183" s="80" t="s">
        <v>444</v>
      </c>
      <c r="Q183" s="20"/>
      <c r="R183" s="13"/>
    </row>
    <row r="184" spans="2:24">
      <c r="B184" s="75">
        <v>4174</v>
      </c>
      <c r="C184" s="47" t="s">
        <v>434</v>
      </c>
      <c r="E184" s="86">
        <v>4031</v>
      </c>
      <c r="F184" s="85" t="s">
        <v>443</v>
      </c>
      <c r="H184" s="86">
        <v>4031</v>
      </c>
      <c r="I184" s="85" t="s">
        <v>443</v>
      </c>
      <c r="K184" s="75">
        <v>4073</v>
      </c>
      <c r="L184" s="47" t="s">
        <v>437</v>
      </c>
      <c r="N184" s="81">
        <v>3968</v>
      </c>
      <c r="O184" s="80" t="s">
        <v>442</v>
      </c>
      <c r="Q184" s="78"/>
      <c r="R184" s="84"/>
    </row>
    <row r="185" spans="2:24" ht="18">
      <c r="B185" s="75">
        <v>4238</v>
      </c>
      <c r="C185" s="47" t="s">
        <v>433</v>
      </c>
      <c r="E185" s="75">
        <v>4032</v>
      </c>
      <c r="F185" s="83" t="s">
        <v>441</v>
      </c>
      <c r="H185" s="75">
        <v>4032</v>
      </c>
      <c r="I185" s="83" t="s">
        <v>441</v>
      </c>
      <c r="K185" s="75">
        <v>4116</v>
      </c>
      <c r="L185" s="47" t="s">
        <v>435</v>
      </c>
      <c r="N185" s="81">
        <v>3971</v>
      </c>
      <c r="O185" s="80" t="s">
        <v>440</v>
      </c>
      <c r="Q185" s="20"/>
      <c r="R185" s="13"/>
    </row>
    <row r="186" spans="2:24">
      <c r="B186" s="75">
        <v>4241</v>
      </c>
      <c r="C186" s="50" t="s">
        <v>431</v>
      </c>
      <c r="E186" s="75">
        <v>4070</v>
      </c>
      <c r="F186" s="47" t="s">
        <v>439</v>
      </c>
      <c r="H186" s="75">
        <v>4070</v>
      </c>
      <c r="I186" s="47" t="s">
        <v>439</v>
      </c>
      <c r="K186" s="82">
        <v>4174</v>
      </c>
      <c r="L186" s="71" t="s">
        <v>434</v>
      </c>
      <c r="N186" s="81">
        <v>3653</v>
      </c>
      <c r="O186" s="80" t="s">
        <v>438</v>
      </c>
      <c r="Q186" s="20"/>
      <c r="R186" s="13"/>
    </row>
    <row r="187" spans="2:24">
      <c r="B187" s="54">
        <v>4249</v>
      </c>
      <c r="C187" s="47" t="s">
        <v>430</v>
      </c>
      <c r="E187" s="75">
        <v>4073</v>
      </c>
      <c r="F187" s="47" t="s">
        <v>437</v>
      </c>
      <c r="H187" s="75">
        <v>4073</v>
      </c>
      <c r="I187" s="47" t="s">
        <v>437</v>
      </c>
      <c r="K187" s="54">
        <v>4238</v>
      </c>
      <c r="L187" s="47" t="s">
        <v>433</v>
      </c>
      <c r="N187" s="81">
        <v>4277</v>
      </c>
      <c r="O187" s="80" t="s">
        <v>436</v>
      </c>
      <c r="Q187" s="20"/>
      <c r="R187" s="13"/>
    </row>
    <row r="188" spans="2:24">
      <c r="B188" s="75">
        <v>4257</v>
      </c>
      <c r="C188" s="47" t="s">
        <v>429</v>
      </c>
      <c r="E188" s="75">
        <v>4116</v>
      </c>
      <c r="F188" s="47" t="s">
        <v>435</v>
      </c>
      <c r="H188" s="75">
        <v>4116</v>
      </c>
      <c r="I188" s="47" t="s">
        <v>435</v>
      </c>
      <c r="K188" s="75">
        <v>4241</v>
      </c>
      <c r="L188" s="47" t="s">
        <v>431</v>
      </c>
      <c r="N188" s="81"/>
      <c r="O188" s="80"/>
      <c r="Q188" s="20"/>
      <c r="R188" s="13"/>
    </row>
    <row r="189" spans="2:24" ht="18">
      <c r="B189" s="75">
        <v>4280</v>
      </c>
      <c r="C189" s="79" t="s">
        <v>428</v>
      </c>
      <c r="E189" s="82">
        <v>4174</v>
      </c>
      <c r="F189" s="71" t="s">
        <v>434</v>
      </c>
      <c r="H189" s="82">
        <v>4174</v>
      </c>
      <c r="I189" s="71" t="s">
        <v>434</v>
      </c>
      <c r="K189" s="75">
        <v>4249</v>
      </c>
      <c r="L189" s="79" t="s">
        <v>430</v>
      </c>
      <c r="N189" s="81">
        <v>625</v>
      </c>
      <c r="O189" s="80" t="s">
        <v>207</v>
      </c>
      <c r="Q189" s="20"/>
      <c r="R189" s="13"/>
    </row>
    <row r="190" spans="2:24">
      <c r="B190" s="78">
        <v>4291</v>
      </c>
      <c r="C190" s="47" t="s">
        <v>425</v>
      </c>
      <c r="E190" s="54">
        <v>4238</v>
      </c>
      <c r="F190" s="47" t="s">
        <v>433</v>
      </c>
      <c r="H190" s="54">
        <v>4238</v>
      </c>
      <c r="I190" s="47" t="s">
        <v>433</v>
      </c>
      <c r="K190" s="78">
        <v>4257</v>
      </c>
      <c r="L190" s="77" t="s">
        <v>429</v>
      </c>
      <c r="N190" s="81">
        <v>4296</v>
      </c>
      <c r="O190" s="80" t="s">
        <v>432</v>
      </c>
      <c r="Q190" s="20"/>
      <c r="R190" s="13"/>
    </row>
    <row r="191" spans="2:24">
      <c r="B191" s="76">
        <v>4307</v>
      </c>
      <c r="C191" s="50" t="s">
        <v>422</v>
      </c>
      <c r="E191" s="75">
        <v>4241</v>
      </c>
      <c r="F191" s="47" t="s">
        <v>431</v>
      </c>
      <c r="H191" s="75">
        <v>4241</v>
      </c>
      <c r="I191" s="47" t="s">
        <v>431</v>
      </c>
      <c r="K191" s="76">
        <v>4280</v>
      </c>
      <c r="L191" s="50" t="s">
        <v>428</v>
      </c>
      <c r="N191" s="9"/>
      <c r="O191" s="8"/>
      <c r="Q191" s="20"/>
      <c r="R191" s="13"/>
    </row>
    <row r="192" spans="2:24" ht="18">
      <c r="B192" s="75">
        <v>4325</v>
      </c>
      <c r="C192" s="50" t="s">
        <v>419</v>
      </c>
      <c r="E192" s="75">
        <v>4249</v>
      </c>
      <c r="F192" s="79" t="s">
        <v>430</v>
      </c>
      <c r="H192" s="75">
        <v>4249</v>
      </c>
      <c r="I192" s="79" t="s">
        <v>430</v>
      </c>
      <c r="K192" s="75">
        <v>4291</v>
      </c>
      <c r="L192" s="50" t="s">
        <v>425</v>
      </c>
      <c r="N192" s="9"/>
      <c r="O192" s="8"/>
      <c r="Q192" s="20"/>
      <c r="R192" s="13"/>
    </row>
    <row r="193" spans="2:18">
      <c r="B193" s="72">
        <v>4333</v>
      </c>
      <c r="C193" s="50" t="s">
        <v>415</v>
      </c>
      <c r="E193" s="78">
        <v>4257</v>
      </c>
      <c r="F193" s="77" t="s">
        <v>429</v>
      </c>
      <c r="H193" s="78">
        <v>4257</v>
      </c>
      <c r="I193" s="77" t="s">
        <v>429</v>
      </c>
      <c r="K193" s="72">
        <v>4307</v>
      </c>
      <c r="L193" s="50" t="s">
        <v>422</v>
      </c>
      <c r="N193" s="9"/>
      <c r="O193" s="8"/>
      <c r="Q193" s="20"/>
      <c r="R193" s="13"/>
    </row>
    <row r="194" spans="2:18">
      <c r="B194" s="72">
        <v>4346</v>
      </c>
      <c r="C194" s="50" t="s">
        <v>411</v>
      </c>
      <c r="E194" s="76">
        <v>4280</v>
      </c>
      <c r="F194" s="50" t="s">
        <v>428</v>
      </c>
      <c r="H194" s="76">
        <v>4280</v>
      </c>
      <c r="I194" s="50" t="s">
        <v>428</v>
      </c>
      <c r="K194" s="72">
        <v>4325</v>
      </c>
      <c r="L194" s="50" t="s">
        <v>419</v>
      </c>
      <c r="N194" s="9"/>
      <c r="O194" s="8"/>
      <c r="Q194" s="20"/>
      <c r="R194" s="13"/>
    </row>
    <row r="195" spans="2:18">
      <c r="B195" s="73" t="s">
        <v>427</v>
      </c>
      <c r="C195" s="73" t="s">
        <v>426</v>
      </c>
      <c r="E195" s="75">
        <v>4291</v>
      </c>
      <c r="F195" s="50" t="s">
        <v>425</v>
      </c>
      <c r="H195" s="75">
        <v>4291</v>
      </c>
      <c r="I195" s="50" t="s">
        <v>425</v>
      </c>
      <c r="K195" s="72">
        <v>4333</v>
      </c>
      <c r="L195" s="50" t="s">
        <v>415</v>
      </c>
      <c r="N195" s="9"/>
      <c r="O195" s="8"/>
      <c r="Q195" s="20"/>
      <c r="R195" s="13"/>
    </row>
    <row r="196" spans="2:18">
      <c r="B196" s="74" t="s">
        <v>424</v>
      </c>
      <c r="C196" s="74" t="s">
        <v>423</v>
      </c>
      <c r="E196" s="72">
        <v>4307</v>
      </c>
      <c r="F196" s="50" t="s">
        <v>422</v>
      </c>
      <c r="H196" s="72">
        <v>4307</v>
      </c>
      <c r="I196" s="50" t="s">
        <v>422</v>
      </c>
      <c r="K196" s="72">
        <v>4346</v>
      </c>
      <c r="L196" s="50" t="s">
        <v>411</v>
      </c>
      <c r="N196" s="9"/>
      <c r="O196" s="8"/>
      <c r="Q196" s="20"/>
      <c r="R196" s="13"/>
    </row>
    <row r="197" spans="2:18">
      <c r="B197" s="73" t="s">
        <v>421</v>
      </c>
      <c r="C197" s="73" t="s">
        <v>420</v>
      </c>
      <c r="E197" s="72">
        <v>4325</v>
      </c>
      <c r="F197" s="50" t="s">
        <v>419</v>
      </c>
      <c r="H197" s="72">
        <v>4325</v>
      </c>
      <c r="I197" s="50" t="s">
        <v>419</v>
      </c>
      <c r="K197" s="72">
        <v>4368</v>
      </c>
      <c r="L197" s="50" t="s">
        <v>418</v>
      </c>
      <c r="N197" s="9"/>
      <c r="O197" s="8"/>
      <c r="Q197" s="20"/>
      <c r="R197" s="13"/>
    </row>
    <row r="198" spans="2:18">
      <c r="B198" s="73" t="s">
        <v>417</v>
      </c>
      <c r="C198" s="73" t="s">
        <v>416</v>
      </c>
      <c r="E198" s="72">
        <v>4333</v>
      </c>
      <c r="F198" s="50" t="s">
        <v>415</v>
      </c>
      <c r="H198" s="72">
        <v>4333</v>
      </c>
      <c r="I198" s="50" t="s">
        <v>415</v>
      </c>
      <c r="K198" s="72">
        <v>4370</v>
      </c>
      <c r="L198" s="50" t="s">
        <v>414</v>
      </c>
      <c r="N198" s="9"/>
      <c r="O198" s="8"/>
      <c r="Q198" s="20"/>
      <c r="R198" s="13"/>
    </row>
    <row r="199" spans="2:18">
      <c r="B199" s="73" t="s">
        <v>413</v>
      </c>
      <c r="C199" s="73" t="s">
        <v>412</v>
      </c>
      <c r="E199" s="72">
        <v>4346</v>
      </c>
      <c r="F199" s="50" t="s">
        <v>411</v>
      </c>
      <c r="H199" s="72">
        <v>4346</v>
      </c>
      <c r="I199" s="50" t="s">
        <v>411</v>
      </c>
      <c r="K199" s="72"/>
      <c r="L199" s="50"/>
      <c r="N199" s="9"/>
      <c r="O199" s="8"/>
      <c r="Q199" s="20"/>
      <c r="R199" s="13"/>
    </row>
    <row r="200" spans="2:18">
      <c r="B200" s="73" t="s">
        <v>410</v>
      </c>
      <c r="C200" s="73" t="s">
        <v>409</v>
      </c>
      <c r="E200" s="72">
        <v>4368</v>
      </c>
      <c r="F200" s="50" t="s">
        <v>408</v>
      </c>
      <c r="H200" s="72">
        <v>4368</v>
      </c>
      <c r="I200" s="50" t="s">
        <v>408</v>
      </c>
      <c r="K200" s="72"/>
      <c r="L200" s="50"/>
      <c r="N200" s="9"/>
      <c r="O200" s="8"/>
      <c r="Q200" s="20"/>
      <c r="R200" s="13"/>
    </row>
    <row r="201" spans="2:18">
      <c r="B201" s="73" t="s">
        <v>407</v>
      </c>
      <c r="C201" s="73" t="s">
        <v>406</v>
      </c>
      <c r="E201" s="47"/>
      <c r="F201" s="71"/>
      <c r="H201" s="47"/>
      <c r="I201" s="71"/>
      <c r="K201" s="72"/>
      <c r="L201" s="50"/>
      <c r="N201" s="9"/>
      <c r="O201" s="8"/>
      <c r="Q201" s="20"/>
      <c r="R201" s="13"/>
    </row>
    <row r="202" spans="2:18" ht="17.5">
      <c r="B202" s="73" t="s">
        <v>405</v>
      </c>
      <c r="C202" s="73" t="s">
        <v>404</v>
      </c>
      <c r="E202" s="72"/>
      <c r="F202" s="50"/>
      <c r="H202" s="72"/>
      <c r="I202" s="50"/>
      <c r="K202" s="57" t="s">
        <v>403</v>
      </c>
      <c r="L202" s="62" t="s">
        <v>402</v>
      </c>
      <c r="N202" s="9"/>
      <c r="O202" s="8"/>
      <c r="Q202" s="20"/>
      <c r="R202" s="13"/>
    </row>
    <row r="203" spans="2:18" ht="17.5">
      <c r="B203" s="57" t="s">
        <v>397</v>
      </c>
      <c r="C203" s="62" t="s">
        <v>396</v>
      </c>
      <c r="E203" s="47"/>
      <c r="F203" s="71"/>
      <c r="H203" s="47"/>
      <c r="I203" s="71"/>
      <c r="K203" s="57" t="s">
        <v>401</v>
      </c>
      <c r="L203" s="62" t="s">
        <v>400</v>
      </c>
      <c r="N203" s="9"/>
      <c r="O203" s="8"/>
      <c r="Q203" s="20"/>
      <c r="R203" s="13"/>
    </row>
    <row r="204" spans="2:18" ht="17.5">
      <c r="B204" s="57" t="s">
        <v>385</v>
      </c>
      <c r="C204" s="62" t="s">
        <v>384</v>
      </c>
      <c r="E204" s="70" t="s">
        <v>399</v>
      </c>
      <c r="F204" s="69" t="s">
        <v>398</v>
      </c>
      <c r="H204" s="70" t="s">
        <v>399</v>
      </c>
      <c r="I204" s="69" t="s">
        <v>398</v>
      </c>
      <c r="K204" s="57" t="s">
        <v>397</v>
      </c>
      <c r="L204" s="62" t="s">
        <v>396</v>
      </c>
      <c r="N204" s="9"/>
      <c r="O204" s="8"/>
      <c r="Q204" s="20"/>
      <c r="R204" s="13"/>
    </row>
    <row r="205" spans="2:18" ht="17.5">
      <c r="B205" s="47"/>
      <c r="C205" s="47"/>
      <c r="E205" s="68" t="s">
        <v>395</v>
      </c>
      <c r="F205" s="67" t="s">
        <v>394</v>
      </c>
      <c r="H205" s="68" t="s">
        <v>395</v>
      </c>
      <c r="I205" s="67" t="s">
        <v>394</v>
      </c>
      <c r="K205" s="57" t="s">
        <v>393</v>
      </c>
      <c r="L205" s="62" t="s">
        <v>392</v>
      </c>
      <c r="N205" s="9"/>
      <c r="O205" s="8"/>
      <c r="Q205" s="20"/>
      <c r="R205" s="13"/>
    </row>
    <row r="206" spans="2:18" ht="17.5">
      <c r="B206" s="47"/>
      <c r="C206" s="47"/>
      <c r="E206" s="18" t="s">
        <v>391</v>
      </c>
      <c r="F206" s="36" t="s">
        <v>390</v>
      </c>
      <c r="H206" s="18" t="s">
        <v>391</v>
      </c>
      <c r="I206" s="36" t="s">
        <v>390</v>
      </c>
      <c r="K206" s="57" t="s">
        <v>389</v>
      </c>
      <c r="L206" s="62" t="s">
        <v>388</v>
      </c>
      <c r="N206" s="9"/>
      <c r="O206" s="8"/>
      <c r="Q206" s="20"/>
      <c r="R206" s="13"/>
    </row>
    <row r="207" spans="2:18" ht="17.5">
      <c r="B207" s="47"/>
      <c r="C207" s="47"/>
      <c r="E207" s="18" t="s">
        <v>387</v>
      </c>
      <c r="F207" s="17" t="s">
        <v>386</v>
      </c>
      <c r="H207" s="18" t="s">
        <v>387</v>
      </c>
      <c r="I207" s="17" t="s">
        <v>386</v>
      </c>
      <c r="K207" s="57" t="s">
        <v>385</v>
      </c>
      <c r="L207" s="62" t="s">
        <v>384</v>
      </c>
      <c r="N207" s="9"/>
      <c r="O207" s="8"/>
      <c r="Q207" s="20"/>
      <c r="R207" s="13"/>
    </row>
    <row r="208" spans="2:18" ht="17.5">
      <c r="B208" s="47"/>
      <c r="C208" s="47"/>
      <c r="E208" s="18" t="s">
        <v>383</v>
      </c>
      <c r="F208" s="17" t="s">
        <v>382</v>
      </c>
      <c r="H208" s="18" t="s">
        <v>383</v>
      </c>
      <c r="I208" s="17" t="s">
        <v>382</v>
      </c>
      <c r="K208" s="57" t="s">
        <v>381</v>
      </c>
      <c r="L208" s="62" t="s">
        <v>380</v>
      </c>
      <c r="N208" s="9"/>
      <c r="O208" s="8"/>
      <c r="Q208" s="20"/>
      <c r="R208" s="13"/>
    </row>
    <row r="209" spans="2:18" ht="17.5">
      <c r="B209" s="47"/>
      <c r="C209" s="47"/>
      <c r="E209" s="18" t="s">
        <v>379</v>
      </c>
      <c r="F209" s="17" t="s">
        <v>378</v>
      </c>
      <c r="H209" s="18" t="s">
        <v>379</v>
      </c>
      <c r="I209" s="17" t="s">
        <v>378</v>
      </c>
      <c r="K209" s="57" t="s">
        <v>377</v>
      </c>
      <c r="L209" s="62" t="s">
        <v>376</v>
      </c>
      <c r="N209" s="9"/>
      <c r="O209" s="8"/>
      <c r="Q209" s="20"/>
      <c r="R209" s="13"/>
    </row>
    <row r="210" spans="2:18" ht="17.5">
      <c r="B210" s="64" t="s">
        <v>375</v>
      </c>
      <c r="C210" s="63" t="s">
        <v>374</v>
      </c>
      <c r="E210" s="18" t="s">
        <v>373</v>
      </c>
      <c r="F210" s="17" t="s">
        <v>372</v>
      </c>
      <c r="H210" s="18" t="s">
        <v>373</v>
      </c>
      <c r="I210" s="17" t="s">
        <v>372</v>
      </c>
      <c r="K210" s="57" t="s">
        <v>371</v>
      </c>
      <c r="L210" s="62" t="s">
        <v>370</v>
      </c>
      <c r="N210" s="9"/>
      <c r="O210" s="8"/>
      <c r="Q210" s="20"/>
      <c r="R210" s="13"/>
    </row>
    <row r="211" spans="2:18" ht="17.5">
      <c r="B211" s="66" t="s">
        <v>369</v>
      </c>
      <c r="C211" s="63" t="s">
        <v>368</v>
      </c>
      <c r="E211" s="18" t="s">
        <v>190</v>
      </c>
      <c r="F211" s="17" t="s">
        <v>189</v>
      </c>
      <c r="H211" s="18" t="s">
        <v>190</v>
      </c>
      <c r="I211" s="17" t="s">
        <v>189</v>
      </c>
      <c r="K211" s="57" t="s">
        <v>367</v>
      </c>
      <c r="L211" s="62" t="s">
        <v>366</v>
      </c>
      <c r="N211" s="9"/>
      <c r="O211" s="8"/>
      <c r="Q211" s="20"/>
      <c r="R211" s="13"/>
    </row>
    <row r="212" spans="2:18" ht="17.5">
      <c r="B212" s="65" t="s">
        <v>365</v>
      </c>
      <c r="C212" s="63" t="s">
        <v>364</v>
      </c>
      <c r="E212" s="18" t="s">
        <v>363</v>
      </c>
      <c r="F212" s="17" t="s">
        <v>362</v>
      </c>
      <c r="H212" s="18" t="s">
        <v>363</v>
      </c>
      <c r="I212" s="17" t="s">
        <v>362</v>
      </c>
      <c r="K212" s="57" t="s">
        <v>361</v>
      </c>
      <c r="L212" s="62" t="s">
        <v>360</v>
      </c>
      <c r="N212" s="9"/>
      <c r="O212" s="8"/>
      <c r="Q212" s="20"/>
      <c r="R212" s="13"/>
    </row>
    <row r="213" spans="2:18" ht="17.5">
      <c r="B213" s="64" t="s">
        <v>359</v>
      </c>
      <c r="C213" s="63" t="s">
        <v>358</v>
      </c>
      <c r="E213" s="18" t="s">
        <v>188</v>
      </c>
      <c r="F213" s="17" t="s">
        <v>187</v>
      </c>
      <c r="H213" s="18" t="s">
        <v>188</v>
      </c>
      <c r="I213" s="17" t="s">
        <v>187</v>
      </c>
      <c r="K213" s="57" t="s">
        <v>357</v>
      </c>
      <c r="L213" s="62" t="s">
        <v>356</v>
      </c>
      <c r="N213" s="9"/>
      <c r="O213" s="8"/>
      <c r="Q213" s="20"/>
      <c r="R213" s="13"/>
    </row>
    <row r="214" spans="2:18" ht="17.5">
      <c r="B214" s="51"/>
      <c r="C214" s="50"/>
      <c r="E214" s="18" t="s">
        <v>355</v>
      </c>
      <c r="F214" s="17" t="s">
        <v>354</v>
      </c>
      <c r="H214" s="18" t="s">
        <v>355</v>
      </c>
      <c r="I214" s="17" t="s">
        <v>354</v>
      </c>
      <c r="K214" s="57" t="s">
        <v>353</v>
      </c>
      <c r="L214" s="62" t="s">
        <v>352</v>
      </c>
      <c r="N214" s="9"/>
      <c r="O214" s="8"/>
      <c r="Q214" s="20"/>
      <c r="R214" s="13"/>
    </row>
    <row r="215" spans="2:18" ht="17.5">
      <c r="B215" s="47"/>
      <c r="C215" s="50"/>
      <c r="E215" s="18" t="s">
        <v>351</v>
      </c>
      <c r="F215" s="17" t="s">
        <v>350</v>
      </c>
      <c r="H215" s="18" t="s">
        <v>351</v>
      </c>
      <c r="I215" s="17" t="s">
        <v>350</v>
      </c>
      <c r="K215" s="57" t="s">
        <v>349</v>
      </c>
      <c r="L215" s="56" t="s">
        <v>322</v>
      </c>
      <c r="N215" s="9"/>
      <c r="O215" s="8"/>
      <c r="Q215" s="20"/>
      <c r="R215" s="13"/>
    </row>
    <row r="216" spans="2:18" ht="17.5">
      <c r="B216" s="51"/>
      <c r="C216" s="50"/>
      <c r="E216" s="18" t="s">
        <v>186</v>
      </c>
      <c r="F216" s="17" t="s">
        <v>185</v>
      </c>
      <c r="H216" s="18" t="s">
        <v>186</v>
      </c>
      <c r="I216" s="17" t="s">
        <v>185</v>
      </c>
      <c r="K216" s="57" t="s">
        <v>348</v>
      </c>
      <c r="L216" s="56" t="s">
        <v>347</v>
      </c>
      <c r="N216" s="9"/>
      <c r="O216" s="8"/>
      <c r="Q216" s="20"/>
      <c r="R216" s="13"/>
    </row>
    <row r="217" spans="2:18" ht="17.5">
      <c r="B217" s="59"/>
      <c r="C217" s="58"/>
      <c r="E217" s="18" t="s">
        <v>346</v>
      </c>
      <c r="F217" s="17" t="s">
        <v>345</v>
      </c>
      <c r="H217" s="18" t="s">
        <v>346</v>
      </c>
      <c r="I217" s="17" t="s">
        <v>345</v>
      </c>
      <c r="K217" s="57" t="s">
        <v>344</v>
      </c>
      <c r="L217" s="56" t="s">
        <v>343</v>
      </c>
      <c r="N217" s="9"/>
      <c r="O217" s="8"/>
      <c r="Q217" s="20"/>
      <c r="R217" s="13"/>
    </row>
    <row r="218" spans="2:18" ht="17.5">
      <c r="B218" s="51"/>
      <c r="C218" s="60"/>
      <c r="E218" s="18" t="s">
        <v>342</v>
      </c>
      <c r="F218" s="17" t="s">
        <v>341</v>
      </c>
      <c r="H218" s="18" t="s">
        <v>342</v>
      </c>
      <c r="I218" s="17" t="s">
        <v>341</v>
      </c>
      <c r="K218" s="57" t="s">
        <v>340</v>
      </c>
      <c r="L218" s="56" t="s">
        <v>339</v>
      </c>
      <c r="N218" s="9"/>
      <c r="O218" s="8"/>
      <c r="Q218" s="20"/>
      <c r="R218" s="13"/>
    </row>
    <row r="219" spans="2:18" ht="17.5">
      <c r="B219" s="61"/>
      <c r="C219" s="50"/>
      <c r="E219" s="18" t="s">
        <v>338</v>
      </c>
      <c r="F219" s="17" t="s">
        <v>337</v>
      </c>
      <c r="H219" s="18" t="s">
        <v>338</v>
      </c>
      <c r="I219" s="17" t="s">
        <v>337</v>
      </c>
      <c r="K219" s="57" t="s">
        <v>336</v>
      </c>
      <c r="L219" s="56" t="s">
        <v>335</v>
      </c>
      <c r="N219" s="9"/>
      <c r="O219" s="8"/>
      <c r="Q219" s="20"/>
      <c r="R219" s="13"/>
    </row>
    <row r="220" spans="2:18" ht="17.5">
      <c r="B220" s="48"/>
      <c r="C220" s="47"/>
      <c r="E220" s="18" t="s">
        <v>334</v>
      </c>
      <c r="F220" s="17" t="s">
        <v>333</v>
      </c>
      <c r="H220" s="18" t="s">
        <v>334</v>
      </c>
      <c r="I220" s="17" t="s">
        <v>333</v>
      </c>
      <c r="K220" s="57" t="s">
        <v>332</v>
      </c>
      <c r="L220" s="56" t="s">
        <v>331</v>
      </c>
      <c r="N220" s="9"/>
      <c r="O220" s="8"/>
      <c r="Q220" s="20"/>
      <c r="R220" s="13"/>
    </row>
    <row r="221" spans="2:18" ht="17.5">
      <c r="B221" s="48"/>
      <c r="C221" s="47" t="s">
        <v>330</v>
      </c>
      <c r="E221" s="51"/>
      <c r="F221" s="60"/>
      <c r="H221" s="59"/>
      <c r="I221" s="58"/>
      <c r="K221" s="57" t="s">
        <v>329</v>
      </c>
      <c r="L221" s="56" t="s">
        <v>328</v>
      </c>
      <c r="N221" s="9"/>
      <c r="O221" s="8"/>
      <c r="Q221" s="20"/>
      <c r="R221" s="13"/>
    </row>
    <row r="222" spans="2:18" ht="17.5">
      <c r="B222" s="48" t="s">
        <v>277</v>
      </c>
      <c r="C222" s="47" t="s">
        <v>276</v>
      </c>
      <c r="E222" s="18" t="s">
        <v>327</v>
      </c>
      <c r="F222" s="17" t="s">
        <v>326</v>
      </c>
      <c r="H222" s="18" t="s">
        <v>327</v>
      </c>
      <c r="I222" s="17" t="s">
        <v>326</v>
      </c>
      <c r="K222" s="57" t="s">
        <v>325</v>
      </c>
      <c r="L222" s="56" t="s">
        <v>324</v>
      </c>
      <c r="N222" s="9"/>
      <c r="O222" s="8"/>
      <c r="Q222" s="20"/>
      <c r="R222" s="13"/>
    </row>
    <row r="223" spans="2:18" ht="18">
      <c r="B223" s="48" t="s">
        <v>273</v>
      </c>
      <c r="C223" s="47" t="s">
        <v>272</v>
      </c>
      <c r="E223" s="18" t="s">
        <v>323</v>
      </c>
      <c r="F223" s="17" t="s">
        <v>322</v>
      </c>
      <c r="H223" s="18" t="s">
        <v>323</v>
      </c>
      <c r="I223" s="17" t="s">
        <v>322</v>
      </c>
      <c r="K223" s="53" t="s">
        <v>321</v>
      </c>
      <c r="L223" s="55" t="s">
        <v>320</v>
      </c>
      <c r="N223" s="9"/>
      <c r="O223" s="8"/>
      <c r="Q223" s="20"/>
      <c r="R223" s="13"/>
    </row>
    <row r="224" spans="2:18" ht="18">
      <c r="B224" s="48" t="s">
        <v>271</v>
      </c>
      <c r="C224" s="47" t="s">
        <v>270</v>
      </c>
      <c r="E224" s="18" t="s">
        <v>319</v>
      </c>
      <c r="F224" s="17" t="s">
        <v>318</v>
      </c>
      <c r="H224" s="18" t="s">
        <v>319</v>
      </c>
      <c r="I224" s="17" t="s">
        <v>318</v>
      </c>
      <c r="K224" s="53" t="s">
        <v>317</v>
      </c>
      <c r="L224" s="55" t="s">
        <v>316</v>
      </c>
      <c r="N224" s="9"/>
      <c r="O224" s="8"/>
      <c r="Q224" s="20"/>
      <c r="R224" s="13"/>
    </row>
    <row r="225" spans="2:18" ht="18">
      <c r="B225" s="48" t="s">
        <v>268</v>
      </c>
      <c r="C225" s="47" t="s">
        <v>265</v>
      </c>
      <c r="E225" s="18" t="s">
        <v>315</v>
      </c>
      <c r="F225" s="17" t="s">
        <v>314</v>
      </c>
      <c r="H225" s="18" t="s">
        <v>315</v>
      </c>
      <c r="I225" s="17" t="s">
        <v>314</v>
      </c>
      <c r="K225" s="53" t="s">
        <v>313</v>
      </c>
      <c r="L225" s="52" t="s">
        <v>312</v>
      </c>
      <c r="N225" s="9"/>
      <c r="O225" s="8"/>
      <c r="Q225" s="20"/>
      <c r="R225" s="13"/>
    </row>
    <row r="226" spans="2:18" ht="18">
      <c r="B226" s="47" t="s">
        <v>266</v>
      </c>
      <c r="C226" s="54" t="s">
        <v>265</v>
      </c>
      <c r="E226" s="18" t="s">
        <v>311</v>
      </c>
      <c r="F226" s="17" t="s">
        <v>310</v>
      </c>
      <c r="H226" s="18" t="s">
        <v>311</v>
      </c>
      <c r="I226" s="17" t="s">
        <v>310</v>
      </c>
      <c r="K226" s="53" t="s">
        <v>309</v>
      </c>
      <c r="L226" s="52" t="s">
        <v>308</v>
      </c>
      <c r="N226" s="9"/>
      <c r="O226" s="8"/>
      <c r="Q226" s="20"/>
      <c r="R226" s="13"/>
    </row>
    <row r="227" spans="2:18" ht="18">
      <c r="B227" s="51" t="s">
        <v>263</v>
      </c>
      <c r="C227" s="50" t="s">
        <v>262</v>
      </c>
      <c r="E227" s="18" t="s">
        <v>307</v>
      </c>
      <c r="F227" s="17" t="s">
        <v>306</v>
      </c>
      <c r="H227" s="18" t="s">
        <v>307</v>
      </c>
      <c r="I227" s="17" t="s">
        <v>306</v>
      </c>
      <c r="K227" s="46" t="s">
        <v>305</v>
      </c>
      <c r="L227" s="45" t="s">
        <v>304</v>
      </c>
      <c r="N227" s="9"/>
      <c r="O227" s="8"/>
      <c r="Q227" s="20"/>
      <c r="R227" s="13"/>
    </row>
    <row r="228" spans="2:18" ht="18">
      <c r="B228" s="51" t="s">
        <v>260</v>
      </c>
      <c r="C228" s="50" t="s">
        <v>259</v>
      </c>
      <c r="E228" s="18" t="s">
        <v>303</v>
      </c>
      <c r="F228" s="17" t="s">
        <v>302</v>
      </c>
      <c r="H228" s="18" t="s">
        <v>303</v>
      </c>
      <c r="I228" s="17" t="s">
        <v>302</v>
      </c>
      <c r="K228" s="46">
        <v>2804</v>
      </c>
      <c r="L228" s="45" t="s">
        <v>301</v>
      </c>
      <c r="N228" s="9"/>
      <c r="O228" s="8"/>
      <c r="Q228" s="20"/>
      <c r="R228" s="13"/>
    </row>
    <row r="229" spans="2:18" ht="18">
      <c r="B229" s="51" t="s">
        <v>300</v>
      </c>
      <c r="C229" s="50" t="s">
        <v>299</v>
      </c>
      <c r="E229" s="18" t="s">
        <v>298</v>
      </c>
      <c r="F229" s="17" t="s">
        <v>297</v>
      </c>
      <c r="H229" s="18" t="s">
        <v>298</v>
      </c>
      <c r="I229" s="17" t="s">
        <v>297</v>
      </c>
      <c r="K229" s="46">
        <v>2461</v>
      </c>
      <c r="L229" s="45" t="s">
        <v>296</v>
      </c>
      <c r="N229" s="9"/>
      <c r="O229" s="8"/>
      <c r="Q229" s="20"/>
      <c r="R229" s="13"/>
    </row>
    <row r="230" spans="2:18" ht="18">
      <c r="B230" s="51" t="s">
        <v>295</v>
      </c>
      <c r="C230" s="50" t="s">
        <v>294</v>
      </c>
      <c r="E230" s="18" t="s">
        <v>293</v>
      </c>
      <c r="F230" s="17" t="s">
        <v>292</v>
      </c>
      <c r="H230" s="18" t="s">
        <v>293</v>
      </c>
      <c r="I230" s="17" t="s">
        <v>292</v>
      </c>
      <c r="K230" s="46">
        <v>1369</v>
      </c>
      <c r="L230" s="45" t="s">
        <v>291</v>
      </c>
      <c r="N230" s="9"/>
      <c r="O230" s="8"/>
      <c r="Q230" s="20"/>
      <c r="R230" s="13"/>
    </row>
    <row r="231" spans="2:18" ht="18">
      <c r="B231" s="51" t="s">
        <v>257</v>
      </c>
      <c r="C231" s="50" t="s">
        <v>256</v>
      </c>
      <c r="E231" s="18" t="s">
        <v>290</v>
      </c>
      <c r="F231" s="17" t="s">
        <v>289</v>
      </c>
      <c r="H231" s="18" t="s">
        <v>290</v>
      </c>
      <c r="I231" s="17" t="s">
        <v>289</v>
      </c>
      <c r="K231" s="46">
        <v>4013</v>
      </c>
      <c r="L231" s="49" t="s">
        <v>288</v>
      </c>
      <c r="N231" s="9"/>
      <c r="O231" s="8"/>
      <c r="Q231" s="20"/>
      <c r="R231" s="13"/>
    </row>
    <row r="232" spans="2:18" ht="18">
      <c r="B232" s="48" t="s">
        <v>253</v>
      </c>
      <c r="C232" s="47" t="s">
        <v>252</v>
      </c>
      <c r="E232" s="18" t="s">
        <v>287</v>
      </c>
      <c r="F232" s="17" t="s">
        <v>286</v>
      </c>
      <c r="H232" s="18" t="s">
        <v>287</v>
      </c>
      <c r="I232" s="17" t="s">
        <v>286</v>
      </c>
      <c r="K232" s="46"/>
      <c r="L232" s="45"/>
      <c r="N232" s="9"/>
      <c r="O232" s="8"/>
      <c r="Q232" s="20"/>
      <c r="R232" s="13"/>
    </row>
    <row r="233" spans="2:18" ht="18">
      <c r="B233" s="48" t="s">
        <v>285</v>
      </c>
      <c r="C233" s="47" t="s">
        <v>284</v>
      </c>
      <c r="E233" s="18" t="s">
        <v>283</v>
      </c>
      <c r="F233" s="17" t="s">
        <v>282</v>
      </c>
      <c r="H233" s="18" t="s">
        <v>283</v>
      </c>
      <c r="I233" s="17" t="s">
        <v>282</v>
      </c>
      <c r="K233" s="46"/>
      <c r="L233" s="45"/>
      <c r="N233" s="9"/>
      <c r="O233" s="8"/>
      <c r="Q233" s="20"/>
      <c r="R233" s="13"/>
    </row>
    <row r="234" spans="2:18" ht="18">
      <c r="B234" s="48" t="s">
        <v>251</v>
      </c>
      <c r="C234" s="47" t="s">
        <v>250</v>
      </c>
      <c r="E234" s="18" t="s">
        <v>281</v>
      </c>
      <c r="F234" s="17" t="s">
        <v>280</v>
      </c>
      <c r="H234" s="18" t="s">
        <v>281</v>
      </c>
      <c r="I234" s="17" t="s">
        <v>280</v>
      </c>
      <c r="K234" s="46"/>
      <c r="L234" s="45"/>
      <c r="N234" s="9"/>
      <c r="O234" s="8"/>
      <c r="Q234" s="20"/>
      <c r="R234" s="13"/>
    </row>
    <row r="235" spans="2:18" ht="18">
      <c r="B235" s="48"/>
      <c r="C235" s="47"/>
      <c r="E235" s="18" t="s">
        <v>279</v>
      </c>
      <c r="F235" s="17" t="s">
        <v>278</v>
      </c>
      <c r="H235" s="18" t="s">
        <v>279</v>
      </c>
      <c r="I235" s="17" t="s">
        <v>278</v>
      </c>
      <c r="K235" s="46" t="s">
        <v>277</v>
      </c>
      <c r="L235" s="45" t="s">
        <v>276</v>
      </c>
      <c r="N235" s="9"/>
      <c r="O235" s="8"/>
      <c r="Q235" s="20"/>
      <c r="R235" s="13"/>
    </row>
    <row r="236" spans="2:18" ht="18">
      <c r="B236" s="48"/>
      <c r="C236" s="47"/>
      <c r="E236" s="18" t="s">
        <v>275</v>
      </c>
      <c r="F236" s="17" t="s">
        <v>274</v>
      </c>
      <c r="H236" s="48"/>
      <c r="I236" s="47"/>
      <c r="K236" s="46" t="s">
        <v>273</v>
      </c>
      <c r="L236" s="45" t="s">
        <v>272</v>
      </c>
      <c r="N236" s="9"/>
      <c r="O236" s="8"/>
      <c r="Q236" s="20"/>
      <c r="R236" s="13"/>
    </row>
    <row r="237" spans="2:18" ht="18">
      <c r="B237" s="48"/>
      <c r="C237" s="47"/>
      <c r="E237" s="48"/>
      <c r="F237" s="47"/>
      <c r="H237" s="48"/>
      <c r="I237" s="47"/>
      <c r="K237" s="46" t="s">
        <v>271</v>
      </c>
      <c r="L237" s="45" t="s">
        <v>270</v>
      </c>
      <c r="N237" s="9"/>
      <c r="O237" s="8"/>
      <c r="Q237" s="20"/>
      <c r="R237" s="13"/>
    </row>
    <row r="238" spans="2:18" ht="18">
      <c r="B238" s="18">
        <v>591</v>
      </c>
      <c r="C238" s="36" t="s">
        <v>269</v>
      </c>
      <c r="E238" s="48"/>
      <c r="F238" s="47"/>
      <c r="H238" s="48"/>
      <c r="I238" s="47"/>
      <c r="K238" s="46" t="s">
        <v>268</v>
      </c>
      <c r="L238" s="45" t="s">
        <v>265</v>
      </c>
      <c r="N238" s="9"/>
      <c r="O238" s="8"/>
      <c r="Q238" s="20"/>
      <c r="R238" s="13"/>
    </row>
    <row r="239" spans="2:18" ht="18">
      <c r="B239" s="18">
        <v>761</v>
      </c>
      <c r="C239" s="23" t="s">
        <v>267</v>
      </c>
      <c r="E239" s="48"/>
      <c r="F239" s="47"/>
      <c r="H239" s="48"/>
      <c r="I239" s="47"/>
      <c r="K239" s="46" t="s">
        <v>266</v>
      </c>
      <c r="L239" s="45" t="s">
        <v>265</v>
      </c>
      <c r="N239" s="9"/>
      <c r="O239" s="8"/>
      <c r="Q239" s="20"/>
      <c r="R239" s="13"/>
    </row>
    <row r="240" spans="2:18" ht="18">
      <c r="B240" s="18">
        <v>763</v>
      </c>
      <c r="C240" s="23" t="s">
        <v>264</v>
      </c>
      <c r="E240" s="48"/>
      <c r="F240" s="47"/>
      <c r="H240" s="48"/>
      <c r="I240" s="47"/>
      <c r="K240" s="46" t="s">
        <v>263</v>
      </c>
      <c r="L240" s="45" t="s">
        <v>262</v>
      </c>
      <c r="N240" s="9"/>
      <c r="O240" s="8"/>
      <c r="Q240" s="20"/>
      <c r="R240" s="13"/>
    </row>
    <row r="241" spans="2:18" ht="18">
      <c r="B241" s="18">
        <v>762</v>
      </c>
      <c r="C241" s="23" t="s">
        <v>261</v>
      </c>
      <c r="E241" s="48"/>
      <c r="F241" s="47"/>
      <c r="H241" s="48"/>
      <c r="I241" s="47"/>
      <c r="K241" s="46" t="s">
        <v>260</v>
      </c>
      <c r="L241" s="45" t="s">
        <v>259</v>
      </c>
      <c r="N241" s="9"/>
      <c r="O241" s="8"/>
      <c r="Q241" s="20"/>
      <c r="R241" s="13"/>
    </row>
    <row r="242" spans="2:18" ht="18">
      <c r="B242" s="18">
        <v>764</v>
      </c>
      <c r="C242" s="17" t="s">
        <v>258</v>
      </c>
      <c r="E242" s="48"/>
      <c r="F242" s="47"/>
      <c r="H242" s="48"/>
      <c r="I242" s="47"/>
      <c r="K242" s="46" t="s">
        <v>257</v>
      </c>
      <c r="L242" s="45" t="s">
        <v>256</v>
      </c>
      <c r="N242" s="9"/>
      <c r="O242" s="8"/>
      <c r="Q242" s="20"/>
      <c r="R242" s="13"/>
    </row>
    <row r="243" spans="2:18" ht="18">
      <c r="B243" s="18" t="s">
        <v>255</v>
      </c>
      <c r="C243" s="23" t="s">
        <v>254</v>
      </c>
      <c r="E243" s="48"/>
      <c r="F243" s="47"/>
      <c r="H243" s="48"/>
      <c r="I243" s="47"/>
      <c r="K243" s="46" t="s">
        <v>253</v>
      </c>
      <c r="L243" s="45" t="s">
        <v>252</v>
      </c>
      <c r="N243" s="9"/>
      <c r="O243" s="8"/>
      <c r="Q243" s="20"/>
      <c r="R243" s="13"/>
    </row>
    <row r="244" spans="2:18" ht="18">
      <c r="B244" s="18"/>
      <c r="C244" s="28"/>
      <c r="E244" s="48"/>
      <c r="F244" s="47"/>
      <c r="H244" s="48"/>
      <c r="I244" s="47"/>
      <c r="K244" s="46" t="s">
        <v>251</v>
      </c>
      <c r="L244" s="45" t="s">
        <v>250</v>
      </c>
      <c r="N244" s="9"/>
      <c r="O244" s="8"/>
      <c r="Q244" s="20"/>
      <c r="R244" s="13"/>
    </row>
    <row r="245" spans="2:18" ht="18">
      <c r="B245" s="18"/>
      <c r="C245" s="28"/>
      <c r="E245" s="48"/>
      <c r="F245" s="47"/>
      <c r="H245" s="48"/>
      <c r="I245" s="47"/>
      <c r="K245" s="46" t="s">
        <v>249</v>
      </c>
      <c r="L245" s="45" t="s">
        <v>248</v>
      </c>
      <c r="N245" s="9"/>
      <c r="O245" s="8"/>
      <c r="Q245" s="20"/>
      <c r="R245" s="13"/>
    </row>
    <row r="246" spans="2:18" ht="18">
      <c r="B246" s="18"/>
      <c r="C246" s="28"/>
      <c r="E246" s="48"/>
      <c r="F246" s="47"/>
      <c r="H246" s="48"/>
      <c r="I246" s="47"/>
      <c r="K246" s="46" t="s">
        <v>247</v>
      </c>
      <c r="L246" s="45" t="s">
        <v>246</v>
      </c>
      <c r="N246" s="9"/>
      <c r="O246" s="8"/>
      <c r="Q246" s="20"/>
      <c r="R246" s="13"/>
    </row>
    <row r="247" spans="2:18" ht="18">
      <c r="B247" s="35"/>
      <c r="C247" s="28"/>
      <c r="E247" s="18">
        <v>590</v>
      </c>
      <c r="F247" s="36" t="s">
        <v>184</v>
      </c>
      <c r="H247" s="18">
        <v>590</v>
      </c>
      <c r="I247" s="36" t="s">
        <v>184</v>
      </c>
      <c r="K247" s="46" t="s">
        <v>245</v>
      </c>
      <c r="L247" s="45" t="s">
        <v>244</v>
      </c>
      <c r="N247" s="9"/>
      <c r="O247" s="8"/>
      <c r="Q247" s="20"/>
      <c r="R247" s="13"/>
    </row>
    <row r="248" spans="2:18" ht="18">
      <c r="B248" s="18"/>
      <c r="C248" s="28"/>
      <c r="E248" s="18">
        <v>761</v>
      </c>
      <c r="F248" s="36" t="s">
        <v>182</v>
      </c>
      <c r="H248" s="18">
        <v>761</v>
      </c>
      <c r="I248" s="36" t="s">
        <v>182</v>
      </c>
      <c r="K248" s="46" t="s">
        <v>243</v>
      </c>
      <c r="L248" s="45" t="s">
        <v>242</v>
      </c>
      <c r="N248" s="9"/>
      <c r="O248" s="8"/>
      <c r="Q248" s="20"/>
      <c r="R248" s="13"/>
    </row>
    <row r="249" spans="2:18" ht="18">
      <c r="B249" s="18"/>
      <c r="C249" s="28"/>
      <c r="E249" s="18">
        <v>764</v>
      </c>
      <c r="F249" s="36" t="s">
        <v>241</v>
      </c>
      <c r="H249" s="18">
        <v>764</v>
      </c>
      <c r="I249" s="36" t="s">
        <v>241</v>
      </c>
      <c r="K249" s="46" t="s">
        <v>240</v>
      </c>
      <c r="L249" s="45" t="s">
        <v>239</v>
      </c>
      <c r="N249" s="9"/>
      <c r="O249" s="8"/>
      <c r="Q249" s="20"/>
      <c r="R249" s="13"/>
    </row>
    <row r="250" spans="2:18" ht="18">
      <c r="B250" s="18"/>
      <c r="C250" s="28"/>
      <c r="E250" s="18">
        <v>765</v>
      </c>
      <c r="F250" s="36" t="s">
        <v>238</v>
      </c>
      <c r="H250" s="18">
        <v>765</v>
      </c>
      <c r="I250" s="36" t="s">
        <v>238</v>
      </c>
      <c r="K250" s="46">
        <v>74</v>
      </c>
      <c r="L250" s="45" t="s">
        <v>237</v>
      </c>
      <c r="N250" s="9"/>
      <c r="O250" s="8"/>
      <c r="Q250" s="20"/>
      <c r="R250" s="13"/>
    </row>
    <row r="251" spans="2:18" ht="18">
      <c r="B251" s="18"/>
      <c r="C251" s="28"/>
      <c r="E251" s="18">
        <v>766</v>
      </c>
      <c r="F251" s="36" t="s">
        <v>236</v>
      </c>
      <c r="H251" s="18">
        <v>766</v>
      </c>
      <c r="I251" s="36" t="s">
        <v>236</v>
      </c>
      <c r="K251" s="46">
        <v>4313</v>
      </c>
      <c r="L251" s="45" t="s">
        <v>235</v>
      </c>
      <c r="N251" s="9"/>
      <c r="O251" s="8"/>
      <c r="Q251" s="20"/>
      <c r="R251" s="13"/>
    </row>
    <row r="252" spans="2:18" ht="18">
      <c r="B252" s="18"/>
      <c r="C252" s="28"/>
      <c r="E252" s="18"/>
      <c r="F252" s="36"/>
      <c r="H252" s="18"/>
      <c r="I252" s="36"/>
      <c r="K252" s="46">
        <v>3973</v>
      </c>
      <c r="L252" s="45" t="s">
        <v>234</v>
      </c>
      <c r="N252" s="9"/>
      <c r="O252" s="8"/>
      <c r="Q252" s="20"/>
      <c r="R252" s="13"/>
    </row>
    <row r="253" spans="2:18" ht="18">
      <c r="B253" s="18"/>
      <c r="C253" s="28"/>
      <c r="E253" s="18" t="s">
        <v>233</v>
      </c>
      <c r="F253" s="17" t="s">
        <v>232</v>
      </c>
      <c r="H253" s="18" t="s">
        <v>233</v>
      </c>
      <c r="I253" s="17" t="s">
        <v>232</v>
      </c>
      <c r="K253" s="46">
        <v>3743</v>
      </c>
      <c r="L253" s="45" t="s">
        <v>231</v>
      </c>
      <c r="N253" s="9"/>
      <c r="O253" s="8"/>
      <c r="Q253" s="20"/>
      <c r="R253" s="13"/>
    </row>
    <row r="254" spans="2:18" ht="18">
      <c r="B254" s="18"/>
      <c r="C254" s="28"/>
      <c r="E254" s="18" t="s">
        <v>230</v>
      </c>
      <c r="F254" s="17" t="s">
        <v>229</v>
      </c>
      <c r="H254" s="18" t="s">
        <v>230</v>
      </c>
      <c r="I254" s="17" t="s">
        <v>229</v>
      </c>
      <c r="K254" s="46">
        <v>3894</v>
      </c>
      <c r="L254" s="45" t="s">
        <v>228</v>
      </c>
      <c r="N254" s="9"/>
      <c r="O254" s="8"/>
      <c r="Q254" s="20"/>
      <c r="R254" s="13"/>
    </row>
    <row r="255" spans="2:18" ht="18">
      <c r="B255" s="35"/>
      <c r="C255" s="28"/>
      <c r="E255" s="18"/>
      <c r="F255" s="36"/>
      <c r="H255" s="18"/>
      <c r="I255" s="36"/>
      <c r="K255" s="46">
        <v>3571</v>
      </c>
      <c r="L255" s="45" t="s">
        <v>227</v>
      </c>
      <c r="N255" s="9"/>
      <c r="O255" s="8"/>
      <c r="Q255" s="20"/>
      <c r="R255" s="13"/>
    </row>
    <row r="256" spans="2:18" ht="18">
      <c r="B256" s="18"/>
      <c r="C256" s="28"/>
      <c r="E256" s="18"/>
      <c r="F256" s="36"/>
      <c r="H256" s="18"/>
      <c r="I256" s="36"/>
      <c r="K256" s="44">
        <v>562</v>
      </c>
      <c r="L256" s="43" t="s">
        <v>226</v>
      </c>
      <c r="N256" s="9"/>
      <c r="O256" s="8"/>
      <c r="Q256" s="20"/>
      <c r="R256" s="13"/>
    </row>
    <row r="257" spans="2:18" ht="18">
      <c r="B257" s="35"/>
      <c r="C257" s="28"/>
      <c r="E257" s="18"/>
      <c r="F257" s="36"/>
      <c r="H257" s="18"/>
      <c r="I257" s="36"/>
      <c r="K257" s="44">
        <v>676</v>
      </c>
      <c r="L257" s="43" t="s">
        <v>225</v>
      </c>
      <c r="N257" s="9"/>
      <c r="O257" s="8"/>
      <c r="Q257" s="20"/>
      <c r="R257" s="13"/>
    </row>
    <row r="258" spans="2:18" ht="18">
      <c r="B258" s="35"/>
      <c r="C258" s="28"/>
      <c r="E258" s="18"/>
      <c r="F258" s="36"/>
      <c r="H258" s="18"/>
      <c r="I258" s="36"/>
      <c r="K258" s="44" t="s">
        <v>224</v>
      </c>
      <c r="L258" s="43" t="s">
        <v>223</v>
      </c>
      <c r="N258" s="9"/>
      <c r="O258" s="8"/>
      <c r="Q258" s="20"/>
      <c r="R258" s="13"/>
    </row>
    <row r="259" spans="2:18" ht="18">
      <c r="B259" s="35"/>
      <c r="C259" s="28"/>
      <c r="E259" s="18"/>
      <c r="F259" s="36"/>
      <c r="H259" s="18"/>
      <c r="I259" s="36"/>
      <c r="K259" s="44" t="s">
        <v>222</v>
      </c>
      <c r="L259" s="43" t="s">
        <v>221</v>
      </c>
      <c r="N259" s="9"/>
      <c r="O259" s="8"/>
      <c r="Q259" s="20"/>
      <c r="R259" s="13"/>
    </row>
    <row r="260" spans="2:18" ht="18">
      <c r="B260" s="35"/>
      <c r="C260" s="28"/>
      <c r="E260" s="25">
        <v>357</v>
      </c>
      <c r="F260" s="26" t="s">
        <v>125</v>
      </c>
      <c r="H260" s="25">
        <v>357</v>
      </c>
      <c r="I260" s="26" t="s">
        <v>125</v>
      </c>
      <c r="K260" s="44" t="s">
        <v>220</v>
      </c>
      <c r="L260" s="43" t="s">
        <v>219</v>
      </c>
      <c r="N260" s="9"/>
      <c r="O260" s="8"/>
      <c r="Q260" s="20"/>
      <c r="R260" s="13"/>
    </row>
    <row r="261" spans="2:18" ht="18">
      <c r="B261" s="35"/>
      <c r="C261" s="28"/>
      <c r="E261" s="25">
        <v>525</v>
      </c>
      <c r="F261" s="26" t="s">
        <v>124</v>
      </c>
      <c r="H261" s="25">
        <v>525</v>
      </c>
      <c r="I261" s="26" t="s">
        <v>124</v>
      </c>
      <c r="K261" s="42" t="s">
        <v>218</v>
      </c>
      <c r="L261" s="42" t="s">
        <v>217</v>
      </c>
      <c r="N261" s="9"/>
      <c r="O261" s="8"/>
      <c r="Q261" s="20"/>
      <c r="R261" s="13"/>
    </row>
    <row r="262" spans="2:18" ht="18">
      <c r="B262" s="35"/>
      <c r="C262" s="28"/>
      <c r="E262" s="25">
        <v>551</v>
      </c>
      <c r="F262" s="26" t="s">
        <v>159</v>
      </c>
      <c r="H262" s="25">
        <v>551</v>
      </c>
      <c r="I262" s="26" t="s">
        <v>159</v>
      </c>
      <c r="K262" s="42" t="s">
        <v>216</v>
      </c>
      <c r="L262" s="42" t="s">
        <v>215</v>
      </c>
      <c r="N262" s="9"/>
      <c r="O262" s="8"/>
      <c r="Q262" s="20"/>
      <c r="R262" s="13"/>
    </row>
    <row r="263" spans="2:18" ht="18">
      <c r="B263" s="35"/>
      <c r="C263" s="28"/>
      <c r="E263" s="25">
        <v>562</v>
      </c>
      <c r="F263" s="26" t="s">
        <v>214</v>
      </c>
      <c r="H263" s="25">
        <v>562</v>
      </c>
      <c r="I263" s="26" t="s">
        <v>214</v>
      </c>
      <c r="K263" s="41" t="s">
        <v>213</v>
      </c>
      <c r="L263" s="39" t="s">
        <v>212</v>
      </c>
      <c r="N263" s="9"/>
      <c r="O263" s="8"/>
      <c r="Q263" s="20"/>
      <c r="R263" s="13"/>
    </row>
    <row r="264" spans="2:18" ht="18">
      <c r="B264" s="35"/>
      <c r="C264" s="28"/>
      <c r="E264" s="25">
        <v>591</v>
      </c>
      <c r="F264" s="26" t="s">
        <v>181</v>
      </c>
      <c r="H264" s="25">
        <v>591</v>
      </c>
      <c r="I264" s="26" t="s">
        <v>181</v>
      </c>
      <c r="K264" s="40" t="s">
        <v>211</v>
      </c>
      <c r="L264" s="39" t="s">
        <v>210</v>
      </c>
      <c r="N264" s="9"/>
      <c r="O264" s="8"/>
      <c r="Q264" s="20"/>
      <c r="R264" s="13"/>
    </row>
    <row r="265" spans="2:18" ht="18">
      <c r="B265" s="35"/>
      <c r="C265" s="28"/>
      <c r="E265" s="25">
        <v>613</v>
      </c>
      <c r="F265" s="26" t="s">
        <v>180</v>
      </c>
      <c r="H265" s="25">
        <v>613</v>
      </c>
      <c r="I265" s="26" t="s">
        <v>180</v>
      </c>
      <c r="K265" s="38" t="s">
        <v>209</v>
      </c>
      <c r="L265" s="37" t="s">
        <v>208</v>
      </c>
      <c r="N265" s="9"/>
      <c r="O265" s="8"/>
      <c r="Q265" s="20"/>
      <c r="R265" s="13"/>
    </row>
    <row r="266" spans="2:18" ht="18">
      <c r="B266" s="35"/>
      <c r="C266" s="28"/>
      <c r="E266" s="25">
        <v>625</v>
      </c>
      <c r="F266" s="26" t="s">
        <v>207</v>
      </c>
      <c r="H266" s="25">
        <v>625</v>
      </c>
      <c r="I266" s="26" t="s">
        <v>207</v>
      </c>
      <c r="K266" s="38" t="s">
        <v>206</v>
      </c>
      <c r="L266" s="37" t="s">
        <v>205</v>
      </c>
      <c r="N266" s="9"/>
      <c r="O266" s="8"/>
      <c r="Q266" s="20"/>
      <c r="R266" s="13"/>
    </row>
    <row r="267" spans="2:18" ht="18">
      <c r="B267" s="35"/>
      <c r="C267" s="28"/>
      <c r="E267" s="25">
        <v>642</v>
      </c>
      <c r="F267" s="26" t="s">
        <v>179</v>
      </c>
      <c r="H267" s="25">
        <v>642</v>
      </c>
      <c r="I267" s="26" t="s">
        <v>179</v>
      </c>
      <c r="K267" s="38" t="s">
        <v>204</v>
      </c>
      <c r="L267" s="37" t="s">
        <v>203</v>
      </c>
      <c r="N267" s="9"/>
      <c r="O267" s="8"/>
      <c r="Q267" s="20"/>
      <c r="R267" s="13"/>
    </row>
    <row r="268" spans="2:18" ht="18">
      <c r="B268" s="35"/>
      <c r="C268" s="28"/>
      <c r="E268" s="25">
        <v>632</v>
      </c>
      <c r="F268" s="26" t="s">
        <v>178</v>
      </c>
      <c r="H268" s="25">
        <v>632</v>
      </c>
      <c r="I268" s="26" t="s">
        <v>178</v>
      </c>
      <c r="K268" s="38" t="s">
        <v>202</v>
      </c>
      <c r="L268" s="37" t="s">
        <v>201</v>
      </c>
      <c r="N268" s="9"/>
      <c r="O268" s="8"/>
      <c r="Q268" s="20"/>
      <c r="R268" s="13"/>
    </row>
    <row r="269" spans="2:18" ht="18">
      <c r="B269" s="35"/>
      <c r="C269" s="28"/>
      <c r="E269" s="25">
        <v>639</v>
      </c>
      <c r="F269" s="26" t="s">
        <v>177</v>
      </c>
      <c r="H269" s="25">
        <v>639</v>
      </c>
      <c r="I269" s="26" t="s">
        <v>177</v>
      </c>
      <c r="K269" s="38" t="s">
        <v>200</v>
      </c>
      <c r="L269" s="37" t="s">
        <v>199</v>
      </c>
      <c r="N269" s="9"/>
      <c r="O269" s="8"/>
      <c r="Q269" s="20"/>
      <c r="R269" s="13"/>
    </row>
    <row r="270" spans="2:18" ht="18">
      <c r="B270" s="35"/>
      <c r="C270" s="28"/>
      <c r="E270" s="25">
        <v>641</v>
      </c>
      <c r="F270" s="26" t="s">
        <v>176</v>
      </c>
      <c r="H270" s="25">
        <v>641</v>
      </c>
      <c r="I270" s="26" t="s">
        <v>176</v>
      </c>
      <c r="K270" s="38" t="s">
        <v>198</v>
      </c>
      <c r="L270" s="37" t="s">
        <v>197</v>
      </c>
      <c r="N270" s="9"/>
      <c r="O270" s="8"/>
      <c r="Q270" s="20"/>
      <c r="R270" s="13"/>
    </row>
    <row r="271" spans="2:18" ht="18">
      <c r="B271" s="35"/>
      <c r="C271" s="28"/>
      <c r="E271" s="25">
        <v>640</v>
      </c>
      <c r="F271" s="26" t="s">
        <v>126</v>
      </c>
      <c r="H271" s="25">
        <v>640</v>
      </c>
      <c r="I271" s="26" t="s">
        <v>126</v>
      </c>
      <c r="K271" s="38" t="s">
        <v>196</v>
      </c>
      <c r="L271" s="37" t="s">
        <v>195</v>
      </c>
      <c r="N271" s="9"/>
      <c r="O271" s="8"/>
      <c r="Q271" s="20"/>
      <c r="R271" s="13"/>
    </row>
    <row r="272" spans="2:18" ht="18">
      <c r="B272" s="35"/>
      <c r="C272" s="28"/>
      <c r="E272" s="22">
        <v>651</v>
      </c>
      <c r="F272" s="25" t="s">
        <v>175</v>
      </c>
      <c r="H272" s="22">
        <v>651</v>
      </c>
      <c r="I272" s="25" t="s">
        <v>175</v>
      </c>
      <c r="K272" s="38" t="s">
        <v>194</v>
      </c>
      <c r="L272" s="37" t="s">
        <v>193</v>
      </c>
      <c r="N272" s="9"/>
      <c r="O272" s="8"/>
      <c r="Q272" s="20"/>
      <c r="R272" s="13"/>
    </row>
    <row r="273" spans="2:18" ht="18">
      <c r="B273" s="35"/>
      <c r="C273" s="28"/>
      <c r="E273" s="22">
        <v>656</v>
      </c>
      <c r="F273" s="25" t="s">
        <v>98</v>
      </c>
      <c r="H273" s="22">
        <v>656</v>
      </c>
      <c r="I273" s="25" t="s">
        <v>98</v>
      </c>
      <c r="K273" s="38" t="s">
        <v>192</v>
      </c>
      <c r="L273" s="37" t="s">
        <v>191</v>
      </c>
      <c r="N273" s="9"/>
      <c r="O273" s="8"/>
      <c r="Q273" s="20"/>
      <c r="R273" s="13"/>
    </row>
    <row r="274" spans="2:18" ht="18">
      <c r="B274" s="35"/>
      <c r="C274" s="28"/>
      <c r="E274" s="22">
        <v>655</v>
      </c>
      <c r="F274" s="25" t="s">
        <v>97</v>
      </c>
      <c r="H274" s="22">
        <v>655</v>
      </c>
      <c r="I274" s="25" t="s">
        <v>97</v>
      </c>
      <c r="K274" s="38" t="s">
        <v>190</v>
      </c>
      <c r="L274" s="37" t="s">
        <v>189</v>
      </c>
      <c r="N274" s="9"/>
      <c r="O274" s="8"/>
      <c r="Q274" s="20"/>
      <c r="R274" s="13"/>
    </row>
    <row r="275" spans="2:18" ht="18">
      <c r="B275" s="35"/>
      <c r="C275" s="28"/>
      <c r="E275" s="22">
        <v>643</v>
      </c>
      <c r="F275" s="25" t="s">
        <v>174</v>
      </c>
      <c r="H275" s="22">
        <v>643</v>
      </c>
      <c r="I275" s="25" t="s">
        <v>174</v>
      </c>
      <c r="K275" s="38" t="s">
        <v>188</v>
      </c>
      <c r="L275" s="37" t="s">
        <v>187</v>
      </c>
      <c r="N275" s="9"/>
      <c r="O275" s="8"/>
      <c r="Q275" s="20"/>
      <c r="R275" s="13"/>
    </row>
    <row r="276" spans="2:18" ht="18">
      <c r="B276" s="35"/>
      <c r="C276" s="28"/>
      <c r="E276" s="31">
        <v>644</v>
      </c>
      <c r="F276" s="31" t="s">
        <v>154</v>
      </c>
      <c r="H276" s="31">
        <v>644</v>
      </c>
      <c r="I276" s="31" t="s">
        <v>154</v>
      </c>
      <c r="K276" s="38" t="s">
        <v>186</v>
      </c>
      <c r="L276" s="37" t="s">
        <v>185</v>
      </c>
      <c r="N276" s="9"/>
      <c r="O276" s="8"/>
      <c r="Q276" s="20"/>
      <c r="R276" s="13"/>
    </row>
    <row r="277" spans="2:18">
      <c r="B277" s="35"/>
      <c r="C277" s="28"/>
      <c r="E277" s="22">
        <v>647</v>
      </c>
      <c r="F277" s="25" t="s">
        <v>173</v>
      </c>
      <c r="H277" s="22">
        <v>647</v>
      </c>
      <c r="I277" s="25" t="s">
        <v>173</v>
      </c>
      <c r="K277" s="18">
        <v>590</v>
      </c>
      <c r="L277" s="36" t="s">
        <v>184</v>
      </c>
      <c r="N277" s="9"/>
      <c r="O277" s="8"/>
      <c r="Q277" s="20"/>
      <c r="R277" s="13"/>
    </row>
    <row r="278" spans="2:18">
      <c r="B278" s="35"/>
      <c r="C278" s="28"/>
      <c r="E278" s="22">
        <v>649</v>
      </c>
      <c r="F278" s="25" t="s">
        <v>115</v>
      </c>
      <c r="H278" s="22">
        <v>649</v>
      </c>
      <c r="I278" s="25" t="s">
        <v>115</v>
      </c>
      <c r="K278" s="18" t="s">
        <v>183</v>
      </c>
      <c r="L278" s="36" t="s">
        <v>182</v>
      </c>
      <c r="N278" s="9"/>
      <c r="O278" s="8"/>
      <c r="Q278" s="20"/>
      <c r="R278" s="13"/>
    </row>
    <row r="279" spans="2:18">
      <c r="B279" s="35"/>
      <c r="C279" s="28"/>
      <c r="E279" s="31">
        <v>648</v>
      </c>
      <c r="F279" s="31" t="s">
        <v>172</v>
      </c>
      <c r="H279" s="31">
        <v>648</v>
      </c>
      <c r="I279" s="31" t="s">
        <v>172</v>
      </c>
      <c r="K279" s="18"/>
      <c r="L279" s="36"/>
      <c r="N279" s="9"/>
      <c r="O279" s="8"/>
      <c r="Q279" s="20"/>
      <c r="R279" s="13"/>
    </row>
    <row r="280" spans="2:18">
      <c r="B280" s="35"/>
      <c r="C280" s="28"/>
      <c r="E280" s="31">
        <v>646</v>
      </c>
      <c r="F280" s="31" t="s">
        <v>170</v>
      </c>
      <c r="H280" s="31">
        <v>646</v>
      </c>
      <c r="I280" s="31" t="s">
        <v>170</v>
      </c>
      <c r="K280" s="18"/>
      <c r="L280" s="36"/>
      <c r="N280" s="9"/>
      <c r="O280" s="8"/>
      <c r="Q280" s="20"/>
      <c r="R280" s="13"/>
    </row>
    <row r="281" spans="2:18">
      <c r="B281" s="35"/>
      <c r="C281" s="28"/>
      <c r="E281" s="31">
        <v>661</v>
      </c>
      <c r="F281" s="31" t="s">
        <v>168</v>
      </c>
      <c r="H281" s="31">
        <v>661</v>
      </c>
      <c r="I281" s="31" t="s">
        <v>168</v>
      </c>
      <c r="K281" s="25">
        <v>357</v>
      </c>
      <c r="L281" s="26" t="s">
        <v>125</v>
      </c>
      <c r="N281" s="9"/>
      <c r="O281" s="8"/>
      <c r="Q281" s="20"/>
      <c r="R281" s="13"/>
    </row>
    <row r="282" spans="2:18">
      <c r="B282" s="35"/>
      <c r="C282" s="28"/>
      <c r="E282" s="31">
        <v>657</v>
      </c>
      <c r="F282" s="31" t="s">
        <v>167</v>
      </c>
      <c r="H282" s="31">
        <v>657</v>
      </c>
      <c r="I282" s="31" t="s">
        <v>167</v>
      </c>
      <c r="K282" s="25">
        <v>525</v>
      </c>
      <c r="L282" s="26" t="s">
        <v>124</v>
      </c>
      <c r="N282" s="9"/>
      <c r="O282" s="8"/>
      <c r="Q282" s="20"/>
      <c r="R282" s="13"/>
    </row>
    <row r="283" spans="2:18">
      <c r="B283" s="35"/>
      <c r="C283" s="28"/>
      <c r="E283" s="31">
        <v>658</v>
      </c>
      <c r="F283" s="31" t="s">
        <v>166</v>
      </c>
      <c r="H283" s="31">
        <v>658</v>
      </c>
      <c r="I283" s="31" t="s">
        <v>166</v>
      </c>
      <c r="K283" s="25">
        <v>551</v>
      </c>
      <c r="L283" s="26" t="s">
        <v>159</v>
      </c>
      <c r="N283" s="9"/>
      <c r="O283" s="8"/>
      <c r="Q283" s="20"/>
      <c r="R283" s="13"/>
    </row>
    <row r="284" spans="2:18">
      <c r="B284" s="35"/>
      <c r="C284" s="28"/>
      <c r="E284" s="31">
        <v>674</v>
      </c>
      <c r="F284" s="31" t="s">
        <v>165</v>
      </c>
      <c r="H284" s="31">
        <v>674</v>
      </c>
      <c r="I284" s="31" t="s">
        <v>165</v>
      </c>
      <c r="K284" s="25">
        <v>591</v>
      </c>
      <c r="L284" s="26" t="s">
        <v>181</v>
      </c>
      <c r="N284" s="9"/>
      <c r="O284" s="8"/>
      <c r="Q284" s="20"/>
      <c r="R284" s="13"/>
    </row>
    <row r="285" spans="2:18">
      <c r="B285" s="35"/>
      <c r="C285" s="28"/>
      <c r="E285" s="31">
        <v>672</v>
      </c>
      <c r="F285" s="31" t="s">
        <v>164</v>
      </c>
      <c r="H285" s="31">
        <v>672</v>
      </c>
      <c r="I285" s="31" t="s">
        <v>164</v>
      </c>
      <c r="K285" s="25">
        <v>613</v>
      </c>
      <c r="L285" s="26" t="s">
        <v>180</v>
      </c>
      <c r="N285" s="9"/>
      <c r="O285" s="8"/>
      <c r="Q285" s="20"/>
      <c r="R285" s="13"/>
    </row>
    <row r="286" spans="2:18">
      <c r="B286" s="35"/>
      <c r="C286" s="28"/>
      <c r="E286" s="31">
        <v>673</v>
      </c>
      <c r="F286" s="31" t="s">
        <v>163</v>
      </c>
      <c r="H286" s="31">
        <v>673</v>
      </c>
      <c r="I286" s="31" t="s">
        <v>163</v>
      </c>
      <c r="K286" s="25">
        <v>642</v>
      </c>
      <c r="L286" s="26" t="s">
        <v>179</v>
      </c>
      <c r="N286" s="9"/>
      <c r="O286" s="8"/>
      <c r="Q286" s="20"/>
      <c r="R286" s="13"/>
    </row>
    <row r="287" spans="2:18">
      <c r="B287" s="35"/>
      <c r="C287" s="28"/>
      <c r="E287" s="31">
        <v>670</v>
      </c>
      <c r="F287" s="31" t="s">
        <v>162</v>
      </c>
      <c r="H287" s="31">
        <v>670</v>
      </c>
      <c r="I287" s="31" t="s">
        <v>162</v>
      </c>
      <c r="K287" s="25">
        <v>632</v>
      </c>
      <c r="L287" s="26" t="s">
        <v>178</v>
      </c>
      <c r="N287" s="9"/>
      <c r="O287" s="8"/>
      <c r="Q287" s="20"/>
      <c r="R287" s="13"/>
    </row>
    <row r="288" spans="2:18">
      <c r="B288" s="35"/>
      <c r="C288" s="28"/>
      <c r="E288" s="31"/>
      <c r="F288" s="31"/>
      <c r="H288" s="31"/>
      <c r="I288" s="31"/>
      <c r="K288" s="25">
        <v>639</v>
      </c>
      <c r="L288" s="26" t="s">
        <v>177</v>
      </c>
      <c r="N288" s="9"/>
      <c r="O288" s="8"/>
      <c r="Q288" s="20"/>
      <c r="R288" s="13"/>
    </row>
    <row r="289" spans="2:18">
      <c r="B289" s="35"/>
      <c r="C289" s="28"/>
      <c r="E289" s="31">
        <v>669</v>
      </c>
      <c r="F289" s="31" t="s">
        <v>151</v>
      </c>
      <c r="H289" s="31">
        <v>669</v>
      </c>
      <c r="I289" s="31" t="s">
        <v>151</v>
      </c>
      <c r="K289" s="25">
        <v>641</v>
      </c>
      <c r="L289" s="26" t="s">
        <v>176</v>
      </c>
      <c r="N289" s="9"/>
      <c r="O289" s="8"/>
      <c r="Q289" s="20"/>
      <c r="R289" s="13"/>
    </row>
    <row r="290" spans="2:18">
      <c r="B290" s="35"/>
      <c r="C290" s="28"/>
      <c r="E290" s="31">
        <v>671</v>
      </c>
      <c r="F290" s="31" t="s">
        <v>158</v>
      </c>
      <c r="H290" s="31">
        <v>671</v>
      </c>
      <c r="I290" s="31" t="s">
        <v>158</v>
      </c>
      <c r="K290" s="25">
        <v>640</v>
      </c>
      <c r="L290" s="26" t="s">
        <v>126</v>
      </c>
      <c r="N290" s="9"/>
      <c r="O290" s="8"/>
      <c r="Q290" s="20"/>
      <c r="R290" s="13"/>
    </row>
    <row r="291" spans="2:18">
      <c r="B291" s="35"/>
      <c r="C291" s="28"/>
      <c r="E291" s="31">
        <v>668</v>
      </c>
      <c r="F291" s="31" t="s">
        <v>156</v>
      </c>
      <c r="H291" s="31">
        <v>668</v>
      </c>
      <c r="I291" s="31" t="s">
        <v>156</v>
      </c>
      <c r="K291" s="25">
        <v>651</v>
      </c>
      <c r="L291" s="26" t="s">
        <v>175</v>
      </c>
      <c r="N291" s="9"/>
      <c r="O291" s="8"/>
      <c r="Q291" s="20"/>
      <c r="R291" s="13"/>
    </row>
    <row r="292" spans="2:18">
      <c r="B292" s="35"/>
      <c r="C292" s="28"/>
      <c r="E292" s="31">
        <v>666</v>
      </c>
      <c r="F292" s="31" t="s">
        <v>145</v>
      </c>
      <c r="H292" s="31">
        <v>666</v>
      </c>
      <c r="I292" s="31" t="s">
        <v>145</v>
      </c>
      <c r="K292" s="25">
        <v>656</v>
      </c>
      <c r="L292" s="26" t="s">
        <v>98</v>
      </c>
      <c r="N292" s="9"/>
      <c r="O292" s="8"/>
      <c r="Q292" s="20"/>
      <c r="R292" s="13"/>
    </row>
    <row r="293" spans="2:18">
      <c r="B293" s="35"/>
      <c r="C293" s="28"/>
      <c r="E293" s="31">
        <v>675</v>
      </c>
      <c r="F293" s="31" t="s">
        <v>137</v>
      </c>
      <c r="H293" s="31">
        <v>675</v>
      </c>
      <c r="I293" s="31" t="s">
        <v>137</v>
      </c>
      <c r="K293" s="22">
        <v>655</v>
      </c>
      <c r="L293" s="25" t="s">
        <v>97</v>
      </c>
      <c r="N293" s="9"/>
      <c r="O293" s="8"/>
      <c r="Q293" s="20"/>
      <c r="R293" s="13"/>
    </row>
    <row r="294" spans="2:18">
      <c r="B294" s="35"/>
      <c r="C294" s="28"/>
      <c r="E294" s="31">
        <v>676</v>
      </c>
      <c r="F294" s="31" t="s">
        <v>133</v>
      </c>
      <c r="H294" s="31">
        <v>676</v>
      </c>
      <c r="I294" s="31" t="s">
        <v>133</v>
      </c>
      <c r="K294" s="22">
        <v>643</v>
      </c>
      <c r="L294" s="25" t="s">
        <v>174</v>
      </c>
      <c r="N294" s="9"/>
      <c r="O294" s="8"/>
      <c r="Q294" s="20"/>
      <c r="R294" s="13"/>
    </row>
    <row r="295" spans="2:18">
      <c r="B295" s="35"/>
      <c r="C295" s="28"/>
      <c r="E295" s="31">
        <v>686</v>
      </c>
      <c r="F295" s="31" t="s">
        <v>150</v>
      </c>
      <c r="H295" s="31">
        <v>686</v>
      </c>
      <c r="I295" s="31" t="s">
        <v>150</v>
      </c>
      <c r="K295" s="22">
        <v>644</v>
      </c>
      <c r="L295" s="25" t="s">
        <v>154</v>
      </c>
      <c r="N295" s="9"/>
      <c r="O295" s="8"/>
      <c r="Q295" s="20"/>
      <c r="R295" s="13"/>
    </row>
    <row r="296" spans="2:18">
      <c r="B296" s="35"/>
      <c r="C296" s="28"/>
      <c r="E296" s="31">
        <v>685</v>
      </c>
      <c r="F296" s="31" t="s">
        <v>147</v>
      </c>
      <c r="H296" s="31">
        <v>685</v>
      </c>
      <c r="I296" s="31" t="s">
        <v>147</v>
      </c>
      <c r="K296" s="22">
        <v>647</v>
      </c>
      <c r="L296" s="25" t="s">
        <v>173</v>
      </c>
      <c r="N296" s="9"/>
      <c r="O296" s="8"/>
      <c r="Q296" s="20"/>
      <c r="R296" s="13"/>
    </row>
    <row r="297" spans="2:18">
      <c r="B297" s="35"/>
      <c r="C297" s="28"/>
      <c r="E297" s="31">
        <v>682</v>
      </c>
      <c r="F297" s="31" t="s">
        <v>140</v>
      </c>
      <c r="H297" s="31">
        <v>682</v>
      </c>
      <c r="I297" s="31" t="s">
        <v>140</v>
      </c>
      <c r="K297" s="31">
        <v>649</v>
      </c>
      <c r="L297" s="31" t="s">
        <v>115</v>
      </c>
      <c r="N297" s="9"/>
      <c r="O297" s="8"/>
      <c r="Q297" s="20"/>
      <c r="R297" s="13"/>
    </row>
    <row r="298" spans="2:18">
      <c r="B298" s="35"/>
      <c r="C298" s="28"/>
      <c r="E298" s="31">
        <v>681</v>
      </c>
      <c r="F298" s="31" t="s">
        <v>142</v>
      </c>
      <c r="H298" s="31">
        <v>681</v>
      </c>
      <c r="I298" s="31" t="s">
        <v>142</v>
      </c>
      <c r="K298" s="22">
        <v>648</v>
      </c>
      <c r="L298" s="25" t="s">
        <v>172</v>
      </c>
      <c r="N298" s="9"/>
      <c r="O298" s="8"/>
      <c r="Q298" s="20"/>
      <c r="R298" s="13"/>
    </row>
    <row r="299" spans="2:18">
      <c r="B299" s="35"/>
      <c r="C299" s="28"/>
      <c r="E299" s="31">
        <v>684</v>
      </c>
      <c r="F299" s="31" t="s">
        <v>171</v>
      </c>
      <c r="H299" s="31">
        <v>684</v>
      </c>
      <c r="I299" s="31" t="s">
        <v>171</v>
      </c>
      <c r="K299" s="22">
        <v>646</v>
      </c>
      <c r="L299" s="25" t="s">
        <v>170</v>
      </c>
      <c r="N299" s="9"/>
      <c r="O299" s="8"/>
      <c r="Q299" s="20"/>
      <c r="R299" s="13"/>
    </row>
    <row r="300" spans="2:18">
      <c r="B300" s="35"/>
      <c r="C300" s="28"/>
      <c r="E300" s="20" t="s">
        <v>169</v>
      </c>
      <c r="F300" s="13" t="s">
        <v>113</v>
      </c>
      <c r="H300" s="20" t="s">
        <v>169</v>
      </c>
      <c r="I300" s="13" t="s">
        <v>113</v>
      </c>
      <c r="K300" s="31">
        <v>661</v>
      </c>
      <c r="L300" s="31" t="s">
        <v>168</v>
      </c>
      <c r="N300" s="9"/>
      <c r="O300" s="8"/>
      <c r="Q300" s="20"/>
      <c r="R300" s="13"/>
    </row>
    <row r="301" spans="2:18">
      <c r="B301" s="35"/>
      <c r="C301" s="28"/>
      <c r="E301" s="20"/>
      <c r="F301" s="13"/>
      <c r="H301" s="20"/>
      <c r="I301" s="13"/>
      <c r="K301" s="31">
        <v>657</v>
      </c>
      <c r="L301" s="31" t="s">
        <v>167</v>
      </c>
      <c r="N301" s="9"/>
      <c r="O301" s="8"/>
      <c r="Q301" s="20"/>
      <c r="R301" s="13"/>
    </row>
    <row r="302" spans="2:18">
      <c r="B302" s="35"/>
      <c r="C302" s="28"/>
      <c r="E302" s="20"/>
      <c r="F302" s="13"/>
      <c r="H302" s="20"/>
      <c r="I302" s="13"/>
      <c r="K302" s="31">
        <v>658</v>
      </c>
      <c r="L302" s="31" t="s">
        <v>166</v>
      </c>
      <c r="N302" s="9"/>
      <c r="O302" s="8"/>
      <c r="Q302" s="20"/>
      <c r="R302" s="13"/>
    </row>
    <row r="303" spans="2:18">
      <c r="B303" s="35"/>
      <c r="C303" s="28"/>
      <c r="E303" s="20"/>
      <c r="F303" s="13"/>
      <c r="H303" s="20"/>
      <c r="I303" s="13"/>
      <c r="K303" s="31">
        <v>674</v>
      </c>
      <c r="L303" s="31" t="s">
        <v>165</v>
      </c>
      <c r="N303" s="9"/>
      <c r="O303" s="8"/>
      <c r="Q303" s="20"/>
      <c r="R303" s="13"/>
    </row>
    <row r="304" spans="2:18">
      <c r="B304" s="35"/>
      <c r="C304" s="28"/>
      <c r="E304" s="20"/>
      <c r="F304" s="13"/>
      <c r="H304" s="20"/>
      <c r="I304" s="13"/>
      <c r="K304" s="31">
        <v>672</v>
      </c>
      <c r="L304" s="31" t="s">
        <v>164</v>
      </c>
      <c r="N304" s="9"/>
      <c r="O304" s="8"/>
      <c r="Q304" s="20"/>
      <c r="R304" s="13"/>
    </row>
    <row r="305" spans="2:18">
      <c r="B305" s="35"/>
      <c r="C305" s="28"/>
      <c r="E305" s="20"/>
      <c r="F305" s="13"/>
      <c r="H305" s="20"/>
      <c r="I305" s="13"/>
      <c r="K305" s="31">
        <v>673</v>
      </c>
      <c r="L305" s="31" t="s">
        <v>163</v>
      </c>
      <c r="N305" s="9"/>
      <c r="O305" s="8"/>
      <c r="Q305" s="20"/>
      <c r="R305" s="13"/>
    </row>
    <row r="306" spans="2:18">
      <c r="B306" s="35"/>
      <c r="C306" s="28"/>
      <c r="E306" s="20"/>
      <c r="F306" s="13"/>
      <c r="H306" s="20"/>
      <c r="I306" s="13"/>
      <c r="K306" s="31">
        <v>670</v>
      </c>
      <c r="L306" s="31" t="s">
        <v>162</v>
      </c>
      <c r="N306" s="9"/>
      <c r="O306" s="8"/>
      <c r="Q306" s="20"/>
      <c r="R306" s="13"/>
    </row>
    <row r="307" spans="2:18">
      <c r="B307" s="35"/>
      <c r="C307" s="28"/>
      <c r="E307" s="20"/>
      <c r="F307" s="13"/>
      <c r="H307" s="20"/>
      <c r="I307" s="13"/>
      <c r="K307" s="31"/>
      <c r="L307" s="31" t="s">
        <v>161</v>
      </c>
      <c r="N307" s="9"/>
      <c r="O307" s="8"/>
      <c r="Q307" s="20"/>
      <c r="R307" s="13"/>
    </row>
    <row r="308" spans="2:18">
      <c r="B308" s="35"/>
      <c r="C308" s="28"/>
      <c r="E308" s="20"/>
      <c r="F308" s="13"/>
      <c r="H308" s="20"/>
      <c r="I308" s="13"/>
      <c r="K308" s="31">
        <v>669</v>
      </c>
      <c r="L308" s="31" t="s">
        <v>151</v>
      </c>
      <c r="N308" s="9"/>
      <c r="O308" s="8"/>
      <c r="Q308" s="20"/>
      <c r="R308" s="13"/>
    </row>
    <row r="309" spans="2:18">
      <c r="B309" s="25" t="s">
        <v>160</v>
      </c>
      <c r="C309" s="34" t="s">
        <v>159</v>
      </c>
      <c r="E309" s="20"/>
      <c r="F309" s="13"/>
      <c r="H309" s="20"/>
      <c r="I309" s="13"/>
      <c r="K309" s="31">
        <v>671</v>
      </c>
      <c r="L309" s="31" t="s">
        <v>158</v>
      </c>
      <c r="N309" s="9"/>
      <c r="O309" s="8"/>
      <c r="Q309" s="20"/>
      <c r="R309" s="13"/>
    </row>
    <row r="310" spans="2:18">
      <c r="B310" s="22">
        <v>641</v>
      </c>
      <c r="C310" s="23" t="s">
        <v>157</v>
      </c>
      <c r="E310" s="20"/>
      <c r="F310" s="13"/>
      <c r="H310" s="20"/>
      <c r="I310" s="13"/>
      <c r="K310" s="31">
        <v>668</v>
      </c>
      <c r="L310" s="31" t="s">
        <v>156</v>
      </c>
      <c r="N310" s="9"/>
      <c r="O310" s="8"/>
      <c r="Q310" s="20"/>
      <c r="R310" s="13"/>
    </row>
    <row r="311" spans="2:18">
      <c r="B311" s="22">
        <v>643</v>
      </c>
      <c r="C311" s="23" t="s">
        <v>155</v>
      </c>
      <c r="E311" s="20"/>
      <c r="F311" s="13"/>
      <c r="H311" s="20"/>
      <c r="I311" s="13"/>
      <c r="K311" s="31">
        <v>666</v>
      </c>
      <c r="L311" s="31" t="s">
        <v>145</v>
      </c>
      <c r="N311" s="9"/>
      <c r="O311" s="8"/>
      <c r="Q311" s="20"/>
      <c r="R311" s="13"/>
    </row>
    <row r="312" spans="2:18">
      <c r="B312" s="22">
        <v>644</v>
      </c>
      <c r="C312" s="23" t="s">
        <v>154</v>
      </c>
      <c r="E312" s="20"/>
      <c r="F312" s="13"/>
      <c r="H312" s="20"/>
      <c r="I312" s="13"/>
      <c r="K312" s="31">
        <v>675</v>
      </c>
      <c r="L312" s="31" t="s">
        <v>137</v>
      </c>
      <c r="N312" s="9"/>
      <c r="O312" s="8"/>
      <c r="Q312" s="20"/>
      <c r="R312" s="13"/>
    </row>
    <row r="313" spans="2:18">
      <c r="B313" s="22">
        <v>646</v>
      </c>
      <c r="C313" s="23" t="s">
        <v>153</v>
      </c>
      <c r="E313" s="20"/>
      <c r="F313" s="13"/>
      <c r="H313" s="20"/>
      <c r="I313" s="13"/>
      <c r="K313" s="31">
        <v>676</v>
      </c>
      <c r="L313" s="31" t="s">
        <v>133</v>
      </c>
      <c r="N313" s="9"/>
      <c r="O313" s="8"/>
      <c r="Q313" s="20"/>
      <c r="R313" s="13"/>
    </row>
    <row r="314" spans="2:18">
      <c r="B314" s="25" t="s">
        <v>152</v>
      </c>
      <c r="C314" s="30" t="s">
        <v>151</v>
      </c>
      <c r="E314" s="20"/>
      <c r="F314" s="13"/>
      <c r="H314" s="20"/>
      <c r="I314" s="13"/>
      <c r="K314" s="31">
        <v>686</v>
      </c>
      <c r="L314" s="31" t="s">
        <v>150</v>
      </c>
      <c r="N314" s="9"/>
      <c r="O314" s="8"/>
      <c r="Q314" s="20"/>
      <c r="R314" s="13"/>
    </row>
    <row r="315" spans="2:18">
      <c r="B315" s="25" t="s">
        <v>149</v>
      </c>
      <c r="C315" s="30" t="s">
        <v>148</v>
      </c>
      <c r="E315" s="20"/>
      <c r="F315" s="13"/>
      <c r="H315" s="20"/>
      <c r="I315" s="13"/>
      <c r="K315" s="31">
        <v>685</v>
      </c>
      <c r="L315" s="31" t="s">
        <v>147</v>
      </c>
      <c r="N315" s="9"/>
      <c r="O315" s="8"/>
      <c r="Q315" s="20"/>
      <c r="R315" s="13"/>
    </row>
    <row r="316" spans="2:18">
      <c r="B316" s="25" t="s">
        <v>146</v>
      </c>
      <c r="C316" s="30" t="s">
        <v>145</v>
      </c>
      <c r="E316" s="20"/>
      <c r="F316" s="13"/>
      <c r="H316" s="20"/>
      <c r="I316" s="13"/>
      <c r="K316" s="31">
        <v>682</v>
      </c>
      <c r="L316" s="31" t="s">
        <v>140</v>
      </c>
      <c r="N316" s="9"/>
      <c r="O316" s="8"/>
      <c r="Q316" s="20"/>
      <c r="R316" s="13"/>
    </row>
    <row r="317" spans="2:18">
      <c r="B317" s="25" t="s">
        <v>144</v>
      </c>
      <c r="C317" s="30" t="s">
        <v>143</v>
      </c>
      <c r="E317" s="20"/>
      <c r="F317" s="13"/>
      <c r="H317" s="20"/>
      <c r="I317" s="13"/>
      <c r="K317" s="31">
        <v>681</v>
      </c>
      <c r="L317" s="31" t="s">
        <v>142</v>
      </c>
      <c r="N317" s="9"/>
      <c r="O317" s="8"/>
      <c r="Q317" s="20"/>
      <c r="R317" s="13"/>
    </row>
    <row r="318" spans="2:18">
      <c r="B318" s="25" t="s">
        <v>141</v>
      </c>
      <c r="C318" s="30" t="s">
        <v>140</v>
      </c>
      <c r="E318" s="20"/>
      <c r="F318" s="13"/>
      <c r="H318" s="20"/>
      <c r="I318" s="13"/>
      <c r="K318" s="31">
        <v>679</v>
      </c>
      <c r="L318" s="31" t="s">
        <v>139</v>
      </c>
      <c r="N318" s="9"/>
      <c r="O318" s="8"/>
      <c r="Q318" s="20"/>
      <c r="R318" s="13"/>
    </row>
    <row r="319" spans="2:18">
      <c r="B319" s="25" t="s">
        <v>138</v>
      </c>
      <c r="C319" s="30" t="s">
        <v>137</v>
      </c>
      <c r="E319" s="20"/>
      <c r="F319" s="13"/>
      <c r="H319" s="20"/>
      <c r="I319" s="13"/>
      <c r="K319" s="31" t="s">
        <v>136</v>
      </c>
      <c r="L319" s="31" t="s">
        <v>135</v>
      </c>
      <c r="N319" s="9"/>
      <c r="O319" s="8"/>
      <c r="Q319" s="33"/>
      <c r="R319" s="32"/>
    </row>
    <row r="320" spans="2:18">
      <c r="B320" s="25" t="s">
        <v>134</v>
      </c>
      <c r="C320" s="30" t="s">
        <v>133</v>
      </c>
      <c r="E320" s="20"/>
      <c r="F320" s="13"/>
      <c r="H320" s="20"/>
      <c r="I320" s="13"/>
      <c r="K320" s="31" t="s">
        <v>132</v>
      </c>
      <c r="L320" s="31" t="s">
        <v>132</v>
      </c>
      <c r="N320" s="9"/>
      <c r="O320" s="8"/>
    </row>
    <row r="321" spans="2:15">
      <c r="B321" s="25" t="s">
        <v>131</v>
      </c>
      <c r="C321" s="30" t="s">
        <v>130</v>
      </c>
      <c r="E321" s="20"/>
      <c r="F321" s="13"/>
      <c r="H321" s="20"/>
      <c r="I321" s="13"/>
      <c r="K321" s="20"/>
      <c r="L321" s="13"/>
      <c r="N321" s="9"/>
      <c r="O321" s="8"/>
    </row>
    <row r="322" spans="2:15">
      <c r="B322" s="25" t="s">
        <v>129</v>
      </c>
      <c r="C322" s="30" t="s">
        <v>128</v>
      </c>
      <c r="E322" s="20"/>
      <c r="F322" s="13"/>
      <c r="H322" s="20"/>
      <c r="I322" s="13"/>
      <c r="K322" s="20"/>
      <c r="L322" s="13"/>
      <c r="N322" s="9"/>
      <c r="O322" s="8"/>
    </row>
    <row r="323" spans="2:15">
      <c r="B323" s="25"/>
      <c r="C323" s="29"/>
      <c r="E323" s="20"/>
      <c r="F323" s="13"/>
      <c r="H323" s="20"/>
      <c r="I323" s="13"/>
      <c r="K323" s="20"/>
      <c r="L323" s="13"/>
      <c r="N323" s="9"/>
      <c r="O323" s="8"/>
    </row>
    <row r="324" spans="2:15">
      <c r="B324" s="25"/>
      <c r="C324" s="29"/>
      <c r="E324" s="20"/>
      <c r="F324" s="13"/>
      <c r="H324" s="20"/>
      <c r="I324" s="13"/>
      <c r="K324" s="20"/>
      <c r="L324" s="13"/>
      <c r="N324" s="9"/>
      <c r="O324" s="8"/>
    </row>
    <row r="325" spans="2:15">
      <c r="B325" s="18"/>
      <c r="C325" s="28"/>
      <c r="E325" s="20"/>
      <c r="F325" s="13"/>
      <c r="H325" s="20"/>
      <c r="I325" s="13"/>
      <c r="K325" s="20"/>
      <c r="L325" s="13"/>
      <c r="N325" s="9"/>
      <c r="O325" s="8"/>
    </row>
    <row r="326" spans="2:15">
      <c r="B326" s="19" t="s">
        <v>127</v>
      </c>
      <c r="C326" s="19" t="s">
        <v>127</v>
      </c>
      <c r="E326" s="20"/>
      <c r="F326" s="13"/>
      <c r="H326" s="20"/>
      <c r="I326" s="13"/>
      <c r="K326" s="20"/>
      <c r="L326" s="13"/>
      <c r="N326" s="9"/>
      <c r="O326" s="8"/>
    </row>
    <row r="327" spans="2:15" ht="17.5">
      <c r="B327" s="27">
        <v>640</v>
      </c>
      <c r="C327" s="27" t="s">
        <v>126</v>
      </c>
      <c r="E327" s="20"/>
      <c r="F327" s="13"/>
      <c r="H327" s="20"/>
      <c r="I327" s="13"/>
      <c r="K327" s="20"/>
      <c r="L327" s="13"/>
      <c r="N327" s="9"/>
      <c r="O327" s="8"/>
    </row>
    <row r="328" spans="2:15">
      <c r="B328" s="25">
        <v>357</v>
      </c>
      <c r="C328" s="26" t="s">
        <v>125</v>
      </c>
      <c r="E328" s="20"/>
      <c r="F328" s="13"/>
      <c r="H328" s="20"/>
      <c r="I328" s="13"/>
      <c r="K328" s="20"/>
      <c r="L328" s="13"/>
      <c r="N328" s="9"/>
      <c r="O328" s="8"/>
    </row>
    <row r="329" spans="2:15">
      <c r="B329" s="25">
        <v>525</v>
      </c>
      <c r="C329" s="26" t="s">
        <v>124</v>
      </c>
      <c r="E329" s="20"/>
      <c r="F329" s="13"/>
      <c r="H329" s="20"/>
      <c r="I329" s="13"/>
      <c r="K329" s="20"/>
      <c r="L329" s="13"/>
      <c r="N329" s="9"/>
      <c r="O329" s="8"/>
    </row>
    <row r="330" spans="2:15">
      <c r="B330" s="22">
        <v>632</v>
      </c>
      <c r="C330" s="25" t="s">
        <v>123</v>
      </c>
      <c r="E330" s="20"/>
      <c r="F330" s="13"/>
      <c r="H330" s="20"/>
      <c r="I330" s="13"/>
      <c r="K330" s="20"/>
      <c r="L330" s="13"/>
      <c r="N330" s="9"/>
      <c r="O330" s="8"/>
    </row>
    <row r="331" spans="2:15">
      <c r="B331" s="22" t="s">
        <v>122</v>
      </c>
      <c r="C331" s="25" t="s">
        <v>121</v>
      </c>
      <c r="E331" s="20"/>
      <c r="F331" s="13"/>
      <c r="H331" s="20"/>
      <c r="I331" s="13"/>
      <c r="K331" s="20"/>
      <c r="L331" s="13"/>
      <c r="N331" s="9"/>
      <c r="O331" s="8"/>
    </row>
    <row r="332" spans="2:15">
      <c r="B332" s="22" t="s">
        <v>120</v>
      </c>
      <c r="C332" s="25" t="s">
        <v>119</v>
      </c>
      <c r="E332" s="20"/>
      <c r="F332" s="13"/>
      <c r="H332" s="20"/>
      <c r="I332" s="13"/>
      <c r="K332" s="20"/>
      <c r="L332" s="13"/>
      <c r="N332" s="9"/>
      <c r="O332" s="8"/>
    </row>
    <row r="333" spans="2:15">
      <c r="B333" s="22" t="s">
        <v>118</v>
      </c>
      <c r="C333" s="25" t="s">
        <v>117</v>
      </c>
      <c r="E333" s="20"/>
      <c r="F333" s="13"/>
      <c r="H333" s="20"/>
      <c r="I333" s="13"/>
      <c r="K333" s="20"/>
      <c r="L333" s="13"/>
      <c r="N333" s="9"/>
      <c r="O333" s="8"/>
    </row>
    <row r="334" spans="2:15">
      <c r="B334" s="22" t="s">
        <v>116</v>
      </c>
      <c r="C334" s="25" t="s">
        <v>115</v>
      </c>
      <c r="E334" s="20"/>
      <c r="F334" s="13"/>
      <c r="H334" s="20"/>
      <c r="I334" s="13"/>
      <c r="K334" s="20"/>
      <c r="L334" s="13"/>
      <c r="N334" s="9"/>
      <c r="O334" s="8"/>
    </row>
    <row r="335" spans="2:15">
      <c r="B335" s="22" t="s">
        <v>114</v>
      </c>
      <c r="C335" s="25" t="s">
        <v>113</v>
      </c>
      <c r="E335" s="20"/>
      <c r="F335" s="13"/>
      <c r="H335" s="20"/>
      <c r="I335" s="13"/>
      <c r="K335" s="20"/>
      <c r="L335" s="13"/>
      <c r="N335" s="9"/>
      <c r="O335" s="8"/>
    </row>
    <row r="336" spans="2:15">
      <c r="B336" s="25"/>
      <c r="C336" s="25"/>
      <c r="E336" s="20"/>
      <c r="F336" s="13"/>
      <c r="H336" s="20"/>
      <c r="I336" s="13"/>
      <c r="K336" s="20"/>
      <c r="L336" s="13"/>
      <c r="N336" s="9"/>
      <c r="O336" s="8"/>
    </row>
    <row r="337" spans="2:15">
      <c r="B337" s="25"/>
      <c r="C337" s="25"/>
      <c r="E337" s="13"/>
      <c r="F337" s="12"/>
      <c r="H337" s="13"/>
      <c r="I337" s="12"/>
      <c r="K337" s="20"/>
      <c r="L337" s="13"/>
      <c r="N337" s="9"/>
      <c r="O337" s="8"/>
    </row>
    <row r="338" spans="2:15">
      <c r="B338" s="25"/>
      <c r="C338" s="25"/>
      <c r="E338" s="13"/>
      <c r="F338" s="12"/>
      <c r="H338" s="13"/>
      <c r="I338" s="12"/>
      <c r="K338" s="20"/>
      <c r="L338" s="13"/>
      <c r="N338" s="9"/>
      <c r="O338" s="8"/>
    </row>
    <row r="339" spans="2:15">
      <c r="B339" s="25"/>
      <c r="C339" s="25"/>
      <c r="E339" s="13"/>
      <c r="F339" s="12"/>
      <c r="H339" s="13"/>
      <c r="I339" s="12"/>
      <c r="K339" s="20"/>
      <c r="L339" s="13"/>
      <c r="N339" s="9"/>
      <c r="O339" s="8"/>
    </row>
    <row r="340" spans="2:15">
      <c r="B340" s="25"/>
      <c r="C340" s="25"/>
      <c r="E340" s="13"/>
      <c r="F340" s="12"/>
      <c r="H340" s="13"/>
      <c r="I340" s="12"/>
      <c r="K340" s="20"/>
      <c r="L340" s="13"/>
      <c r="N340" s="9"/>
      <c r="O340" s="8"/>
    </row>
    <row r="341" spans="2:15">
      <c r="B341" s="25"/>
      <c r="C341" s="25"/>
      <c r="E341" s="13"/>
      <c r="F341" s="12"/>
      <c r="H341" s="13"/>
      <c r="I341" s="12"/>
      <c r="K341" s="20"/>
      <c r="L341" s="13"/>
      <c r="N341" s="9"/>
      <c r="O341" s="8"/>
    </row>
    <row r="342" spans="2:15">
      <c r="B342" s="25"/>
      <c r="C342" s="25"/>
      <c r="E342" s="13"/>
      <c r="F342" s="12"/>
      <c r="H342" s="13"/>
      <c r="I342" s="12"/>
      <c r="K342" s="20"/>
      <c r="L342" s="13"/>
      <c r="N342" s="9"/>
      <c r="O342" s="8"/>
    </row>
    <row r="343" spans="2:15">
      <c r="B343" s="25"/>
      <c r="C343" s="25"/>
      <c r="E343" s="13"/>
      <c r="F343" s="12"/>
      <c r="H343" s="13"/>
      <c r="I343" s="12"/>
      <c r="K343" s="20"/>
      <c r="L343" s="13"/>
      <c r="N343" s="9"/>
      <c r="O343" s="8"/>
    </row>
    <row r="344" spans="2:15">
      <c r="B344" s="25"/>
      <c r="C344" s="25"/>
      <c r="E344" s="13"/>
      <c r="F344" s="12"/>
      <c r="H344" s="13"/>
      <c r="I344" s="12"/>
      <c r="K344" s="20"/>
      <c r="L344" s="13"/>
      <c r="N344" s="9"/>
      <c r="O344" s="8"/>
    </row>
    <row r="345" spans="2:15">
      <c r="B345" s="24" t="s">
        <v>112</v>
      </c>
      <c r="C345" s="23" t="s">
        <v>111</v>
      </c>
      <c r="E345" s="13"/>
      <c r="F345" s="12"/>
      <c r="H345" s="13"/>
      <c r="I345" s="12"/>
      <c r="K345" s="20"/>
      <c r="L345" s="13"/>
      <c r="N345" s="9"/>
      <c r="O345" s="8"/>
    </row>
    <row r="346" spans="2:15">
      <c r="B346" s="24" t="s">
        <v>110</v>
      </c>
      <c r="C346" s="23" t="s">
        <v>109</v>
      </c>
      <c r="E346" s="13"/>
      <c r="F346" s="12"/>
      <c r="H346" s="13"/>
      <c r="I346" s="12"/>
      <c r="K346" s="20"/>
      <c r="L346" s="13"/>
      <c r="N346" s="9"/>
      <c r="O346" s="8"/>
    </row>
    <row r="347" spans="2:15">
      <c r="B347" s="24" t="s">
        <v>108</v>
      </c>
      <c r="C347" s="23" t="s">
        <v>107</v>
      </c>
      <c r="E347" s="13"/>
      <c r="F347" s="12"/>
      <c r="H347" s="13"/>
      <c r="I347" s="12"/>
      <c r="K347" s="13"/>
      <c r="L347" s="12"/>
      <c r="N347" s="9"/>
      <c r="O347" s="8"/>
    </row>
    <row r="348" spans="2:15">
      <c r="B348" s="24" t="s">
        <v>106</v>
      </c>
      <c r="C348" s="23" t="s">
        <v>105</v>
      </c>
      <c r="E348" s="13"/>
      <c r="F348" s="12"/>
      <c r="H348" s="13"/>
      <c r="I348" s="12"/>
      <c r="K348" s="13"/>
      <c r="L348" s="12"/>
      <c r="N348" s="9"/>
      <c r="O348" s="8"/>
    </row>
    <row r="349" spans="2:15">
      <c r="B349" s="24" t="s">
        <v>104</v>
      </c>
      <c r="C349" s="23" t="s">
        <v>103</v>
      </c>
      <c r="E349" s="20"/>
      <c r="F349" s="13"/>
      <c r="H349" s="20"/>
      <c r="I349" s="13"/>
      <c r="K349" s="13"/>
      <c r="L349" s="12"/>
      <c r="N349" s="9"/>
      <c r="O349" s="8"/>
    </row>
    <row r="350" spans="2:15">
      <c r="B350" s="24" t="s">
        <v>102</v>
      </c>
      <c r="C350" s="23" t="s">
        <v>101</v>
      </c>
      <c r="E350" s="20"/>
      <c r="F350" s="13"/>
      <c r="H350" s="20"/>
      <c r="I350" s="13"/>
      <c r="K350" s="13"/>
      <c r="L350" s="12"/>
      <c r="N350" s="9"/>
      <c r="O350" s="8"/>
    </row>
    <row r="351" spans="2:15">
      <c r="B351" s="24" t="s">
        <v>100</v>
      </c>
      <c r="C351" s="23" t="s">
        <v>99</v>
      </c>
      <c r="E351" s="20"/>
      <c r="F351" s="13"/>
      <c r="H351" s="20"/>
      <c r="I351" s="13"/>
      <c r="K351" s="13"/>
      <c r="L351" s="12"/>
      <c r="N351" s="9"/>
      <c r="O351" s="8"/>
    </row>
    <row r="352" spans="2:15" ht="20.5">
      <c r="B352" s="22">
        <v>656</v>
      </c>
      <c r="C352" s="21" t="s">
        <v>98</v>
      </c>
      <c r="E352" s="20"/>
      <c r="F352" s="13"/>
      <c r="H352" s="20"/>
      <c r="I352" s="13"/>
      <c r="K352" s="13"/>
      <c r="L352" s="12"/>
      <c r="N352" s="9"/>
      <c r="O352" s="8"/>
    </row>
    <row r="353" spans="2:15" ht="20.5">
      <c r="B353" s="22">
        <v>655</v>
      </c>
      <c r="C353" s="21" t="s">
        <v>97</v>
      </c>
      <c r="E353" s="16"/>
      <c r="F353" s="16"/>
      <c r="H353" s="16"/>
      <c r="I353" s="16"/>
      <c r="K353" s="13"/>
      <c r="L353" s="12"/>
      <c r="N353" s="9"/>
      <c r="O353" s="8"/>
    </row>
    <row r="354" spans="2:15">
      <c r="B354" s="11" t="s">
        <v>96</v>
      </c>
      <c r="C354" s="10" t="s">
        <v>95</v>
      </c>
      <c r="E354" s="20"/>
      <c r="F354" s="13"/>
      <c r="H354" s="20"/>
      <c r="I354" s="13"/>
      <c r="K354" s="13"/>
      <c r="L354" s="12"/>
      <c r="N354" s="9"/>
      <c r="O354" s="8"/>
    </row>
    <row r="355" spans="2:15">
      <c r="B355" s="11" t="s">
        <v>94</v>
      </c>
      <c r="C355" s="10" t="s">
        <v>93</v>
      </c>
      <c r="E355" s="20"/>
      <c r="F355" s="13"/>
      <c r="H355" s="20"/>
      <c r="I355" s="13"/>
      <c r="K355" s="13"/>
      <c r="L355" s="12"/>
      <c r="N355" s="9"/>
      <c r="O355" s="8"/>
    </row>
    <row r="356" spans="2:15">
      <c r="B356" s="11" t="s">
        <v>92</v>
      </c>
      <c r="C356" s="10" t="s">
        <v>91</v>
      </c>
      <c r="E356" s="16"/>
      <c r="F356" s="16"/>
      <c r="H356" s="16"/>
      <c r="I356" s="16"/>
      <c r="K356" s="13"/>
      <c r="L356" s="12"/>
      <c r="N356" s="9"/>
      <c r="O356" s="8"/>
    </row>
    <row r="357" spans="2:15">
      <c r="B357" s="11" t="s">
        <v>90</v>
      </c>
      <c r="C357" s="10" t="s">
        <v>89</v>
      </c>
      <c r="E357" s="16"/>
      <c r="F357" s="16"/>
      <c r="H357" s="16"/>
      <c r="I357" s="16"/>
      <c r="K357" s="13"/>
      <c r="L357" s="12"/>
      <c r="N357" s="9"/>
      <c r="O357" s="8"/>
    </row>
    <row r="358" spans="2:15">
      <c r="B358" s="11" t="s">
        <v>88</v>
      </c>
      <c r="C358" s="10" t="s">
        <v>87</v>
      </c>
      <c r="E358" s="16"/>
      <c r="F358" s="16"/>
      <c r="H358" s="16"/>
      <c r="I358" s="16"/>
      <c r="K358" s="13"/>
      <c r="L358" s="12"/>
      <c r="N358" s="9"/>
      <c r="O358" s="8"/>
    </row>
    <row r="359" spans="2:15">
      <c r="B359" s="11" t="s">
        <v>86</v>
      </c>
      <c r="C359" s="10" t="s">
        <v>85</v>
      </c>
      <c r="E359" s="16"/>
      <c r="F359" s="16"/>
      <c r="H359" s="16"/>
      <c r="I359" s="16"/>
      <c r="K359" s="20"/>
      <c r="L359" s="13"/>
      <c r="N359" s="9"/>
      <c r="O359" s="8"/>
    </row>
    <row r="360" spans="2:15">
      <c r="B360" s="11" t="s">
        <v>84</v>
      </c>
      <c r="C360" s="10" t="s">
        <v>83</v>
      </c>
      <c r="E360" s="16"/>
      <c r="F360" s="16"/>
      <c r="H360" s="16"/>
      <c r="I360" s="16"/>
      <c r="K360" s="20"/>
      <c r="L360" s="13"/>
      <c r="N360" s="9"/>
      <c r="O360" s="8"/>
    </row>
    <row r="361" spans="2:15">
      <c r="B361" s="11" t="s">
        <v>82</v>
      </c>
      <c r="C361" s="10" t="s">
        <v>81</v>
      </c>
      <c r="E361" s="16"/>
      <c r="F361" s="16"/>
      <c r="H361" s="16"/>
      <c r="I361" s="16"/>
      <c r="K361" s="20"/>
      <c r="L361" s="13"/>
      <c r="N361" s="9"/>
      <c r="O361" s="8"/>
    </row>
    <row r="362" spans="2:15">
      <c r="B362" s="11" t="s">
        <v>80</v>
      </c>
      <c r="C362" s="10" t="s">
        <v>79</v>
      </c>
      <c r="E362" s="16"/>
      <c r="F362" s="16"/>
      <c r="H362" s="16"/>
      <c r="I362" s="16"/>
      <c r="K362" s="20"/>
      <c r="L362" s="13"/>
      <c r="N362" s="9"/>
      <c r="O362" s="8"/>
    </row>
    <row r="363" spans="2:15">
      <c r="B363" s="18" t="s">
        <v>78</v>
      </c>
      <c r="C363" s="17" t="s">
        <v>77</v>
      </c>
      <c r="E363" s="16"/>
      <c r="F363" s="16"/>
      <c r="H363" s="16"/>
      <c r="I363" s="16"/>
      <c r="K363" s="16"/>
      <c r="L363" s="16"/>
      <c r="N363" s="9"/>
      <c r="O363" s="8"/>
    </row>
    <row r="364" spans="2:15">
      <c r="B364" s="11" t="s">
        <v>76</v>
      </c>
      <c r="C364" s="10" t="s">
        <v>75</v>
      </c>
      <c r="E364" s="16"/>
      <c r="F364" s="16"/>
      <c r="H364" s="16"/>
      <c r="I364" s="16"/>
      <c r="K364" s="20"/>
      <c r="L364" s="13"/>
      <c r="N364" s="9"/>
      <c r="O364" s="8"/>
    </row>
    <row r="365" spans="2:15">
      <c r="B365" s="11" t="s">
        <v>74</v>
      </c>
      <c r="C365" s="10" t="s">
        <v>73</v>
      </c>
      <c r="E365" s="16"/>
      <c r="F365" s="16"/>
      <c r="H365" s="16"/>
      <c r="I365" s="16"/>
      <c r="K365" s="20"/>
      <c r="L365" s="13"/>
      <c r="N365" s="9"/>
      <c r="O365" s="8"/>
    </row>
    <row r="366" spans="2:15">
      <c r="B366" s="11" t="s">
        <v>72</v>
      </c>
      <c r="C366" s="10" t="s">
        <v>71</v>
      </c>
      <c r="E366" s="16"/>
      <c r="F366" s="16"/>
      <c r="H366" s="16"/>
      <c r="I366" s="16"/>
      <c r="K366" s="16"/>
      <c r="L366" s="16"/>
      <c r="N366" s="9"/>
      <c r="O366" s="8"/>
    </row>
    <row r="367" spans="2:15">
      <c r="B367" s="11" t="s">
        <v>70</v>
      </c>
      <c r="C367" s="10" t="s">
        <v>69</v>
      </c>
      <c r="E367" s="16"/>
      <c r="F367" s="16"/>
      <c r="H367" s="16"/>
      <c r="I367" s="16"/>
      <c r="K367" s="16"/>
      <c r="L367" s="16"/>
      <c r="N367" s="9"/>
      <c r="O367" s="8"/>
    </row>
    <row r="368" spans="2:15">
      <c r="B368" s="11" t="s">
        <v>68</v>
      </c>
      <c r="C368" s="10" t="s">
        <v>67</v>
      </c>
      <c r="E368" s="16"/>
      <c r="F368" s="16"/>
      <c r="H368" s="16"/>
      <c r="I368" s="16"/>
      <c r="K368" s="16"/>
      <c r="L368" s="16"/>
      <c r="N368" s="9"/>
      <c r="O368" s="8"/>
    </row>
    <row r="369" spans="2:15">
      <c r="B369" s="11" t="s">
        <v>66</v>
      </c>
      <c r="C369" s="10" t="s">
        <v>65</v>
      </c>
      <c r="E369" s="16"/>
      <c r="F369" s="16"/>
      <c r="H369" s="16"/>
      <c r="I369" s="16"/>
      <c r="K369" s="16"/>
      <c r="L369" s="16"/>
      <c r="N369" s="9"/>
      <c r="O369" s="8"/>
    </row>
    <row r="370" spans="2:15">
      <c r="B370" s="11" t="s">
        <v>64</v>
      </c>
      <c r="C370" s="10" t="s">
        <v>63</v>
      </c>
      <c r="E370" s="16"/>
      <c r="F370" s="16"/>
      <c r="H370" s="16"/>
      <c r="I370" s="16"/>
      <c r="K370" s="16"/>
      <c r="L370" s="16"/>
      <c r="N370" s="9"/>
      <c r="O370" s="8"/>
    </row>
    <row r="371" spans="2:15">
      <c r="B371" s="11" t="s">
        <v>62</v>
      </c>
      <c r="C371" s="10" t="s">
        <v>61</v>
      </c>
      <c r="E371" s="16"/>
      <c r="F371" s="16"/>
      <c r="H371" s="16"/>
      <c r="I371" s="16"/>
      <c r="K371" s="16"/>
      <c r="L371" s="16"/>
      <c r="N371" s="9"/>
      <c r="O371" s="8"/>
    </row>
    <row r="372" spans="2:15">
      <c r="B372" s="14"/>
      <c r="C372" s="10"/>
      <c r="E372" s="16"/>
      <c r="F372" s="16"/>
      <c r="H372" s="16"/>
      <c r="I372" s="16"/>
      <c r="K372" s="16"/>
      <c r="L372" s="16"/>
      <c r="N372" s="9"/>
      <c r="O372" s="8"/>
    </row>
    <row r="373" spans="2:15">
      <c r="B373" s="14"/>
      <c r="C373" s="10"/>
      <c r="E373" s="16"/>
      <c r="F373" s="16"/>
      <c r="H373" s="16"/>
      <c r="I373" s="16"/>
      <c r="K373" s="16"/>
      <c r="L373" s="16"/>
      <c r="N373" s="9"/>
      <c r="O373" s="8"/>
    </row>
    <row r="374" spans="2:15">
      <c r="B374" s="14"/>
      <c r="C374" s="10"/>
      <c r="E374" s="13"/>
      <c r="F374" s="12"/>
      <c r="H374" s="13"/>
      <c r="I374" s="12"/>
      <c r="K374" s="16"/>
      <c r="L374" s="16"/>
      <c r="N374" s="9"/>
      <c r="O374" s="8"/>
    </row>
    <row r="375" spans="2:15">
      <c r="B375" s="14"/>
      <c r="C375" s="10"/>
      <c r="E375" s="16"/>
      <c r="F375" s="16"/>
      <c r="H375" s="16"/>
      <c r="I375" s="16"/>
      <c r="K375" s="16"/>
      <c r="L375" s="16"/>
      <c r="N375" s="9"/>
      <c r="O375" s="8"/>
    </row>
    <row r="376" spans="2:15">
      <c r="B376" s="19"/>
      <c r="C376" s="10"/>
      <c r="E376" s="16"/>
      <c r="F376" s="16"/>
      <c r="H376" s="16"/>
      <c r="I376" s="16"/>
      <c r="K376" s="16"/>
      <c r="L376" s="16"/>
      <c r="N376" s="9"/>
      <c r="O376" s="8"/>
    </row>
    <row r="377" spans="2:15">
      <c r="B377" s="18" t="s">
        <v>60</v>
      </c>
      <c r="C377" s="17"/>
      <c r="E377" s="16"/>
      <c r="F377" s="12"/>
      <c r="H377" s="16"/>
      <c r="I377" s="12"/>
      <c r="K377" s="16"/>
      <c r="L377" s="16"/>
      <c r="N377" s="9"/>
      <c r="O377" s="8"/>
    </row>
    <row r="378" spans="2:15">
      <c r="B378" s="11" t="s">
        <v>59</v>
      </c>
      <c r="C378" s="10" t="s">
        <v>58</v>
      </c>
      <c r="E378" s="13"/>
      <c r="F378" s="12"/>
      <c r="H378" s="13"/>
      <c r="I378" s="12"/>
      <c r="K378" s="16"/>
      <c r="L378" s="16"/>
      <c r="N378" s="9"/>
      <c r="O378" s="8"/>
    </row>
    <row r="379" spans="2:15">
      <c r="B379" s="11" t="s">
        <v>57</v>
      </c>
      <c r="C379" s="10" t="s">
        <v>56</v>
      </c>
      <c r="E379" s="13"/>
      <c r="F379" s="12"/>
      <c r="H379" s="13"/>
      <c r="I379" s="12"/>
      <c r="K379" s="16"/>
      <c r="L379" s="16"/>
      <c r="N379" s="9"/>
      <c r="O379" s="8"/>
    </row>
    <row r="380" spans="2:15">
      <c r="B380" s="11" t="s">
        <v>55</v>
      </c>
      <c r="C380" s="10" t="s">
        <v>54</v>
      </c>
      <c r="E380" s="13"/>
      <c r="F380" s="12"/>
      <c r="H380" s="13"/>
      <c r="I380" s="12"/>
      <c r="K380" s="16"/>
      <c r="L380" s="16"/>
      <c r="N380" s="9"/>
      <c r="O380" s="8"/>
    </row>
    <row r="381" spans="2:15">
      <c r="B381" s="11" t="s">
        <v>53</v>
      </c>
      <c r="C381" s="10" t="s">
        <v>52</v>
      </c>
      <c r="E381" s="13"/>
      <c r="F381" s="12"/>
      <c r="H381" s="13"/>
      <c r="I381" s="12"/>
      <c r="K381" s="16"/>
      <c r="L381" s="16"/>
      <c r="N381" s="9"/>
      <c r="O381" s="8"/>
    </row>
    <row r="382" spans="2:15">
      <c r="B382" s="11" t="s">
        <v>51</v>
      </c>
      <c r="C382" s="10" t="s">
        <v>50</v>
      </c>
      <c r="E382" s="13"/>
      <c r="F382" s="12"/>
      <c r="H382" s="13"/>
      <c r="I382" s="12"/>
      <c r="K382" s="16"/>
      <c r="L382" s="16"/>
      <c r="N382" s="9"/>
      <c r="O382" s="8"/>
    </row>
    <row r="383" spans="2:15">
      <c r="B383" s="11" t="s">
        <v>49</v>
      </c>
      <c r="C383" s="10" t="s">
        <v>48</v>
      </c>
      <c r="E383" s="13"/>
      <c r="F383" s="12"/>
      <c r="H383" s="13"/>
      <c r="I383" s="12"/>
      <c r="K383" s="16"/>
      <c r="L383" s="16"/>
      <c r="N383" s="9"/>
      <c r="O383" s="8"/>
    </row>
    <row r="384" spans="2:15">
      <c r="B384" s="11" t="s">
        <v>47</v>
      </c>
      <c r="C384" s="10" t="s">
        <v>46</v>
      </c>
      <c r="E384" s="13"/>
      <c r="F384" s="12"/>
      <c r="H384" s="13"/>
      <c r="I384" s="12"/>
      <c r="K384" s="13"/>
      <c r="L384" s="12"/>
      <c r="N384" s="9"/>
      <c r="O384" s="8"/>
    </row>
    <row r="385" spans="2:15">
      <c r="B385" s="11" t="s">
        <v>45</v>
      </c>
      <c r="C385" s="10" t="s">
        <v>44</v>
      </c>
      <c r="E385" s="13"/>
      <c r="F385" s="12"/>
      <c r="H385" s="13"/>
      <c r="I385" s="12"/>
      <c r="K385" s="16"/>
      <c r="L385" s="16"/>
      <c r="N385" s="9"/>
      <c r="O385" s="8"/>
    </row>
    <row r="386" spans="2:15">
      <c r="B386" s="11" t="s">
        <v>43</v>
      </c>
      <c r="C386" s="10" t="s">
        <v>42</v>
      </c>
      <c r="E386" s="13"/>
      <c r="F386" s="12"/>
      <c r="H386" s="13"/>
      <c r="I386" s="12"/>
      <c r="K386" s="16"/>
      <c r="L386" s="16"/>
      <c r="N386" s="9"/>
      <c r="O386" s="8"/>
    </row>
    <row r="387" spans="2:15">
      <c r="B387" s="11" t="s">
        <v>41</v>
      </c>
      <c r="C387" s="10" t="s">
        <v>40</v>
      </c>
      <c r="E387" s="13"/>
      <c r="F387" s="12"/>
      <c r="H387" s="13"/>
      <c r="I387" s="12"/>
      <c r="K387" s="16"/>
      <c r="L387" s="16"/>
      <c r="N387" s="9"/>
      <c r="O387" s="8"/>
    </row>
    <row r="388" spans="2:15">
      <c r="B388" s="11" t="s">
        <v>39</v>
      </c>
      <c r="C388" s="10" t="s">
        <v>38</v>
      </c>
      <c r="E388" s="13"/>
      <c r="F388" s="12"/>
      <c r="H388" s="13"/>
      <c r="I388" s="12"/>
      <c r="K388" s="16"/>
      <c r="L388" s="16"/>
      <c r="N388" s="9"/>
      <c r="O388" s="8"/>
    </row>
    <row r="389" spans="2:15">
      <c r="B389" s="11" t="s">
        <v>37</v>
      </c>
      <c r="C389" s="10" t="s">
        <v>36</v>
      </c>
      <c r="E389" s="13"/>
      <c r="F389" s="12"/>
      <c r="H389" s="13"/>
      <c r="I389" s="12"/>
      <c r="K389" s="16"/>
      <c r="L389" s="16"/>
      <c r="N389" s="9"/>
      <c r="O389" s="8"/>
    </row>
    <row r="390" spans="2:15">
      <c r="B390" s="11" t="s">
        <v>35</v>
      </c>
      <c r="C390" s="10" t="s">
        <v>34</v>
      </c>
      <c r="E390" s="13"/>
      <c r="F390" s="12"/>
      <c r="H390" s="13"/>
      <c r="I390" s="12"/>
      <c r="K390" s="16"/>
      <c r="L390" s="16"/>
      <c r="N390" s="9"/>
      <c r="O390" s="8"/>
    </row>
    <row r="391" spans="2:15">
      <c r="B391" s="11" t="s">
        <v>33</v>
      </c>
      <c r="C391" s="10" t="s">
        <v>32</v>
      </c>
      <c r="E391" s="13"/>
      <c r="F391" s="12"/>
      <c r="H391" s="13"/>
      <c r="I391" s="12"/>
      <c r="K391" s="16"/>
      <c r="L391" s="16"/>
      <c r="N391" s="9"/>
      <c r="O391" s="8"/>
    </row>
    <row r="392" spans="2:15">
      <c r="B392" s="11" t="s">
        <v>31</v>
      </c>
      <c r="C392" s="10" t="s">
        <v>30</v>
      </c>
      <c r="E392" s="13"/>
      <c r="F392" s="12"/>
      <c r="H392" s="13"/>
      <c r="I392" s="12"/>
      <c r="K392" s="16"/>
      <c r="L392" s="16"/>
      <c r="N392" s="9"/>
      <c r="O392" s="8"/>
    </row>
    <row r="393" spans="2:15">
      <c r="B393" s="11" t="s">
        <v>29</v>
      </c>
      <c r="C393" s="10" t="s">
        <v>28</v>
      </c>
      <c r="E393" s="13"/>
      <c r="F393" s="12"/>
      <c r="H393" s="13"/>
      <c r="I393" s="12"/>
      <c r="K393" s="16"/>
      <c r="L393" s="16"/>
      <c r="N393" s="9"/>
      <c r="O393" s="8"/>
    </row>
    <row r="394" spans="2:15">
      <c r="B394" s="11" t="s">
        <v>27</v>
      </c>
      <c r="C394" s="10" t="s">
        <v>26</v>
      </c>
      <c r="E394" s="13"/>
      <c r="F394" s="12"/>
      <c r="H394" s="13"/>
      <c r="I394" s="12"/>
      <c r="K394" s="16"/>
      <c r="L394" s="16"/>
      <c r="N394" s="9"/>
      <c r="O394" s="8"/>
    </row>
    <row r="395" spans="2:15">
      <c r="B395" s="11" t="s">
        <v>25</v>
      </c>
      <c r="C395" s="10" t="s">
        <v>24</v>
      </c>
      <c r="E395" s="13"/>
      <c r="F395" s="12"/>
      <c r="H395" s="13"/>
      <c r="I395" s="12"/>
      <c r="K395" s="16"/>
      <c r="L395" s="16"/>
      <c r="N395" s="9"/>
      <c r="O395" s="8"/>
    </row>
    <row r="396" spans="2:15">
      <c r="B396" s="11" t="s">
        <v>23</v>
      </c>
      <c r="C396" s="10" t="s">
        <v>22</v>
      </c>
      <c r="E396" s="13"/>
      <c r="F396" s="12"/>
      <c r="H396" s="13"/>
      <c r="I396" s="12"/>
      <c r="K396" s="16"/>
      <c r="L396" s="16"/>
      <c r="N396" s="9"/>
      <c r="O396" s="8"/>
    </row>
    <row r="397" spans="2:15">
      <c r="B397" s="11" t="s">
        <v>21</v>
      </c>
      <c r="C397" s="10" t="s">
        <v>20</v>
      </c>
      <c r="E397" s="13"/>
      <c r="F397" s="12"/>
      <c r="H397" s="13"/>
      <c r="I397" s="12"/>
      <c r="K397" s="16"/>
      <c r="L397" s="16"/>
      <c r="N397" s="9"/>
      <c r="O397" s="8"/>
    </row>
    <row r="398" spans="2:15">
      <c r="B398" s="11" t="s">
        <v>19</v>
      </c>
      <c r="C398" s="10" t="s">
        <v>18</v>
      </c>
      <c r="E398" s="13"/>
      <c r="F398" s="12"/>
      <c r="H398" s="13"/>
      <c r="I398" s="12"/>
      <c r="K398" s="13"/>
      <c r="L398" s="15"/>
      <c r="N398" s="9"/>
      <c r="O398" s="8"/>
    </row>
    <row r="399" spans="2:15">
      <c r="B399" s="11" t="s">
        <v>17</v>
      </c>
      <c r="C399" s="10" t="s">
        <v>16</v>
      </c>
      <c r="K399" s="13"/>
      <c r="L399" s="15"/>
      <c r="N399" s="9"/>
      <c r="O399" s="8"/>
    </row>
    <row r="400" spans="2:15">
      <c r="B400" s="11" t="s">
        <v>15</v>
      </c>
      <c r="C400" s="10" t="s">
        <v>14</v>
      </c>
      <c r="K400" s="13"/>
      <c r="L400" s="15"/>
      <c r="N400" s="9"/>
      <c r="O400" s="8"/>
    </row>
    <row r="401" spans="2:15">
      <c r="B401" s="11" t="s">
        <v>13</v>
      </c>
      <c r="C401" s="10" t="s">
        <v>12</v>
      </c>
      <c r="K401" s="13"/>
      <c r="L401" s="12"/>
      <c r="N401" s="9"/>
      <c r="O401" s="8"/>
    </row>
    <row r="402" spans="2:15">
      <c r="B402" s="11" t="s">
        <v>11</v>
      </c>
      <c r="C402" s="10" t="s">
        <v>10</v>
      </c>
      <c r="K402" s="13"/>
      <c r="L402" s="12"/>
      <c r="N402" s="9"/>
      <c r="O402" s="8"/>
    </row>
    <row r="403" spans="2:15">
      <c r="B403" s="11" t="s">
        <v>6</v>
      </c>
      <c r="C403" s="10" t="s">
        <v>9</v>
      </c>
      <c r="K403" s="13"/>
      <c r="L403" s="12"/>
      <c r="N403" s="9"/>
      <c r="O403" s="8"/>
    </row>
    <row r="404" spans="2:15">
      <c r="B404" s="11" t="s">
        <v>8</v>
      </c>
      <c r="C404" s="10" t="s">
        <v>7</v>
      </c>
      <c r="K404" s="13"/>
      <c r="L404" s="12"/>
      <c r="N404" s="9"/>
      <c r="O404" s="8"/>
    </row>
    <row r="405" spans="2:15">
      <c r="B405" s="11" t="s">
        <v>6</v>
      </c>
      <c r="C405" s="10" t="s">
        <v>5</v>
      </c>
      <c r="K405" s="13"/>
      <c r="L405" s="12"/>
      <c r="N405" s="9"/>
      <c r="O405" s="8"/>
    </row>
    <row r="406" spans="2:15">
      <c r="B406" s="14"/>
      <c r="C406" s="10"/>
      <c r="K406" s="13"/>
      <c r="L406" s="12"/>
      <c r="N406" s="9"/>
      <c r="O406" s="8"/>
    </row>
    <row r="407" spans="2:15">
      <c r="B407" s="14"/>
      <c r="C407" s="10"/>
      <c r="K407" s="13"/>
      <c r="L407" s="12"/>
      <c r="N407" s="9"/>
      <c r="O407" s="8"/>
    </row>
    <row r="408" spans="2:15">
      <c r="B408" s="14"/>
      <c r="C408" s="10"/>
      <c r="K408" s="13"/>
      <c r="L408" s="12"/>
      <c r="N408" s="9"/>
      <c r="O408" s="8"/>
    </row>
    <row r="409" spans="2:15">
      <c r="B409" s="14"/>
      <c r="C409" s="10"/>
      <c r="K409" s="13"/>
      <c r="L409" s="12"/>
      <c r="N409" s="9"/>
      <c r="O409" s="8"/>
    </row>
    <row r="410" spans="2:15">
      <c r="B410" s="11"/>
      <c r="C410" s="10"/>
      <c r="N410" s="9"/>
      <c r="O410" s="8"/>
    </row>
    <row r="411" spans="2:15">
      <c r="B411" s="11"/>
      <c r="C411" s="10"/>
      <c r="N411" s="9"/>
      <c r="O411" s="8"/>
    </row>
    <row r="412" spans="2:15">
      <c r="B412" s="11"/>
      <c r="C412" s="10"/>
      <c r="N412" s="9"/>
      <c r="O412" s="8"/>
    </row>
    <row r="413" spans="2:15">
      <c r="N413" s="9"/>
      <c r="O413" s="8"/>
    </row>
    <row r="414" spans="2:15">
      <c r="N414" s="9"/>
      <c r="O414" s="8"/>
    </row>
    <row r="415" spans="2:15">
      <c r="N415" s="9"/>
      <c r="O415" s="8"/>
    </row>
    <row r="416" spans="2:15">
      <c r="N416" s="9"/>
      <c r="O416" s="8"/>
    </row>
    <row r="417" spans="14:15">
      <c r="N417" s="9"/>
      <c r="O417" s="8"/>
    </row>
    <row r="418" spans="14:15">
      <c r="N418" s="9"/>
      <c r="O418" s="8"/>
    </row>
    <row r="419" spans="14:15">
      <c r="N419" s="9"/>
      <c r="O419" s="8"/>
    </row>
    <row r="420" spans="14:15">
      <c r="N420" s="9"/>
      <c r="O420" s="8"/>
    </row>
    <row r="421" spans="14:15">
      <c r="N421" s="9"/>
      <c r="O421" s="8"/>
    </row>
    <row r="422" spans="14:15">
      <c r="N422" s="9"/>
      <c r="O422" s="8"/>
    </row>
    <row r="423" spans="14:15">
      <c r="N423" s="9"/>
      <c r="O423" s="8"/>
    </row>
    <row r="424" spans="14:15">
      <c r="N424" s="9"/>
      <c r="O424" s="8"/>
    </row>
    <row r="425" spans="14:15">
      <c r="N425" s="9"/>
      <c r="O425" s="8"/>
    </row>
    <row r="426" spans="14:15">
      <c r="N426" s="9"/>
      <c r="O426" s="8"/>
    </row>
    <row r="427" spans="14:15">
      <c r="N427" s="9"/>
      <c r="O427" s="8"/>
    </row>
    <row r="428" spans="14:15">
      <c r="N428" s="9"/>
      <c r="O428" s="8"/>
    </row>
    <row r="429" spans="14:15">
      <c r="N429" s="9"/>
      <c r="O429" s="8"/>
    </row>
    <row r="430" spans="14:15">
      <c r="N430" s="9"/>
      <c r="O430" s="8"/>
    </row>
    <row r="431" spans="14:15">
      <c r="N431" s="9"/>
      <c r="O431" s="8"/>
    </row>
    <row r="432" spans="14:15">
      <c r="N432" s="9"/>
      <c r="O432" s="8"/>
    </row>
    <row r="433" spans="14:15">
      <c r="N433" s="9"/>
      <c r="O433" s="8"/>
    </row>
    <row r="434" spans="14:15">
      <c r="N434" s="9"/>
      <c r="O434" s="8"/>
    </row>
    <row r="435" spans="14:15">
      <c r="N435" s="9"/>
      <c r="O435" s="8"/>
    </row>
    <row r="436" spans="14:15">
      <c r="N436" s="9"/>
      <c r="O436" s="8"/>
    </row>
    <row r="437" spans="14:15">
      <c r="N437" s="9"/>
      <c r="O437" s="8"/>
    </row>
    <row r="438" spans="14:15">
      <c r="N438" s="9"/>
      <c r="O438" s="8"/>
    </row>
    <row r="439" spans="14:15">
      <c r="N439" s="9"/>
      <c r="O439" s="8"/>
    </row>
    <row r="440" spans="14:15">
      <c r="N440" s="9"/>
      <c r="O440" s="8"/>
    </row>
    <row r="441" spans="14:15">
      <c r="N441" s="9"/>
      <c r="O441" s="8"/>
    </row>
    <row r="442" spans="14:15">
      <c r="N442" s="9"/>
      <c r="O442" s="8"/>
    </row>
    <row r="443" spans="14:15">
      <c r="N443" s="9"/>
      <c r="O443" s="8"/>
    </row>
    <row r="444" spans="14:15">
      <c r="N444" s="9"/>
      <c r="O444" s="8"/>
    </row>
    <row r="445" spans="14:15">
      <c r="N445" s="9"/>
      <c r="O445" s="8"/>
    </row>
    <row r="446" spans="14:15">
      <c r="N446" s="9"/>
      <c r="O446" s="8"/>
    </row>
    <row r="447" spans="14:15">
      <c r="N447" s="9"/>
      <c r="O447" s="8"/>
    </row>
    <row r="448" spans="14:15">
      <c r="N448" s="9"/>
      <c r="O448" s="8"/>
    </row>
    <row r="449" spans="14:15">
      <c r="N449" s="9"/>
      <c r="O449" s="8"/>
    </row>
    <row r="450" spans="14:15">
      <c r="N450" s="9"/>
      <c r="O450" s="8"/>
    </row>
    <row r="451" spans="14:15">
      <c r="N451" s="9"/>
      <c r="O451" s="8"/>
    </row>
    <row r="452" spans="14:15">
      <c r="N452" s="9"/>
      <c r="O452" s="8"/>
    </row>
    <row r="453" spans="14:15">
      <c r="N453" s="9"/>
      <c r="O453" s="8"/>
    </row>
    <row r="454" spans="14:15">
      <c r="N454" s="9"/>
      <c r="O454" s="8"/>
    </row>
    <row r="455" spans="14:15">
      <c r="N455" s="9"/>
      <c r="O455" s="8"/>
    </row>
    <row r="456" spans="14:15">
      <c r="N456" s="9"/>
      <c r="O456" s="8"/>
    </row>
    <row r="457" spans="14:15">
      <c r="N457" s="9"/>
      <c r="O457" s="8"/>
    </row>
    <row r="458" spans="14:15">
      <c r="N458" s="9"/>
      <c r="O458" s="8"/>
    </row>
    <row r="459" spans="14:15">
      <c r="N459" s="9"/>
      <c r="O459" s="8"/>
    </row>
    <row r="460" spans="14:15">
      <c r="N460" s="9"/>
      <c r="O460" s="8"/>
    </row>
    <row r="461" spans="14:15">
      <c r="N461" s="9"/>
      <c r="O461" s="8"/>
    </row>
    <row r="462" spans="14:15">
      <c r="N462" s="9"/>
      <c r="O462" s="8"/>
    </row>
    <row r="463" spans="14:15">
      <c r="N463" s="9"/>
      <c r="O463" s="8"/>
    </row>
    <row r="464" spans="14:15">
      <c r="N464" s="9"/>
      <c r="O464" s="8"/>
    </row>
    <row r="465" spans="14:15">
      <c r="N465" s="9"/>
      <c r="O465" s="8"/>
    </row>
    <row r="466" spans="14:15">
      <c r="N466" s="9"/>
      <c r="O466" s="8"/>
    </row>
    <row r="467" spans="14:15">
      <c r="N467" s="9"/>
      <c r="O467" s="8"/>
    </row>
    <row r="468" spans="14:15">
      <c r="N468" s="9"/>
      <c r="O468" s="8"/>
    </row>
    <row r="469" spans="14:15">
      <c r="N469" s="9"/>
      <c r="O469" s="8"/>
    </row>
    <row r="470" spans="14:15">
      <c r="N470" s="9"/>
      <c r="O470" s="8"/>
    </row>
    <row r="471" spans="14:15">
      <c r="N471" s="9"/>
      <c r="O471" s="8"/>
    </row>
    <row r="472" spans="14:15">
      <c r="N472" s="9"/>
      <c r="O472" s="8"/>
    </row>
    <row r="473" spans="14:15">
      <c r="N473" s="9"/>
      <c r="O473" s="8"/>
    </row>
    <row r="474" spans="14:15">
      <c r="N474" s="9"/>
      <c r="O474" s="8"/>
    </row>
    <row r="475" spans="14:15">
      <c r="N475" s="9"/>
      <c r="O475" s="8"/>
    </row>
    <row r="476" spans="14:15">
      <c r="N476" s="9"/>
      <c r="O476" s="8"/>
    </row>
    <row r="477" spans="14:15">
      <c r="N477" s="9"/>
      <c r="O477" s="8"/>
    </row>
    <row r="478" spans="14:15">
      <c r="N478" s="9"/>
      <c r="O478" s="8"/>
    </row>
    <row r="479" spans="14:15">
      <c r="N479" s="9"/>
      <c r="O479" s="8"/>
    </row>
    <row r="480" spans="14:15">
      <c r="N480" s="9"/>
      <c r="O480" s="8"/>
    </row>
    <row r="481" spans="14:15">
      <c r="N481" s="9"/>
      <c r="O481" s="8"/>
    </row>
    <row r="482" spans="14:15">
      <c r="N482" s="9"/>
      <c r="O482" s="8"/>
    </row>
    <row r="483" spans="14:15">
      <c r="N483" s="9"/>
      <c r="O483" s="8"/>
    </row>
    <row r="484" spans="14:15">
      <c r="N484" s="9"/>
      <c r="O484" s="8"/>
    </row>
    <row r="485" spans="14:15">
      <c r="N485" s="9"/>
      <c r="O485" s="8"/>
    </row>
    <row r="486" spans="14:15">
      <c r="N486" s="9"/>
      <c r="O486" s="8"/>
    </row>
    <row r="487" spans="14:15">
      <c r="N487" s="9"/>
      <c r="O487" s="8"/>
    </row>
    <row r="488" spans="14:15">
      <c r="N488" s="9"/>
      <c r="O488" s="8"/>
    </row>
    <row r="489" spans="14:15">
      <c r="N489" s="9"/>
      <c r="O489" s="8"/>
    </row>
    <row r="490" spans="14:15">
      <c r="N490" s="9"/>
      <c r="O490" s="8"/>
    </row>
    <row r="491" spans="14:15">
      <c r="N491" s="9"/>
      <c r="O491" s="8"/>
    </row>
    <row r="492" spans="14:15">
      <c r="N492" s="9"/>
      <c r="O492" s="8"/>
    </row>
    <row r="493" spans="14:15">
      <c r="N493" s="9"/>
      <c r="O493" s="8"/>
    </row>
    <row r="494" spans="14:15">
      <c r="N494" s="9"/>
      <c r="O494" s="8"/>
    </row>
    <row r="495" spans="14:15">
      <c r="N495" s="9"/>
      <c r="O495" s="8"/>
    </row>
    <row r="496" spans="14:15">
      <c r="N496" s="9"/>
      <c r="O496" s="8"/>
    </row>
    <row r="497" spans="14:15">
      <c r="N497" s="9"/>
      <c r="O497" s="8"/>
    </row>
    <row r="498" spans="14:15">
      <c r="N498" s="9"/>
      <c r="O498" s="8"/>
    </row>
    <row r="499" spans="14:15">
      <c r="N499" s="9"/>
      <c r="O499" s="8"/>
    </row>
    <row r="500" spans="14:15">
      <c r="N500" s="9"/>
      <c r="O500" s="8"/>
    </row>
    <row r="501" spans="14:15">
      <c r="N501" s="9"/>
      <c r="O501" s="8"/>
    </row>
    <row r="502" spans="14:15">
      <c r="N502" s="9"/>
      <c r="O502" s="8"/>
    </row>
    <row r="503" spans="14:15">
      <c r="N503" s="9"/>
      <c r="O503" s="8"/>
    </row>
    <row r="504" spans="14:15">
      <c r="N504" s="9"/>
      <c r="O504" s="8"/>
    </row>
    <row r="505" spans="14:15">
      <c r="N505" s="9"/>
      <c r="O505" s="8"/>
    </row>
    <row r="506" spans="14:15">
      <c r="N506" s="9"/>
      <c r="O506" s="8"/>
    </row>
    <row r="507" spans="14:15">
      <c r="N507" s="9"/>
      <c r="O507" s="8"/>
    </row>
    <row r="508" spans="14:15">
      <c r="N508" s="9"/>
      <c r="O508" s="8"/>
    </row>
    <row r="509" spans="14:15">
      <c r="N509" s="9"/>
      <c r="O509" s="8"/>
    </row>
    <row r="510" spans="14:15">
      <c r="N510" s="9"/>
      <c r="O510" s="8"/>
    </row>
    <row r="511" spans="14:15">
      <c r="N511" s="9"/>
      <c r="O511" s="8"/>
    </row>
    <row r="512" spans="14:15">
      <c r="N512" s="9"/>
      <c r="O512" s="8"/>
    </row>
    <row r="513" spans="14:15">
      <c r="N513" s="9"/>
      <c r="O513" s="8"/>
    </row>
    <row r="514" spans="14:15">
      <c r="N514" s="9"/>
      <c r="O514" s="8"/>
    </row>
    <row r="515" spans="14:15">
      <c r="N515" s="9"/>
      <c r="O515" s="8"/>
    </row>
    <row r="516" spans="14:15">
      <c r="N516" s="9"/>
      <c r="O516" s="8"/>
    </row>
    <row r="517" spans="14:15">
      <c r="N517" s="9"/>
      <c r="O517" s="8"/>
    </row>
    <row r="518" spans="14:15">
      <c r="N518" s="9"/>
      <c r="O518" s="8"/>
    </row>
    <row r="519" spans="14:15">
      <c r="N519" s="9"/>
      <c r="O519" s="8"/>
    </row>
    <row r="520" spans="14:15">
      <c r="N520" s="9"/>
      <c r="O520" s="8"/>
    </row>
    <row r="521" spans="14:15">
      <c r="N521" s="9"/>
      <c r="O521" s="8"/>
    </row>
    <row r="522" spans="14:15">
      <c r="N522" s="9"/>
      <c r="O522" s="8"/>
    </row>
    <row r="523" spans="14:15">
      <c r="N523" s="9"/>
      <c r="O523" s="8"/>
    </row>
    <row r="524" spans="14:15">
      <c r="N524" s="9"/>
      <c r="O524" s="8"/>
    </row>
    <row r="525" spans="14:15">
      <c r="N525" s="9"/>
      <c r="O525" s="8"/>
    </row>
    <row r="526" spans="14:15">
      <c r="N526" s="9"/>
      <c r="O526" s="8"/>
    </row>
    <row r="527" spans="14:15">
      <c r="N527" s="9"/>
      <c r="O527" s="8"/>
    </row>
    <row r="528" spans="14:15">
      <c r="N528" s="9"/>
      <c r="O528" s="8"/>
    </row>
    <row r="529" spans="14:15">
      <c r="N529" s="9"/>
      <c r="O529" s="8"/>
    </row>
    <row r="530" spans="14:15">
      <c r="N530" s="9"/>
      <c r="O530" s="8"/>
    </row>
    <row r="531" spans="14:15">
      <c r="N531" s="9"/>
      <c r="O531" s="8"/>
    </row>
    <row r="532" spans="14:15">
      <c r="N532" s="9"/>
      <c r="O532" s="8"/>
    </row>
    <row r="533" spans="14:15">
      <c r="N533" s="9"/>
      <c r="O533" s="8"/>
    </row>
    <row r="534" spans="14:15">
      <c r="N534" s="9"/>
      <c r="O534" s="8"/>
    </row>
    <row r="535" spans="14:15">
      <c r="N535" s="9"/>
      <c r="O535" s="8"/>
    </row>
    <row r="536" spans="14:15">
      <c r="N536" s="9"/>
      <c r="O536" s="8"/>
    </row>
    <row r="537" spans="14:15">
      <c r="N537" s="9"/>
      <c r="O537" s="8"/>
    </row>
    <row r="538" spans="14:15">
      <c r="N538" s="9"/>
      <c r="O538" s="8"/>
    </row>
    <row r="539" spans="14:15">
      <c r="N539" s="9"/>
      <c r="O539" s="8"/>
    </row>
    <row r="540" spans="14:15">
      <c r="N540" s="9"/>
      <c r="O540" s="8"/>
    </row>
    <row r="541" spans="14:15">
      <c r="N541" s="9"/>
      <c r="O541" s="8"/>
    </row>
    <row r="542" spans="14:15">
      <c r="N542" s="9"/>
      <c r="O542" s="8"/>
    </row>
    <row r="543" spans="14:15">
      <c r="N543" s="9"/>
      <c r="O543" s="8"/>
    </row>
    <row r="544" spans="14:15">
      <c r="N544" s="9"/>
      <c r="O544" s="8"/>
    </row>
    <row r="545" spans="14:15">
      <c r="N545" s="9"/>
      <c r="O545" s="8"/>
    </row>
    <row r="546" spans="14:15">
      <c r="N546" s="9"/>
      <c r="O546" s="8"/>
    </row>
    <row r="547" spans="14:15">
      <c r="N547" s="9"/>
      <c r="O547" s="8"/>
    </row>
    <row r="548" spans="14:15">
      <c r="N548" s="9"/>
      <c r="O548" s="8"/>
    </row>
    <row r="549" spans="14:15">
      <c r="N549" s="9"/>
      <c r="O549" s="8"/>
    </row>
    <row r="550" spans="14:15">
      <c r="N550" s="9"/>
      <c r="O550" s="8"/>
    </row>
    <row r="551" spans="14:15">
      <c r="N551" s="9"/>
      <c r="O551" s="8"/>
    </row>
    <row r="552" spans="14:15">
      <c r="N552" s="9"/>
      <c r="O552" s="8"/>
    </row>
    <row r="553" spans="14:15">
      <c r="N553" s="9"/>
      <c r="O553" s="8"/>
    </row>
    <row r="554" spans="14:15">
      <c r="N554" s="9"/>
      <c r="O554" s="8"/>
    </row>
    <row r="555" spans="14:15">
      <c r="N555" s="9"/>
      <c r="O555" s="8"/>
    </row>
    <row r="556" spans="14:15">
      <c r="N556" s="9"/>
      <c r="O556" s="8"/>
    </row>
    <row r="557" spans="14:15">
      <c r="N557" s="9"/>
      <c r="O557" s="8"/>
    </row>
    <row r="558" spans="14:15">
      <c r="N558" s="9"/>
      <c r="O558" s="8"/>
    </row>
    <row r="559" spans="14:15">
      <c r="N559" s="9"/>
      <c r="O559" s="8"/>
    </row>
    <row r="560" spans="14:15">
      <c r="N560" s="9"/>
      <c r="O560" s="8"/>
    </row>
    <row r="561" spans="14:15">
      <c r="N561" s="9"/>
      <c r="O561" s="8"/>
    </row>
    <row r="562" spans="14:15">
      <c r="N562" s="9"/>
      <c r="O562" s="8"/>
    </row>
    <row r="563" spans="14:15">
      <c r="N563" s="9"/>
      <c r="O563" s="8"/>
    </row>
    <row r="564" spans="14:15">
      <c r="N564" s="9"/>
      <c r="O564" s="8"/>
    </row>
    <row r="565" spans="14:15">
      <c r="N565" s="9"/>
      <c r="O565" s="8"/>
    </row>
    <row r="566" spans="14:15">
      <c r="N566" s="9"/>
      <c r="O566" s="8"/>
    </row>
    <row r="567" spans="14:15">
      <c r="N567" s="9"/>
      <c r="O567" s="8"/>
    </row>
    <row r="568" spans="14:15">
      <c r="N568" s="9"/>
      <c r="O568" s="8"/>
    </row>
    <row r="569" spans="14:15">
      <c r="N569" s="9"/>
      <c r="O569" s="8"/>
    </row>
    <row r="570" spans="14:15">
      <c r="N570" s="9"/>
      <c r="O570" s="8"/>
    </row>
    <row r="571" spans="14:15">
      <c r="N571" s="9"/>
      <c r="O571" s="8"/>
    </row>
    <row r="572" spans="14:15">
      <c r="N572" s="9"/>
      <c r="O572" s="8"/>
    </row>
    <row r="573" spans="14:15">
      <c r="N573" s="9"/>
      <c r="O573" s="8"/>
    </row>
    <row r="574" spans="14:15">
      <c r="N574" s="9"/>
      <c r="O574" s="8"/>
    </row>
    <row r="575" spans="14:15">
      <c r="N575" s="9"/>
      <c r="O575" s="8"/>
    </row>
    <row r="576" spans="14:15">
      <c r="N576" s="9"/>
      <c r="O576" s="8"/>
    </row>
    <row r="577" spans="14:15">
      <c r="N577" s="9"/>
      <c r="O577" s="8"/>
    </row>
    <row r="578" spans="14:15">
      <c r="N578" s="9"/>
      <c r="O578" s="8"/>
    </row>
    <row r="579" spans="14:15">
      <c r="N579" s="9"/>
      <c r="O579" s="8"/>
    </row>
    <row r="580" spans="14:15">
      <c r="N580" s="9"/>
      <c r="O580" s="8"/>
    </row>
    <row r="581" spans="14:15">
      <c r="N581" s="9"/>
      <c r="O581" s="8"/>
    </row>
    <row r="582" spans="14:15">
      <c r="N582" s="9"/>
      <c r="O582" s="8"/>
    </row>
    <row r="583" spans="14:15">
      <c r="N583" s="9"/>
      <c r="O583" s="8"/>
    </row>
    <row r="584" spans="14:15">
      <c r="N584" s="9"/>
      <c r="O584" s="8"/>
    </row>
    <row r="585" spans="14:15">
      <c r="N585" s="9"/>
      <c r="O585" s="8"/>
    </row>
    <row r="586" spans="14:15">
      <c r="N586" s="9"/>
      <c r="O586" s="8"/>
    </row>
    <row r="587" spans="14:15">
      <c r="N587" s="9"/>
      <c r="O587" s="8"/>
    </row>
    <row r="588" spans="14:15">
      <c r="N588" s="9"/>
      <c r="O588" s="8"/>
    </row>
    <row r="589" spans="14:15">
      <c r="N589" s="9"/>
      <c r="O589" s="8"/>
    </row>
    <row r="590" spans="14:15">
      <c r="N590" s="9"/>
      <c r="O590" s="8"/>
    </row>
    <row r="591" spans="14:15">
      <c r="N591" s="9"/>
      <c r="O591" s="8"/>
    </row>
    <row r="592" spans="14:15">
      <c r="N592" s="9"/>
      <c r="O592" s="8"/>
    </row>
    <row r="593" spans="14:15">
      <c r="N593" s="9"/>
      <c r="O593" s="8"/>
    </row>
    <row r="594" spans="14:15">
      <c r="N594" s="9"/>
      <c r="O594" s="8"/>
    </row>
    <row r="595" spans="14:15">
      <c r="N595" s="9"/>
      <c r="O595" s="8"/>
    </row>
    <row r="596" spans="14:15">
      <c r="N596" s="9"/>
      <c r="O596" s="8"/>
    </row>
    <row r="597" spans="14:15">
      <c r="N597" s="9"/>
      <c r="O597" s="8"/>
    </row>
    <row r="598" spans="14:15">
      <c r="N598" s="9"/>
      <c r="O598" s="8"/>
    </row>
    <row r="599" spans="14:15">
      <c r="N599" s="9"/>
      <c r="O599" s="8"/>
    </row>
    <row r="600" spans="14:15">
      <c r="N600" s="9"/>
      <c r="O600" s="8"/>
    </row>
    <row r="601" spans="14:15">
      <c r="N601" s="9"/>
      <c r="O601" s="8"/>
    </row>
    <row r="602" spans="14:15">
      <c r="N602" s="9"/>
      <c r="O602" s="8"/>
    </row>
    <row r="603" spans="14:15">
      <c r="N603" s="9"/>
      <c r="O603" s="8"/>
    </row>
    <row r="604" spans="14:15">
      <c r="N604" s="9"/>
      <c r="O604" s="8"/>
    </row>
    <row r="605" spans="14:15">
      <c r="N605" s="9"/>
      <c r="O605" s="8"/>
    </row>
    <row r="606" spans="14:15">
      <c r="N606" s="9"/>
      <c r="O606" s="8"/>
    </row>
    <row r="607" spans="14:15">
      <c r="N607" s="9"/>
      <c r="O607" s="8"/>
    </row>
    <row r="608" spans="14:15">
      <c r="N608" s="9"/>
      <c r="O608" s="8"/>
    </row>
    <row r="609" spans="14:15">
      <c r="N609" s="9"/>
      <c r="O609" s="8"/>
    </row>
    <row r="610" spans="14:15">
      <c r="N610" s="9"/>
      <c r="O610" s="8"/>
    </row>
    <row r="611" spans="14:15">
      <c r="N611" s="9"/>
      <c r="O611" s="8"/>
    </row>
    <row r="612" spans="14:15">
      <c r="N612" s="9"/>
      <c r="O612" s="8"/>
    </row>
    <row r="613" spans="14:15">
      <c r="N613" s="9"/>
      <c r="O613" s="8"/>
    </row>
    <row r="614" spans="14:15">
      <c r="N614" s="9"/>
      <c r="O614" s="8"/>
    </row>
    <row r="615" spans="14:15">
      <c r="N615" s="9"/>
      <c r="O615" s="8"/>
    </row>
    <row r="616" spans="14:15">
      <c r="N616" s="9"/>
      <c r="O616" s="8"/>
    </row>
    <row r="617" spans="14:15">
      <c r="N617" s="9"/>
      <c r="O617" s="8"/>
    </row>
    <row r="618" spans="14:15">
      <c r="N618" s="9"/>
      <c r="O618" s="8"/>
    </row>
    <row r="619" spans="14:15">
      <c r="N619" s="9"/>
      <c r="O619" s="8"/>
    </row>
    <row r="620" spans="14:15">
      <c r="N620" s="9"/>
      <c r="O620" s="8"/>
    </row>
    <row r="621" spans="14:15">
      <c r="N621" s="9"/>
      <c r="O621" s="8"/>
    </row>
    <row r="622" spans="14:15">
      <c r="N622" s="9"/>
      <c r="O622" s="8"/>
    </row>
    <row r="623" spans="14:15">
      <c r="N623" s="9"/>
      <c r="O623" s="8"/>
    </row>
    <row r="624" spans="14:15">
      <c r="N624" s="9"/>
      <c r="O624" s="8"/>
    </row>
    <row r="625" spans="14:15">
      <c r="N625" s="9"/>
      <c r="O625" s="8"/>
    </row>
    <row r="626" spans="14:15">
      <c r="N626" s="9"/>
      <c r="O626" s="8"/>
    </row>
    <row r="627" spans="14:15">
      <c r="N627" s="9"/>
      <c r="O627" s="8"/>
    </row>
    <row r="628" spans="14:15">
      <c r="N628" s="9"/>
      <c r="O628" s="8"/>
    </row>
    <row r="629" spans="14:15">
      <c r="N629" s="9"/>
      <c r="O629" s="8"/>
    </row>
    <row r="630" spans="14:15">
      <c r="N630" s="9"/>
      <c r="O630" s="8"/>
    </row>
    <row r="631" spans="14:15">
      <c r="N631" s="9"/>
      <c r="O631" s="8"/>
    </row>
    <row r="632" spans="14:15">
      <c r="N632" s="9"/>
      <c r="O632" s="8"/>
    </row>
    <row r="633" spans="14:15">
      <c r="N633" s="9"/>
      <c r="O633" s="8"/>
    </row>
    <row r="634" spans="14:15">
      <c r="N634" s="9"/>
      <c r="O634" s="8"/>
    </row>
    <row r="635" spans="14:15">
      <c r="N635" s="9"/>
      <c r="O635" s="8"/>
    </row>
    <row r="636" spans="14:15">
      <c r="N636" s="9"/>
      <c r="O636" s="8"/>
    </row>
    <row r="637" spans="14:15">
      <c r="N637" s="9"/>
      <c r="O637" s="8"/>
    </row>
    <row r="638" spans="14:15">
      <c r="N638" s="9"/>
      <c r="O638" s="8"/>
    </row>
    <row r="639" spans="14:15">
      <c r="N639" s="9"/>
      <c r="O639" s="8"/>
    </row>
    <row r="640" spans="14:15">
      <c r="N640" s="9"/>
      <c r="O640" s="8"/>
    </row>
    <row r="641" spans="14:15">
      <c r="N641" s="9"/>
      <c r="O641" s="8"/>
    </row>
    <row r="642" spans="14:15">
      <c r="N642" s="9"/>
      <c r="O642" s="8"/>
    </row>
    <row r="643" spans="14:15">
      <c r="N643" s="9"/>
      <c r="O643" s="8"/>
    </row>
    <row r="644" spans="14:15">
      <c r="N644" s="9"/>
      <c r="O644" s="8"/>
    </row>
    <row r="645" spans="14:15">
      <c r="N645" s="9"/>
      <c r="O645" s="8"/>
    </row>
    <row r="646" spans="14:15">
      <c r="N646" s="9"/>
      <c r="O646" s="8"/>
    </row>
    <row r="647" spans="14:15">
      <c r="N647" s="9"/>
      <c r="O647" s="8"/>
    </row>
    <row r="648" spans="14:15">
      <c r="N648" s="9"/>
      <c r="O648" s="8"/>
    </row>
    <row r="649" spans="14:15">
      <c r="N649" s="9"/>
      <c r="O649" s="8"/>
    </row>
    <row r="650" spans="14:15">
      <c r="N650" s="9"/>
      <c r="O650" s="8"/>
    </row>
    <row r="651" spans="14:15">
      <c r="N651" s="9"/>
      <c r="O651" s="8"/>
    </row>
    <row r="652" spans="14:15">
      <c r="N652" s="9"/>
      <c r="O652" s="8"/>
    </row>
    <row r="653" spans="14:15">
      <c r="N653" s="9"/>
      <c r="O653" s="8"/>
    </row>
    <row r="654" spans="14:15">
      <c r="N654" s="9"/>
      <c r="O654" s="8"/>
    </row>
    <row r="655" spans="14:15">
      <c r="N655" s="9"/>
      <c r="O655" s="8"/>
    </row>
    <row r="656" spans="14:15">
      <c r="N656" s="9"/>
      <c r="O656" s="8"/>
    </row>
    <row r="657" spans="14:15">
      <c r="N657" s="9"/>
      <c r="O657" s="8"/>
    </row>
    <row r="658" spans="14:15">
      <c r="N658" s="9"/>
      <c r="O658" s="8"/>
    </row>
    <row r="659" spans="14:15">
      <c r="N659" s="9"/>
      <c r="O659" s="8"/>
    </row>
    <row r="660" spans="14:15">
      <c r="N660" s="9"/>
      <c r="O660" s="8"/>
    </row>
    <row r="661" spans="14:15">
      <c r="N661" s="9"/>
      <c r="O661" s="8"/>
    </row>
    <row r="662" spans="14:15">
      <c r="N662" s="9"/>
      <c r="O662" s="8"/>
    </row>
    <row r="663" spans="14:15">
      <c r="N663" s="9"/>
      <c r="O663" s="8"/>
    </row>
    <row r="664" spans="14:15">
      <c r="N664" s="9"/>
      <c r="O664" s="8"/>
    </row>
    <row r="665" spans="14:15">
      <c r="N665" s="9"/>
      <c r="O665" s="8"/>
    </row>
    <row r="666" spans="14:15">
      <c r="N666" s="9"/>
      <c r="O666" s="8"/>
    </row>
    <row r="667" spans="14:15">
      <c r="N667" s="9"/>
      <c r="O667" s="8"/>
    </row>
    <row r="668" spans="14:15">
      <c r="N668" s="9"/>
      <c r="O668" s="8"/>
    </row>
    <row r="669" spans="14:15">
      <c r="N669" s="9"/>
      <c r="O669" s="8"/>
    </row>
    <row r="670" spans="14:15">
      <c r="N670" s="9"/>
      <c r="O670" s="8"/>
    </row>
    <row r="671" spans="14:15">
      <c r="N671" s="9"/>
      <c r="O671" s="8"/>
    </row>
    <row r="672" spans="14:15">
      <c r="N672" s="9"/>
      <c r="O672" s="8"/>
    </row>
    <row r="673" spans="14:15">
      <c r="N673" s="9"/>
      <c r="O673" s="8"/>
    </row>
    <row r="674" spans="14:15">
      <c r="N674" s="9"/>
      <c r="O674" s="8"/>
    </row>
    <row r="675" spans="14:15">
      <c r="N675" s="9"/>
      <c r="O675" s="8"/>
    </row>
    <row r="676" spans="14:15">
      <c r="N676" s="9"/>
      <c r="O676" s="8"/>
    </row>
    <row r="677" spans="14:15">
      <c r="N677" s="9"/>
      <c r="O677" s="8"/>
    </row>
    <row r="678" spans="14:15">
      <c r="N678" s="9"/>
      <c r="O678" s="8"/>
    </row>
    <row r="679" spans="14:15">
      <c r="N679" s="9"/>
      <c r="O679" s="8"/>
    </row>
    <row r="680" spans="14:15">
      <c r="N680" s="9"/>
      <c r="O680" s="8"/>
    </row>
    <row r="681" spans="14:15">
      <c r="N681" s="9"/>
      <c r="O681" s="8"/>
    </row>
    <row r="682" spans="14:15">
      <c r="N682" s="9"/>
      <c r="O682" s="8"/>
    </row>
    <row r="683" spans="14:15">
      <c r="N683" s="9"/>
      <c r="O683" s="8"/>
    </row>
    <row r="684" spans="14:15">
      <c r="N684" s="9"/>
      <c r="O684" s="8"/>
    </row>
    <row r="685" spans="14:15">
      <c r="N685" s="9"/>
      <c r="O685" s="8"/>
    </row>
    <row r="686" spans="14:15">
      <c r="N686" s="9"/>
      <c r="O686" s="8"/>
    </row>
    <row r="687" spans="14:15">
      <c r="N687" s="9"/>
      <c r="O687" s="8"/>
    </row>
    <row r="688" spans="14:15">
      <c r="N688" s="9"/>
      <c r="O688" s="8"/>
    </row>
    <row r="689" spans="14:15">
      <c r="N689" s="9"/>
      <c r="O689" s="8"/>
    </row>
    <row r="690" spans="14:15">
      <c r="N690" s="9"/>
      <c r="O690" s="8"/>
    </row>
    <row r="691" spans="14:15">
      <c r="N691" s="9"/>
      <c r="O691" s="8"/>
    </row>
    <row r="692" spans="14:15">
      <c r="N692" s="9"/>
      <c r="O692" s="8"/>
    </row>
    <row r="693" spans="14:15">
      <c r="N693" s="9"/>
      <c r="O693" s="8"/>
    </row>
    <row r="694" spans="14:15">
      <c r="N694" s="9"/>
      <c r="O694" s="8"/>
    </row>
    <row r="695" spans="14:15">
      <c r="N695" s="9"/>
      <c r="O695" s="8"/>
    </row>
    <row r="696" spans="14:15">
      <c r="N696" s="9"/>
      <c r="O696" s="8"/>
    </row>
    <row r="697" spans="14:15">
      <c r="N697" s="9"/>
      <c r="O697" s="8"/>
    </row>
    <row r="698" spans="14:15">
      <c r="N698" s="9"/>
      <c r="O698" s="8"/>
    </row>
    <row r="699" spans="14:15">
      <c r="N699" s="9"/>
      <c r="O699" s="8"/>
    </row>
    <row r="700" spans="14:15">
      <c r="N700" s="9"/>
      <c r="O700" s="8"/>
    </row>
    <row r="701" spans="14:15">
      <c r="N701" s="9"/>
      <c r="O701" s="8"/>
    </row>
    <row r="702" spans="14:15">
      <c r="N702" s="9"/>
      <c r="O702" s="8"/>
    </row>
    <row r="703" spans="14:15">
      <c r="N703" s="9"/>
      <c r="O703" s="8"/>
    </row>
    <row r="704" spans="14:15">
      <c r="N704" s="9"/>
      <c r="O704" s="8"/>
    </row>
    <row r="705" spans="14:15">
      <c r="N705" s="9"/>
      <c r="O705" s="8"/>
    </row>
    <row r="706" spans="14:15">
      <c r="N706" s="9"/>
      <c r="O706" s="8"/>
    </row>
    <row r="707" spans="14:15">
      <c r="N707" s="9"/>
      <c r="O707" s="8"/>
    </row>
    <row r="708" spans="14:15">
      <c r="N708" s="9"/>
      <c r="O708" s="8"/>
    </row>
    <row r="709" spans="14:15">
      <c r="N709" s="9"/>
      <c r="O709" s="8"/>
    </row>
    <row r="710" spans="14:15">
      <c r="N710" s="9"/>
      <c r="O710" s="8"/>
    </row>
    <row r="711" spans="14:15">
      <c r="N711" s="9"/>
      <c r="O711" s="8"/>
    </row>
    <row r="712" spans="14:15">
      <c r="N712" s="9"/>
      <c r="O712" s="8"/>
    </row>
    <row r="713" spans="14:15">
      <c r="N713" s="9"/>
      <c r="O713" s="8"/>
    </row>
    <row r="714" spans="14:15">
      <c r="N714" s="9"/>
      <c r="O714" s="8"/>
    </row>
    <row r="715" spans="14:15">
      <c r="N715" s="9"/>
      <c r="O715" s="8"/>
    </row>
    <row r="716" spans="14:15">
      <c r="N716" s="9"/>
      <c r="O716" s="8"/>
    </row>
    <row r="717" spans="14:15">
      <c r="N717" s="9"/>
      <c r="O717" s="8"/>
    </row>
    <row r="718" spans="14:15">
      <c r="N718" s="9"/>
      <c r="O718" s="8"/>
    </row>
    <row r="719" spans="14:15">
      <c r="N719" s="9"/>
      <c r="O719" s="8"/>
    </row>
    <row r="720" spans="14:15">
      <c r="N720" s="9"/>
      <c r="O720" s="8"/>
    </row>
    <row r="721" spans="14:15">
      <c r="N721" s="9"/>
      <c r="O721" s="8"/>
    </row>
    <row r="722" spans="14:15">
      <c r="N722" s="9"/>
      <c r="O722" s="8"/>
    </row>
    <row r="723" spans="14:15">
      <c r="N723" s="9"/>
      <c r="O723" s="8"/>
    </row>
    <row r="724" spans="14:15">
      <c r="N724" s="9"/>
      <c r="O724" s="8"/>
    </row>
    <row r="725" spans="14:15">
      <c r="N725" s="9"/>
      <c r="O725" s="8"/>
    </row>
    <row r="726" spans="14:15">
      <c r="N726" s="9"/>
      <c r="O726" s="8"/>
    </row>
    <row r="727" spans="14:15">
      <c r="N727" s="9"/>
      <c r="O727" s="8"/>
    </row>
    <row r="728" spans="14:15">
      <c r="N728" s="9"/>
      <c r="O728" s="8"/>
    </row>
    <row r="729" spans="14:15">
      <c r="N729" s="9"/>
      <c r="O729" s="8"/>
    </row>
    <row r="730" spans="14:15">
      <c r="N730" s="9"/>
      <c r="O730" s="8"/>
    </row>
    <row r="731" spans="14:15">
      <c r="N731" s="9"/>
      <c r="O731" s="8"/>
    </row>
    <row r="732" spans="14:15">
      <c r="N732" s="9"/>
      <c r="O732" s="8"/>
    </row>
    <row r="733" spans="14:15">
      <c r="N733" s="9"/>
      <c r="O733" s="8"/>
    </row>
    <row r="734" spans="14:15">
      <c r="N734" s="9"/>
      <c r="O734" s="8"/>
    </row>
    <row r="735" spans="14:15">
      <c r="N735" s="9"/>
      <c r="O735" s="8"/>
    </row>
    <row r="736" spans="14:15">
      <c r="N736" s="9"/>
      <c r="O736" s="8"/>
    </row>
    <row r="737" spans="14:15">
      <c r="N737" s="9"/>
      <c r="O737" s="8"/>
    </row>
    <row r="738" spans="14:15">
      <c r="N738" s="9"/>
      <c r="O738" s="8"/>
    </row>
    <row r="739" spans="14:15">
      <c r="N739" s="9"/>
      <c r="O739" s="8"/>
    </row>
    <row r="740" spans="14:15">
      <c r="N740" s="9"/>
      <c r="O740" s="8"/>
    </row>
    <row r="741" spans="14:15">
      <c r="N741" s="9"/>
      <c r="O741" s="8"/>
    </row>
    <row r="742" spans="14:15">
      <c r="N742" s="9"/>
      <c r="O742" s="8"/>
    </row>
    <row r="743" spans="14:15">
      <c r="N743" s="9"/>
      <c r="O743" s="8"/>
    </row>
    <row r="744" spans="14:15">
      <c r="N744" s="9"/>
      <c r="O744" s="8"/>
    </row>
    <row r="745" spans="14:15">
      <c r="N745" s="9"/>
      <c r="O745" s="8"/>
    </row>
    <row r="746" spans="14:15">
      <c r="N746" s="9"/>
      <c r="O746" s="8"/>
    </row>
    <row r="747" spans="14:15">
      <c r="N747" s="9"/>
      <c r="O747" s="8"/>
    </row>
    <row r="748" spans="14:15">
      <c r="N748" s="9"/>
      <c r="O748" s="8"/>
    </row>
    <row r="749" spans="14:15">
      <c r="N749" s="9"/>
      <c r="O749" s="8"/>
    </row>
    <row r="750" spans="14:15">
      <c r="N750" s="9"/>
      <c r="O750" s="8"/>
    </row>
    <row r="751" spans="14:15">
      <c r="N751" s="9"/>
      <c r="O751" s="8"/>
    </row>
    <row r="752" spans="14:15">
      <c r="N752" s="9"/>
      <c r="O752" s="8"/>
    </row>
    <row r="753" spans="14:15">
      <c r="N753" s="9"/>
      <c r="O753" s="8"/>
    </row>
    <row r="754" spans="14:15">
      <c r="N754" s="9"/>
      <c r="O754" s="8"/>
    </row>
    <row r="755" spans="14:15">
      <c r="N755" s="9"/>
      <c r="O755" s="8"/>
    </row>
    <row r="756" spans="14:15">
      <c r="N756" s="9"/>
      <c r="O756" s="8"/>
    </row>
    <row r="757" spans="14:15">
      <c r="N757" s="9"/>
      <c r="O757" s="8"/>
    </row>
    <row r="758" spans="14:15">
      <c r="N758" s="9"/>
      <c r="O758" s="8"/>
    </row>
    <row r="759" spans="14:15">
      <c r="N759" s="9"/>
      <c r="O759" s="8"/>
    </row>
    <row r="760" spans="14:15">
      <c r="N760" s="9"/>
      <c r="O760" s="8"/>
    </row>
    <row r="761" spans="14:15">
      <c r="N761" s="9"/>
      <c r="O761" s="8"/>
    </row>
    <row r="762" spans="14:15">
      <c r="N762" s="9"/>
      <c r="O762" s="8"/>
    </row>
    <row r="763" spans="14:15">
      <c r="N763" s="9"/>
      <c r="O763" s="8"/>
    </row>
    <row r="764" spans="14:15">
      <c r="N764" s="9"/>
      <c r="O764" s="8"/>
    </row>
    <row r="765" spans="14:15">
      <c r="N765" s="9"/>
      <c r="O765" s="8"/>
    </row>
    <row r="766" spans="14:15">
      <c r="N766" s="9"/>
      <c r="O766" s="8"/>
    </row>
    <row r="767" spans="14:15">
      <c r="N767" s="9"/>
      <c r="O767" s="8"/>
    </row>
    <row r="768" spans="14:15">
      <c r="N768" s="9"/>
      <c r="O768" s="8"/>
    </row>
    <row r="769" spans="14:15">
      <c r="N769" s="9"/>
      <c r="O769" s="8"/>
    </row>
    <row r="770" spans="14:15">
      <c r="N770" s="9"/>
      <c r="O770" s="8"/>
    </row>
    <row r="771" spans="14:15">
      <c r="N771" s="9"/>
      <c r="O771" s="8"/>
    </row>
    <row r="772" spans="14:15">
      <c r="N772" s="9"/>
      <c r="O772" s="8"/>
    </row>
    <row r="773" spans="14:15">
      <c r="N773" s="9"/>
      <c r="O773" s="8"/>
    </row>
    <row r="774" spans="14:15">
      <c r="N774" s="9"/>
      <c r="O774" s="8"/>
    </row>
    <row r="775" spans="14:15">
      <c r="N775" s="9"/>
      <c r="O775" s="8"/>
    </row>
    <row r="776" spans="14:15">
      <c r="N776" s="9"/>
      <c r="O776" s="8"/>
    </row>
    <row r="777" spans="14:15">
      <c r="N777" s="9"/>
      <c r="O777" s="8"/>
    </row>
    <row r="778" spans="14:15">
      <c r="N778" s="9"/>
      <c r="O778" s="8"/>
    </row>
    <row r="779" spans="14:15">
      <c r="N779" s="9"/>
      <c r="O779" s="8"/>
    </row>
    <row r="780" spans="14:15">
      <c r="N780" s="9"/>
      <c r="O780" s="8"/>
    </row>
    <row r="781" spans="14:15">
      <c r="N781" s="9"/>
      <c r="O781" s="8"/>
    </row>
    <row r="782" spans="14:15">
      <c r="N782" s="9"/>
      <c r="O782" s="8"/>
    </row>
    <row r="783" spans="14:15">
      <c r="N783" s="9"/>
      <c r="O783" s="8"/>
    </row>
    <row r="784" spans="14:15">
      <c r="N784" s="9"/>
      <c r="O784" s="8"/>
    </row>
    <row r="785" spans="14:15">
      <c r="N785" s="9"/>
      <c r="O785" s="8"/>
    </row>
    <row r="786" spans="14:15">
      <c r="N786" s="9"/>
      <c r="O786" s="8"/>
    </row>
    <row r="787" spans="14:15">
      <c r="N787" s="9"/>
      <c r="O787" s="8"/>
    </row>
    <row r="788" spans="14:15">
      <c r="N788" s="9"/>
      <c r="O788" s="8"/>
    </row>
    <row r="789" spans="14:15">
      <c r="N789" s="9"/>
      <c r="O789" s="8"/>
    </row>
    <row r="790" spans="14:15">
      <c r="N790" s="9"/>
      <c r="O790" s="8"/>
    </row>
    <row r="791" spans="14:15">
      <c r="N791" s="9"/>
      <c r="O791" s="8"/>
    </row>
    <row r="792" spans="14:15">
      <c r="N792" s="9"/>
      <c r="O792" s="8"/>
    </row>
    <row r="793" spans="14:15">
      <c r="N793" s="9"/>
      <c r="O793" s="8"/>
    </row>
    <row r="794" spans="14:15">
      <c r="N794" s="9"/>
      <c r="O794" s="8"/>
    </row>
    <row r="795" spans="14:15">
      <c r="N795" s="9"/>
      <c r="O795" s="8"/>
    </row>
    <row r="796" spans="14:15">
      <c r="N796" s="9"/>
      <c r="O796" s="8"/>
    </row>
    <row r="797" spans="14:15">
      <c r="N797" s="9"/>
      <c r="O797" s="8"/>
    </row>
    <row r="798" spans="14:15">
      <c r="N798" s="9"/>
      <c r="O798" s="8"/>
    </row>
    <row r="799" spans="14:15">
      <c r="N799" s="9"/>
      <c r="O799" s="8"/>
    </row>
    <row r="800" spans="14:15">
      <c r="N800" s="9"/>
      <c r="O800" s="8"/>
    </row>
    <row r="801" spans="14:15">
      <c r="N801" s="9"/>
      <c r="O801" s="8"/>
    </row>
    <row r="802" spans="14:15">
      <c r="N802" s="9"/>
      <c r="O802" s="8"/>
    </row>
    <row r="803" spans="14:15">
      <c r="N803" s="9"/>
      <c r="O803" s="8"/>
    </row>
    <row r="804" spans="14:15">
      <c r="N804" s="9"/>
      <c r="O804" s="8"/>
    </row>
    <row r="805" spans="14:15">
      <c r="N805" s="9"/>
      <c r="O805" s="8"/>
    </row>
    <row r="806" spans="14:15">
      <c r="N806" s="9"/>
      <c r="O806" s="8"/>
    </row>
    <row r="807" spans="14:15">
      <c r="N807" s="9"/>
      <c r="O807" s="8"/>
    </row>
    <row r="808" spans="14:15">
      <c r="N808" s="9"/>
      <c r="O808" s="8"/>
    </row>
    <row r="809" spans="14:15">
      <c r="N809" s="9"/>
      <c r="O809" s="8"/>
    </row>
    <row r="810" spans="14:15">
      <c r="N810" s="9"/>
      <c r="O810" s="8"/>
    </row>
    <row r="811" spans="14:15">
      <c r="N811" s="9"/>
      <c r="O811" s="8"/>
    </row>
    <row r="812" spans="14:15">
      <c r="N812" s="9"/>
      <c r="O812" s="8"/>
    </row>
    <row r="813" spans="14:15">
      <c r="N813" s="9"/>
      <c r="O813" s="8"/>
    </row>
    <row r="814" spans="14:15">
      <c r="N814" s="9"/>
      <c r="O814" s="8"/>
    </row>
    <row r="815" spans="14:15">
      <c r="N815" s="9"/>
      <c r="O815" s="8"/>
    </row>
    <row r="816" spans="14:15">
      <c r="N816" s="9"/>
      <c r="O816" s="8"/>
    </row>
    <row r="817" spans="14:15">
      <c r="N817" s="9"/>
      <c r="O817" s="8"/>
    </row>
    <row r="818" spans="14:15">
      <c r="N818" s="9"/>
      <c r="O818" s="8"/>
    </row>
    <row r="819" spans="14:15">
      <c r="N819" s="9"/>
      <c r="O819" s="8"/>
    </row>
    <row r="820" spans="14:15">
      <c r="N820" s="9"/>
      <c r="O820" s="8"/>
    </row>
    <row r="821" spans="14:15">
      <c r="N821" s="9"/>
      <c r="O821" s="8"/>
    </row>
    <row r="822" spans="14:15">
      <c r="N822" s="9"/>
      <c r="O822" s="8"/>
    </row>
    <row r="823" spans="14:15">
      <c r="N823" s="9"/>
      <c r="O823" s="8"/>
    </row>
    <row r="824" spans="14:15">
      <c r="N824" s="9"/>
      <c r="O824" s="8"/>
    </row>
    <row r="825" spans="14:15">
      <c r="N825" s="9"/>
      <c r="O825" s="8"/>
    </row>
    <row r="826" spans="14:15">
      <c r="N826" s="9"/>
      <c r="O826" s="8"/>
    </row>
    <row r="827" spans="14:15">
      <c r="N827" s="9"/>
      <c r="O827" s="8"/>
    </row>
    <row r="828" spans="14:15">
      <c r="N828" s="9"/>
      <c r="O828" s="8"/>
    </row>
    <row r="829" spans="14:15">
      <c r="N829" s="9"/>
      <c r="O829" s="8"/>
    </row>
    <row r="830" spans="14:15">
      <c r="N830" s="9"/>
      <c r="O830" s="8"/>
    </row>
    <row r="831" spans="14:15">
      <c r="N831" s="9"/>
      <c r="O831" s="8"/>
    </row>
    <row r="832" spans="14:15">
      <c r="N832" s="9"/>
      <c r="O832" s="8"/>
    </row>
    <row r="833" spans="14:15">
      <c r="N833" s="9"/>
      <c r="O833" s="8"/>
    </row>
    <row r="834" spans="14:15">
      <c r="N834" s="9"/>
      <c r="O834" s="8"/>
    </row>
    <row r="835" spans="14:15">
      <c r="N835" s="9"/>
      <c r="O835" s="8"/>
    </row>
    <row r="836" spans="14:15">
      <c r="N836" s="9"/>
      <c r="O836" s="8"/>
    </row>
    <row r="837" spans="14:15">
      <c r="N837" s="9"/>
      <c r="O837" s="8"/>
    </row>
    <row r="838" spans="14:15">
      <c r="N838" s="9"/>
      <c r="O838" s="8"/>
    </row>
    <row r="839" spans="14:15">
      <c r="N839" s="9"/>
      <c r="O839" s="8"/>
    </row>
    <row r="840" spans="14:15">
      <c r="N840" s="9"/>
      <c r="O840" s="8"/>
    </row>
    <row r="841" spans="14:15">
      <c r="N841" s="9"/>
      <c r="O841" s="8"/>
    </row>
    <row r="842" spans="14:15">
      <c r="N842" s="9"/>
      <c r="O842" s="8"/>
    </row>
    <row r="843" spans="14:15">
      <c r="N843" s="9"/>
      <c r="O843" s="8"/>
    </row>
    <row r="844" spans="14:15">
      <c r="N844" s="9"/>
      <c r="O844" s="8"/>
    </row>
    <row r="845" spans="14:15">
      <c r="N845" s="9"/>
      <c r="O845" s="8"/>
    </row>
    <row r="846" spans="14:15">
      <c r="N846" s="9"/>
      <c r="O846" s="8"/>
    </row>
    <row r="847" spans="14:15">
      <c r="N847" s="9"/>
      <c r="O847" s="8"/>
    </row>
    <row r="848" spans="14:15">
      <c r="N848" s="9"/>
      <c r="O848" s="8"/>
    </row>
    <row r="849" spans="14:15">
      <c r="N849" s="9"/>
      <c r="O849" s="8"/>
    </row>
    <row r="850" spans="14:15">
      <c r="N850" s="9"/>
      <c r="O850" s="8"/>
    </row>
    <row r="851" spans="14:15">
      <c r="N851" s="9"/>
      <c r="O851" s="8"/>
    </row>
    <row r="852" spans="14:15">
      <c r="N852" s="9"/>
      <c r="O852" s="8"/>
    </row>
    <row r="853" spans="14:15">
      <c r="N853" s="9"/>
      <c r="O853" s="8"/>
    </row>
    <row r="854" spans="14:15">
      <c r="N854" s="9"/>
      <c r="O854" s="8"/>
    </row>
    <row r="855" spans="14:15">
      <c r="N855" s="9"/>
      <c r="O855" s="8"/>
    </row>
    <row r="856" spans="14:15">
      <c r="N856" s="9"/>
      <c r="O856" s="8"/>
    </row>
    <row r="857" spans="14:15">
      <c r="N857" s="9"/>
      <c r="O857" s="8"/>
    </row>
    <row r="858" spans="14:15">
      <c r="N858" s="9"/>
      <c r="O858" s="8"/>
    </row>
    <row r="859" spans="14:15">
      <c r="N859" s="9"/>
      <c r="O859" s="8"/>
    </row>
    <row r="860" spans="14:15">
      <c r="N860" s="9"/>
      <c r="O860" s="8"/>
    </row>
    <row r="861" spans="14:15">
      <c r="N861" s="9"/>
      <c r="O861" s="8"/>
    </row>
    <row r="862" spans="14:15">
      <c r="N862" s="9"/>
      <c r="O862" s="8"/>
    </row>
    <row r="863" spans="14:15">
      <c r="N863" s="9"/>
      <c r="O863" s="8"/>
    </row>
    <row r="864" spans="14:15">
      <c r="N864" s="9"/>
      <c r="O864" s="8"/>
    </row>
    <row r="865" spans="14:15">
      <c r="N865" s="9"/>
      <c r="O865" s="8"/>
    </row>
    <row r="866" spans="14:15">
      <c r="N866" s="9"/>
      <c r="O866" s="8"/>
    </row>
    <row r="867" spans="14:15">
      <c r="N867" s="9"/>
      <c r="O867" s="8"/>
    </row>
    <row r="868" spans="14:15">
      <c r="N868" s="9"/>
      <c r="O868" s="8"/>
    </row>
    <row r="869" spans="14:15">
      <c r="N869" s="9"/>
      <c r="O869" s="8"/>
    </row>
    <row r="870" spans="14:15">
      <c r="N870" s="9"/>
      <c r="O870" s="8"/>
    </row>
    <row r="871" spans="14:15">
      <c r="N871" s="9"/>
      <c r="O871" s="8"/>
    </row>
    <row r="872" spans="14:15">
      <c r="N872" s="9"/>
      <c r="O872" s="8"/>
    </row>
    <row r="873" spans="14:15">
      <c r="N873" s="9"/>
      <c r="O873" s="8"/>
    </row>
    <row r="874" spans="14:15">
      <c r="N874" s="9"/>
      <c r="O874" s="8"/>
    </row>
    <row r="875" spans="14:15">
      <c r="N875" s="9"/>
      <c r="O875" s="8"/>
    </row>
    <row r="876" spans="14:15">
      <c r="N876" s="9"/>
      <c r="O876" s="8"/>
    </row>
    <row r="877" spans="14:15">
      <c r="N877" s="9"/>
      <c r="O877" s="8"/>
    </row>
    <row r="878" spans="14:15">
      <c r="N878" s="9"/>
      <c r="O878" s="8"/>
    </row>
    <row r="879" spans="14:15">
      <c r="N879" s="9"/>
      <c r="O879" s="8"/>
    </row>
    <row r="880" spans="14:15">
      <c r="N880" s="9"/>
      <c r="O880" s="8"/>
    </row>
    <row r="881" spans="14:15">
      <c r="N881" s="9"/>
      <c r="O881" s="8"/>
    </row>
    <row r="882" spans="14:15">
      <c r="N882" s="9"/>
      <c r="O882" s="8"/>
    </row>
    <row r="883" spans="14:15">
      <c r="N883" s="9"/>
      <c r="O883" s="8"/>
    </row>
    <row r="884" spans="14:15">
      <c r="N884" s="9"/>
      <c r="O884" s="8"/>
    </row>
    <row r="885" spans="14:15">
      <c r="N885" s="9"/>
      <c r="O885" s="8"/>
    </row>
    <row r="886" spans="14:15">
      <c r="N886" s="9"/>
      <c r="O886" s="8"/>
    </row>
    <row r="887" spans="14:15">
      <c r="N887" s="9"/>
      <c r="O887" s="8"/>
    </row>
    <row r="888" spans="14:15">
      <c r="N888" s="9"/>
      <c r="O888" s="8"/>
    </row>
    <row r="889" spans="14:15">
      <c r="N889" s="9"/>
      <c r="O889" s="8"/>
    </row>
    <row r="890" spans="14:15">
      <c r="N890" s="9"/>
      <c r="O890" s="8"/>
    </row>
    <row r="891" spans="14:15">
      <c r="N891" s="9"/>
      <c r="O891" s="8"/>
    </row>
    <row r="892" spans="14:15">
      <c r="N892" s="9"/>
      <c r="O892" s="8"/>
    </row>
    <row r="893" spans="14:15">
      <c r="N893" s="9"/>
      <c r="O893" s="8"/>
    </row>
    <row r="894" spans="14:15">
      <c r="N894" s="9"/>
      <c r="O894" s="8"/>
    </row>
    <row r="895" spans="14:15">
      <c r="N895" s="9"/>
      <c r="O895" s="8"/>
    </row>
    <row r="896" spans="14:15">
      <c r="N896" s="9"/>
      <c r="O896" s="8"/>
    </row>
    <row r="897" spans="14:15">
      <c r="N897" s="9"/>
      <c r="O897" s="8"/>
    </row>
    <row r="898" spans="14:15">
      <c r="N898" s="9"/>
      <c r="O898" s="8"/>
    </row>
    <row r="899" spans="14:15">
      <c r="N899" s="9"/>
      <c r="O899" s="8"/>
    </row>
    <row r="900" spans="14:15">
      <c r="N900" s="9"/>
      <c r="O900" s="8"/>
    </row>
    <row r="901" spans="14:15">
      <c r="N901" s="9"/>
      <c r="O901" s="8"/>
    </row>
    <row r="902" spans="14:15">
      <c r="N902" s="9"/>
      <c r="O902" s="8"/>
    </row>
    <row r="903" spans="14:15">
      <c r="N903" s="9"/>
      <c r="O903" s="8"/>
    </row>
    <row r="904" spans="14:15">
      <c r="N904" s="9"/>
      <c r="O904" s="8"/>
    </row>
    <row r="1394" spans="11:11">
      <c r="K1394" s="3">
        <v>231</v>
      </c>
    </row>
    <row r="1395" spans="11:11">
      <c r="K1395" s="3">
        <v>231</v>
      </c>
    </row>
    <row r="1396" spans="11:11">
      <c r="K1396" s="3">
        <v>231</v>
      </c>
    </row>
    <row r="1397" spans="11:11">
      <c r="K1397" s="3">
        <v>231</v>
      </c>
    </row>
    <row r="1398" spans="11:11">
      <c r="K1398" s="3">
        <v>231</v>
      </c>
    </row>
    <row r="1399" spans="11:11">
      <c r="K1399" s="3">
        <v>231</v>
      </c>
    </row>
    <row r="1400" spans="11:11">
      <c r="K1400" s="3">
        <v>524</v>
      </c>
    </row>
    <row r="1401" spans="11:11">
      <c r="K1401" s="3">
        <v>524</v>
      </c>
    </row>
    <row r="1402" spans="11:11">
      <c r="K1402" s="3">
        <v>524</v>
      </c>
    </row>
    <row r="1403" spans="11:11">
      <c r="K1403" s="3">
        <v>12</v>
      </c>
    </row>
    <row r="1404" spans="11:11">
      <c r="K1404" s="3">
        <v>12</v>
      </c>
    </row>
    <row r="1405" spans="11:11">
      <c r="K1405" s="3">
        <v>225</v>
      </c>
    </row>
    <row r="1406" spans="11:11">
      <c r="K1406" s="3">
        <v>225</v>
      </c>
    </row>
    <row r="1407" spans="11:11">
      <c r="K1407" s="3">
        <v>225</v>
      </c>
    </row>
    <row r="1408" spans="11:11">
      <c r="K1408" s="3">
        <v>225</v>
      </c>
    </row>
    <row r="1409" spans="11:11">
      <c r="K1409" s="3">
        <v>225</v>
      </c>
    </row>
    <row r="1410" spans="11:11">
      <c r="K1410" s="3">
        <v>399</v>
      </c>
    </row>
    <row r="1411" spans="11:11">
      <c r="K1411" s="3">
        <v>399</v>
      </c>
    </row>
    <row r="1412" spans="11:11">
      <c r="K1412" s="3">
        <v>399</v>
      </c>
    </row>
    <row r="1413" spans="11:11">
      <c r="K1413" s="3">
        <v>399</v>
      </c>
    </row>
    <row r="1414" spans="11:11">
      <c r="K1414" s="3">
        <v>399</v>
      </c>
    </row>
    <row r="1415" spans="11:11">
      <c r="K1415" s="3">
        <v>399</v>
      </c>
    </row>
    <row r="1416" spans="11:11">
      <c r="K1416" s="3">
        <v>399</v>
      </c>
    </row>
    <row r="1417" spans="11:11">
      <c r="K1417" s="3">
        <v>399</v>
      </c>
    </row>
    <row r="1418" spans="11:11">
      <c r="K1418" s="3">
        <v>3932</v>
      </c>
    </row>
    <row r="1419" spans="11:11">
      <c r="K1419" s="3">
        <v>234</v>
      </c>
    </row>
    <row r="1420" spans="11:11">
      <c r="K1420" s="3">
        <v>234</v>
      </c>
    </row>
    <row r="1421" spans="11:11">
      <c r="K1421" s="3">
        <v>233</v>
      </c>
    </row>
    <row r="1422" spans="11:11">
      <c r="K1422" s="3">
        <v>233</v>
      </c>
    </row>
    <row r="1423" spans="11:11">
      <c r="K1423" s="3">
        <v>233</v>
      </c>
    </row>
    <row r="1424" spans="11:11">
      <c r="K1424" s="3">
        <v>233</v>
      </c>
    </row>
    <row r="1425" spans="11:11">
      <c r="K1425" s="3">
        <v>232</v>
      </c>
    </row>
    <row r="1426" spans="11:11">
      <c r="K1426" s="3">
        <v>232</v>
      </c>
    </row>
    <row r="1427" spans="11:11">
      <c r="K1427" s="3">
        <v>232</v>
      </c>
    </row>
    <row r="1428" spans="11:11">
      <c r="K1428" s="3">
        <v>232</v>
      </c>
    </row>
    <row r="1429" spans="11:11">
      <c r="K1429" s="3">
        <v>232</v>
      </c>
    </row>
    <row r="1430" spans="11:11">
      <c r="K1430" s="3">
        <v>223</v>
      </c>
    </row>
    <row r="1431" spans="11:11">
      <c r="K1431" s="3">
        <v>223</v>
      </c>
    </row>
    <row r="1432" spans="11:11">
      <c r="K1432" s="3">
        <v>223</v>
      </c>
    </row>
    <row r="1433" spans="11:11">
      <c r="K1433" s="3">
        <v>223</v>
      </c>
    </row>
    <row r="1434" spans="11:11">
      <c r="K1434" s="3" t="s">
        <v>4</v>
      </c>
    </row>
    <row r="1522" spans="11:11">
      <c r="K1522" s="3">
        <v>225</v>
      </c>
    </row>
    <row r="1523" spans="11:11">
      <c r="K1523" s="3">
        <v>225</v>
      </c>
    </row>
    <row r="1524" spans="11:11">
      <c r="K1524" s="3">
        <v>225</v>
      </c>
    </row>
    <row r="1525" spans="11:11">
      <c r="K1525" s="3">
        <v>225</v>
      </c>
    </row>
    <row r="1526" spans="11:11">
      <c r="K1526" s="3">
        <v>399</v>
      </c>
    </row>
    <row r="1527" spans="11:11">
      <c r="K1527" s="3">
        <v>399</v>
      </c>
    </row>
    <row r="1528" spans="11:11">
      <c r="K1528" s="3">
        <v>399</v>
      </c>
    </row>
    <row r="1529" spans="11:11">
      <c r="K1529" s="3">
        <v>399</v>
      </c>
    </row>
    <row r="1530" spans="11:11">
      <c r="K1530" s="3">
        <v>12</v>
      </c>
    </row>
    <row r="1531" spans="11:11">
      <c r="K1531" s="3">
        <v>12</v>
      </c>
    </row>
    <row r="1532" spans="11:11">
      <c r="K1532" s="3">
        <v>12</v>
      </c>
    </row>
    <row r="1533" spans="11:11">
      <c r="K1533" s="3">
        <v>3932</v>
      </c>
    </row>
    <row r="1534" spans="11:11">
      <c r="K1534" s="3">
        <v>3932</v>
      </c>
    </row>
    <row r="1535" spans="11:11">
      <c r="K1535" s="3">
        <v>3932</v>
      </c>
    </row>
    <row r="1536" spans="11:11">
      <c r="K1536" s="3">
        <v>3932</v>
      </c>
    </row>
    <row r="1537" spans="11:11">
      <c r="K1537" s="3">
        <v>234</v>
      </c>
    </row>
    <row r="1538" spans="11:11">
      <c r="K1538" s="3">
        <v>234</v>
      </c>
    </row>
    <row r="1539" spans="11:11">
      <c r="K1539" s="3">
        <v>234</v>
      </c>
    </row>
    <row r="1540" spans="11:11">
      <c r="K1540" s="3">
        <v>233</v>
      </c>
    </row>
    <row r="1541" spans="11:11">
      <c r="K1541" s="3">
        <v>233</v>
      </c>
    </row>
    <row r="1542" spans="11:11">
      <c r="K1542" s="3">
        <v>233</v>
      </c>
    </row>
    <row r="1543" spans="11:11">
      <c r="K1543" s="3">
        <v>223</v>
      </c>
    </row>
    <row r="1544" spans="11:11">
      <c r="K1544" s="3">
        <v>223</v>
      </c>
    </row>
    <row r="1545" spans="11:11">
      <c r="K1545" s="3">
        <v>223</v>
      </c>
    </row>
    <row r="1546" spans="11:11">
      <c r="K1546" s="3">
        <v>223</v>
      </c>
    </row>
    <row r="1547" spans="11:11">
      <c r="K1547" s="3">
        <v>223</v>
      </c>
    </row>
    <row r="1548" spans="11:11">
      <c r="K1548" s="3">
        <v>223</v>
      </c>
    </row>
    <row r="1549" spans="11:11">
      <c r="K1549" s="3">
        <v>223</v>
      </c>
    </row>
    <row r="1550" spans="11:11">
      <c r="K1550" s="3">
        <v>232</v>
      </c>
    </row>
    <row r="1551" spans="11:11">
      <c r="K1551" s="3">
        <v>232</v>
      </c>
    </row>
    <row r="1552" spans="11:11">
      <c r="K1552" s="3">
        <v>232</v>
      </c>
    </row>
    <row r="1553" spans="11:11">
      <c r="K1553" s="3">
        <v>232</v>
      </c>
    </row>
    <row r="1567" spans="11:11">
      <c r="K1567" s="3">
        <v>3653</v>
      </c>
    </row>
    <row r="1568" spans="11:11">
      <c r="K1568" s="3">
        <v>3971</v>
      </c>
    </row>
    <row r="1569" spans="11:11">
      <c r="K1569" s="3">
        <v>3607</v>
      </c>
    </row>
    <row r="1570" spans="11:11">
      <c r="K1570" s="3">
        <v>3824</v>
      </c>
    </row>
    <row r="1571" spans="11:11">
      <c r="K1571" s="3">
        <v>3824</v>
      </c>
    </row>
    <row r="1572" spans="11:11">
      <c r="K1572" s="3">
        <v>3605</v>
      </c>
    </row>
    <row r="1573" spans="11:11">
      <c r="K1573" s="3">
        <v>1476</v>
      </c>
    </row>
    <row r="1574" spans="11:11">
      <c r="K1574" s="3">
        <v>1476</v>
      </c>
    </row>
    <row r="1575" spans="11:11">
      <c r="K1575" s="3">
        <v>3638</v>
      </c>
    </row>
    <row r="1576" spans="11:11">
      <c r="K1576" s="3">
        <v>3638</v>
      </c>
    </row>
    <row r="1577" spans="11:11">
      <c r="K1577" s="3">
        <v>3862</v>
      </c>
    </row>
    <row r="1578" spans="11:11">
      <c r="K1578" s="3">
        <v>3862</v>
      </c>
    </row>
    <row r="1579" spans="11:11">
      <c r="K1579" s="3">
        <v>3351</v>
      </c>
    </row>
    <row r="1580" spans="11:11">
      <c r="K1580" s="3">
        <v>3576</v>
      </c>
    </row>
    <row r="1581" spans="11:11">
      <c r="K1581" s="3">
        <v>3351</v>
      </c>
    </row>
    <row r="1582" spans="11:11">
      <c r="K1582" s="3">
        <v>3351</v>
      </c>
    </row>
    <row r="1583" spans="11:11">
      <c r="K1583" s="3">
        <v>2278</v>
      </c>
    </row>
    <row r="1887" spans="11:11">
      <c r="K1887" s="3">
        <v>232</v>
      </c>
    </row>
    <row r="1888" spans="11:11">
      <c r="K1888" s="3">
        <v>232</v>
      </c>
    </row>
    <row r="1889" spans="11:11">
      <c r="K1889" s="3">
        <v>232</v>
      </c>
    </row>
    <row r="1890" spans="11:11">
      <c r="K1890" s="3">
        <v>232</v>
      </c>
    </row>
    <row r="1891" spans="11:11">
      <c r="K1891" s="3">
        <v>232</v>
      </c>
    </row>
    <row r="1892" spans="11:11">
      <c r="K1892" s="3">
        <v>232</v>
      </c>
    </row>
    <row r="1893" spans="11:11">
      <c r="K1893" s="3">
        <v>223</v>
      </c>
    </row>
    <row r="1894" spans="11:11">
      <c r="K1894" s="3">
        <v>223</v>
      </c>
    </row>
    <row r="1895" spans="11:11">
      <c r="K1895" s="3">
        <v>223</v>
      </c>
    </row>
    <row r="1896" spans="11:11">
      <c r="K1896" s="3">
        <v>223</v>
      </c>
    </row>
    <row r="1897" spans="11:11">
      <c r="K1897" s="3">
        <v>399</v>
      </c>
    </row>
    <row r="1898" spans="11:11">
      <c r="K1898" s="3">
        <v>399</v>
      </c>
    </row>
    <row r="1899" spans="11:11">
      <c r="K1899" s="3">
        <v>12</v>
      </c>
    </row>
    <row r="1900" spans="11:11">
      <c r="K1900" s="3">
        <v>12</v>
      </c>
    </row>
    <row r="1901" spans="11:11">
      <c r="K1901" s="3">
        <v>12</v>
      </c>
    </row>
    <row r="1902" spans="11:11">
      <c r="K1902" s="3">
        <v>12</v>
      </c>
    </row>
    <row r="1903" spans="11:11">
      <c r="K1903" s="3">
        <v>12</v>
      </c>
    </row>
    <row r="2413" spans="11:11">
      <c r="K2413" s="3">
        <v>3968</v>
      </c>
    </row>
    <row r="2414" spans="11:11">
      <c r="K2414" s="3">
        <v>1845</v>
      </c>
    </row>
    <row r="2415" spans="11:11">
      <c r="K2415" s="3">
        <v>231</v>
      </c>
    </row>
    <row r="2416" spans="11:11">
      <c r="K2416" s="3">
        <v>231</v>
      </c>
    </row>
    <row r="2417" spans="11:11">
      <c r="K2417" s="3">
        <v>231</v>
      </c>
    </row>
    <row r="2418" spans="11:11">
      <c r="K2418" s="3">
        <v>231</v>
      </c>
    </row>
    <row r="2419" spans="11:11">
      <c r="K2419" s="3">
        <v>231</v>
      </c>
    </row>
    <row r="2420" spans="11:11">
      <c r="K2420" s="3">
        <v>231</v>
      </c>
    </row>
    <row r="2421" spans="11:11">
      <c r="K2421" s="3">
        <v>4051</v>
      </c>
    </row>
    <row r="2422" spans="11:11">
      <c r="K2422" s="3">
        <v>4051</v>
      </c>
    </row>
    <row r="2423" spans="11:11">
      <c r="K2423" s="3">
        <v>4018</v>
      </c>
    </row>
    <row r="2424" spans="11:11">
      <c r="K2424" s="3">
        <v>4018</v>
      </c>
    </row>
    <row r="2425" spans="11:11">
      <c r="K2425" s="3">
        <v>12</v>
      </c>
    </row>
    <row r="2426" spans="11:11">
      <c r="K2426" s="3">
        <v>12</v>
      </c>
    </row>
    <row r="2427" spans="11:11">
      <c r="K2427" s="3">
        <v>12</v>
      </c>
    </row>
    <row r="2428" spans="11:11">
      <c r="K2428" s="3">
        <v>12</v>
      </c>
    </row>
    <row r="2429" spans="11:11">
      <c r="K2429" s="3">
        <v>399</v>
      </c>
    </row>
    <row r="2430" spans="11:11">
      <c r="K2430" s="3">
        <v>399</v>
      </c>
    </row>
    <row r="2431" spans="11:11">
      <c r="K2431" s="3">
        <v>399</v>
      </c>
    </row>
    <row r="2432" spans="11:11">
      <c r="K2432" s="3">
        <v>234</v>
      </c>
    </row>
    <row r="2433" spans="11:11">
      <c r="K2433" s="3">
        <v>234</v>
      </c>
    </row>
    <row r="2434" spans="11:11">
      <c r="K2434" s="3">
        <v>234</v>
      </c>
    </row>
    <row r="2435" spans="11:11">
      <c r="K2435" s="3">
        <v>234</v>
      </c>
    </row>
    <row r="2436" spans="11:11">
      <c r="K2436" s="3">
        <v>234</v>
      </c>
    </row>
    <row r="2437" spans="11:11">
      <c r="K2437" s="3">
        <v>233</v>
      </c>
    </row>
    <row r="2438" spans="11:11">
      <c r="K2438" s="3">
        <v>233</v>
      </c>
    </row>
    <row r="2439" spans="11:11">
      <c r="K2439" s="3">
        <v>233</v>
      </c>
    </row>
    <row r="2440" spans="11:11">
      <c r="K2440" s="3">
        <v>233</v>
      </c>
    </row>
    <row r="2441" spans="11:11">
      <c r="K2441" s="3">
        <v>233</v>
      </c>
    </row>
    <row r="2442" spans="11:11">
      <c r="K2442" s="3">
        <v>233</v>
      </c>
    </row>
    <row r="2443" spans="11:11">
      <c r="K2443" s="3" t="s">
        <v>3</v>
      </c>
    </row>
    <row r="2444" spans="11:11">
      <c r="K2444" s="3" t="s">
        <v>3</v>
      </c>
    </row>
    <row r="2445" spans="11:11">
      <c r="K2445" s="3">
        <v>232</v>
      </c>
    </row>
    <row r="2446" spans="11:11">
      <c r="K2446" s="3">
        <v>232</v>
      </c>
    </row>
    <row r="2447" spans="11:11">
      <c r="K2447" s="3">
        <v>232</v>
      </c>
    </row>
    <row r="2448" spans="11:11">
      <c r="K2448" s="3">
        <v>223</v>
      </c>
    </row>
    <row r="2449" spans="11:11">
      <c r="K2449" s="3">
        <v>223</v>
      </c>
    </row>
    <row r="2450" spans="11:11">
      <c r="K2450" s="3">
        <v>223</v>
      </c>
    </row>
    <row r="2451" spans="11:11">
      <c r="K2451" s="3">
        <v>223</v>
      </c>
    </row>
    <row r="2452" spans="11:11">
      <c r="K2452" s="3">
        <v>223</v>
      </c>
    </row>
    <row r="2453" spans="11:11">
      <c r="K2453" s="3">
        <v>3932</v>
      </c>
    </row>
    <row r="2454" spans="11:11">
      <c r="K2454" s="3">
        <v>3932</v>
      </c>
    </row>
    <row r="2455" spans="11:11">
      <c r="K2455" s="3">
        <v>3932</v>
      </c>
    </row>
    <row r="2456" spans="11:11">
      <c r="K2456" s="3">
        <v>3932</v>
      </c>
    </row>
    <row r="2457" spans="11:11">
      <c r="K2457" s="3">
        <v>225</v>
      </c>
    </row>
    <row r="2458" spans="11:11">
      <c r="K2458" s="3">
        <v>225</v>
      </c>
    </row>
    <row r="2542" spans="11:11">
      <c r="K2542" s="3">
        <v>233</v>
      </c>
    </row>
    <row r="2543" spans="11:11">
      <c r="K2543" s="3">
        <v>233</v>
      </c>
    </row>
    <row r="2544" spans="11:11">
      <c r="K2544" s="3">
        <v>233</v>
      </c>
    </row>
    <row r="2545" spans="11:11">
      <c r="K2545" s="3">
        <v>233</v>
      </c>
    </row>
    <row r="2546" spans="11:11">
      <c r="K2546" s="3">
        <v>233</v>
      </c>
    </row>
    <row r="2547" spans="11:11">
      <c r="K2547" s="3">
        <v>234</v>
      </c>
    </row>
    <row r="2548" spans="11:11">
      <c r="K2548" s="3">
        <v>234</v>
      </c>
    </row>
    <row r="2549" spans="11:11">
      <c r="K2549" s="3">
        <v>234</v>
      </c>
    </row>
    <row r="2550" spans="11:11">
      <c r="K2550" s="3">
        <v>234</v>
      </c>
    </row>
    <row r="2551" spans="11:11">
      <c r="K2551" s="3">
        <v>399</v>
      </c>
    </row>
    <row r="2552" spans="11:11">
      <c r="K2552" s="3">
        <v>399</v>
      </c>
    </row>
    <row r="2553" spans="11:11">
      <c r="K2553" s="3">
        <v>399</v>
      </c>
    </row>
    <row r="2554" spans="11:11">
      <c r="K2554" s="3">
        <v>399</v>
      </c>
    </row>
    <row r="2555" spans="11:11">
      <c r="K2555" s="3">
        <v>399</v>
      </c>
    </row>
    <row r="2556" spans="11:11">
      <c r="K2556" s="3">
        <v>225</v>
      </c>
    </row>
    <row r="2557" spans="11:11">
      <c r="K2557" s="3">
        <v>225</v>
      </c>
    </row>
    <row r="2558" spans="11:11">
      <c r="K2558" s="3" t="s">
        <v>3</v>
      </c>
    </row>
    <row r="2559" spans="11:11">
      <c r="K2559" s="3" t="s">
        <v>3</v>
      </c>
    </row>
    <row r="2560" spans="11:11">
      <c r="K2560" s="3" t="s">
        <v>3</v>
      </c>
    </row>
    <row r="2561" spans="11:11">
      <c r="K2561" s="3" t="s">
        <v>3</v>
      </c>
    </row>
    <row r="2562" spans="11:11">
      <c r="K2562" s="3">
        <v>225</v>
      </c>
    </row>
    <row r="2563" spans="11:11">
      <c r="K2563" s="3">
        <v>225</v>
      </c>
    </row>
    <row r="2564" spans="11:11">
      <c r="K2564" s="3">
        <v>225</v>
      </c>
    </row>
    <row r="2565" spans="11:11">
      <c r="K2565" s="3">
        <v>225</v>
      </c>
    </row>
    <row r="2566" spans="11:11">
      <c r="K2566" s="3">
        <v>232</v>
      </c>
    </row>
    <row r="2567" spans="11:11">
      <c r="K2567" s="3">
        <v>232</v>
      </c>
    </row>
    <row r="2568" spans="11:11">
      <c r="K2568" s="3">
        <v>232</v>
      </c>
    </row>
    <row r="2569" spans="11:11">
      <c r="K2569" s="3">
        <v>232</v>
      </c>
    </row>
    <row r="2570" spans="11:11">
      <c r="K2570" s="3">
        <v>223</v>
      </c>
    </row>
    <row r="2571" spans="11:11">
      <c r="K2571" s="3">
        <v>223</v>
      </c>
    </row>
    <row r="2572" spans="11:11">
      <c r="K2572" s="3">
        <v>223</v>
      </c>
    </row>
    <row r="2573" spans="11:11">
      <c r="K2573" s="3">
        <v>223</v>
      </c>
    </row>
    <row r="2574" spans="11:11">
      <c r="K2574" s="3">
        <v>3932</v>
      </c>
    </row>
    <row r="2575" spans="11:11">
      <c r="K2575" s="3">
        <v>3932</v>
      </c>
    </row>
    <row r="2576" spans="11:11">
      <c r="K2576" s="3">
        <v>3932</v>
      </c>
    </row>
    <row r="2577" spans="11:11">
      <c r="K2577" s="3">
        <v>3932</v>
      </c>
    </row>
    <row r="2578" spans="11:11">
      <c r="K2578" s="3" t="s">
        <v>2</v>
      </c>
    </row>
    <row r="2579" spans="11:11">
      <c r="K2579" s="3" t="s">
        <v>2</v>
      </c>
    </row>
    <row r="2580" spans="11:11">
      <c r="K2580" s="3" t="s">
        <v>2</v>
      </c>
    </row>
    <row r="2581" spans="11:11">
      <c r="K2581" s="3">
        <v>4018</v>
      </c>
    </row>
    <row r="2707" spans="11:11">
      <c r="K2707" s="3" t="s">
        <v>1</v>
      </c>
    </row>
    <row r="2907" spans="11:11">
      <c r="K2907" s="3">
        <v>536</v>
      </c>
    </row>
    <row r="2908" spans="11:11">
      <c r="K2908" s="3">
        <v>536</v>
      </c>
    </row>
    <row r="2909" spans="11:11">
      <c r="K2909" s="3">
        <v>536</v>
      </c>
    </row>
    <row r="2910" spans="11:11">
      <c r="K2910" s="3">
        <v>3932</v>
      </c>
    </row>
    <row r="2911" spans="11:11">
      <c r="K2911" s="3">
        <v>3932</v>
      </c>
    </row>
    <row r="2912" spans="11:11">
      <c r="K2912" s="3">
        <v>3932</v>
      </c>
    </row>
    <row r="2913" spans="11:11">
      <c r="K2913" s="3">
        <v>399</v>
      </c>
    </row>
    <row r="2914" spans="11:11">
      <c r="K2914" s="3">
        <v>399</v>
      </c>
    </row>
    <row r="2915" spans="11:11">
      <c r="K2915" s="3">
        <v>399</v>
      </c>
    </row>
    <row r="2916" spans="11:11">
      <c r="K2916" s="3">
        <v>399</v>
      </c>
    </row>
    <row r="2917" spans="11:11">
      <c r="K2917" s="3">
        <v>399</v>
      </c>
    </row>
    <row r="2918" spans="11:11">
      <c r="K2918" s="3">
        <v>223</v>
      </c>
    </row>
    <row r="2919" spans="11:11">
      <c r="K2919" s="3">
        <v>223</v>
      </c>
    </row>
    <row r="2920" spans="11:11">
      <c r="K2920" s="3">
        <v>223</v>
      </c>
    </row>
    <row r="2921" spans="11:11">
      <c r="K2921" s="3">
        <v>223</v>
      </c>
    </row>
    <row r="2922" spans="11:11">
      <c r="K2922" s="3">
        <v>223</v>
      </c>
    </row>
    <row r="2923" spans="11:11">
      <c r="K2923" s="3">
        <v>223</v>
      </c>
    </row>
    <row r="2924" spans="11:11">
      <c r="K2924" s="3">
        <v>223</v>
      </c>
    </row>
    <row r="2925" spans="11:11">
      <c r="K2925" s="3">
        <v>233</v>
      </c>
    </row>
    <row r="2926" spans="11:11">
      <c r="K2926" s="3">
        <v>233</v>
      </c>
    </row>
    <row r="2927" spans="11:11">
      <c r="K2927" s="3">
        <v>233</v>
      </c>
    </row>
    <row r="2928" spans="11:11">
      <c r="K2928" s="3">
        <v>233</v>
      </c>
    </row>
    <row r="2929" spans="11:11">
      <c r="K2929" s="3">
        <v>233</v>
      </c>
    </row>
    <row r="2930" spans="11:11">
      <c r="K2930" s="3">
        <v>234</v>
      </c>
    </row>
    <row r="2931" spans="11:11">
      <c r="K2931" s="3">
        <v>234</v>
      </c>
    </row>
    <row r="2932" spans="11:11">
      <c r="K2932" s="3">
        <v>225</v>
      </c>
    </row>
    <row r="2933" spans="11:11">
      <c r="K2933" s="3">
        <v>225</v>
      </c>
    </row>
    <row r="2934" spans="11:11">
      <c r="K2934" s="3">
        <v>225</v>
      </c>
    </row>
    <row r="2935" spans="11:11">
      <c r="K2935" s="3">
        <v>225</v>
      </c>
    </row>
    <row r="2936" spans="11:11">
      <c r="K2936" s="3">
        <v>225</v>
      </c>
    </row>
    <row r="2937" spans="11:11">
      <c r="K2937" s="3">
        <v>232</v>
      </c>
    </row>
    <row r="2938" spans="11:11">
      <c r="K2938" s="3">
        <v>232</v>
      </c>
    </row>
    <row r="3035" spans="11:11">
      <c r="K3035" s="3">
        <v>536</v>
      </c>
    </row>
    <row r="3036" spans="11:11">
      <c r="K3036" s="3">
        <v>536</v>
      </c>
    </row>
    <row r="3037" spans="11:11">
      <c r="K3037" s="3">
        <v>536</v>
      </c>
    </row>
    <row r="3038" spans="11:11">
      <c r="K3038" s="3">
        <v>536</v>
      </c>
    </row>
    <row r="3073" spans="11:11">
      <c r="K3073" s="3">
        <v>2851</v>
      </c>
    </row>
    <row r="3074" spans="11:11">
      <c r="K3074" s="3">
        <v>3123</v>
      </c>
    </row>
    <row r="3075" spans="11:11">
      <c r="K3075" s="3">
        <v>242</v>
      </c>
    </row>
    <row r="3076" spans="11:11">
      <c r="K3076" s="3">
        <v>244</v>
      </c>
    </row>
    <row r="3077" spans="11:11">
      <c r="K3077" s="3" t="s">
        <v>0</v>
      </c>
    </row>
    <row r="3078" spans="11:11">
      <c r="K3078" s="3">
        <v>416</v>
      </c>
    </row>
    <row r="3079" spans="11:11">
      <c r="K3079" s="3">
        <v>1443</v>
      </c>
    </row>
    <row r="3080" spans="11:11">
      <c r="K3080" s="3">
        <v>465</v>
      </c>
    </row>
  </sheetData>
  <conditionalFormatting sqref="F204">
    <cfRule type="duplicateValues" dxfId="244" priority="247"/>
  </conditionalFormatting>
  <conditionalFormatting sqref="F205">
    <cfRule type="duplicateValues" dxfId="243" priority="246"/>
  </conditionalFormatting>
  <conditionalFormatting sqref="I204">
    <cfRule type="duplicateValues" dxfId="242" priority="245"/>
  </conditionalFormatting>
  <conditionalFormatting sqref="I205">
    <cfRule type="duplicateValues" dxfId="241" priority="244"/>
  </conditionalFormatting>
  <conditionalFormatting sqref="L218">
    <cfRule type="duplicateValues" dxfId="240" priority="177"/>
    <cfRule type="duplicateValues" dxfId="239" priority="178"/>
    <cfRule type="duplicateValues" dxfId="238" priority="179"/>
    <cfRule type="duplicateValues" dxfId="237" priority="180"/>
    <cfRule type="duplicateValues" dxfId="236" priority="181"/>
    <cfRule type="duplicateValues" dxfId="235" priority="182"/>
    <cfRule type="duplicateValues" dxfId="234" priority="183"/>
    <cfRule type="duplicateValues" dxfId="233" priority="184"/>
    <cfRule type="duplicateValues" dxfId="232" priority="227"/>
    <cfRule type="duplicateValues" dxfId="231" priority="228"/>
    <cfRule type="duplicateValues" dxfId="230" priority="229"/>
    <cfRule type="duplicateValues" dxfId="229" priority="230"/>
    <cfRule type="duplicateValues" dxfId="228" priority="231"/>
    <cfRule type="duplicateValues" dxfId="227" priority="232"/>
    <cfRule type="duplicateValues" dxfId="226" priority="233"/>
    <cfRule type="duplicateValues" dxfId="225" priority="234"/>
    <cfRule type="duplicateValues" dxfId="224" priority="235"/>
    <cfRule type="duplicateValues" dxfId="223" priority="236"/>
    <cfRule type="duplicateValues" dxfId="222" priority="237"/>
    <cfRule type="duplicateValues" dxfId="221" priority="238"/>
    <cfRule type="duplicateValues" dxfId="220" priority="239"/>
    <cfRule type="duplicateValues" dxfId="219" priority="240"/>
    <cfRule type="duplicateValues" dxfId="218" priority="241"/>
    <cfRule type="duplicateValues" dxfId="217" priority="242"/>
    <cfRule type="duplicateValues" dxfId="216" priority="243"/>
  </conditionalFormatting>
  <conditionalFormatting sqref="L222">
    <cfRule type="duplicateValues" dxfId="215" priority="68"/>
    <cfRule type="duplicateValues" dxfId="214" priority="69"/>
    <cfRule type="duplicateValues" dxfId="213" priority="70"/>
    <cfRule type="duplicateValues" dxfId="212" priority="71"/>
    <cfRule type="duplicateValues" dxfId="211" priority="72"/>
    <cfRule type="duplicateValues" dxfId="210" priority="73"/>
    <cfRule type="duplicateValues" dxfId="209" priority="74"/>
    <cfRule type="duplicateValues" dxfId="208" priority="75"/>
    <cfRule type="duplicateValues" dxfId="207" priority="97"/>
    <cfRule type="duplicateValues" dxfId="206" priority="98"/>
    <cfRule type="duplicateValues" dxfId="205" priority="99"/>
    <cfRule type="duplicateValues" dxfId="204" priority="100"/>
    <cfRule type="duplicateValues" dxfId="203" priority="101"/>
    <cfRule type="duplicateValues" dxfId="202" priority="102"/>
    <cfRule type="duplicateValues" dxfId="201" priority="103"/>
    <cfRule type="duplicateValues" dxfId="200" priority="104"/>
    <cfRule type="duplicateValues" dxfId="199" priority="105"/>
    <cfRule type="duplicateValues" dxfId="198" priority="106"/>
    <cfRule type="duplicateValues" dxfId="197" priority="107"/>
    <cfRule type="duplicateValues" dxfId="196" priority="108"/>
    <cfRule type="duplicateValues" dxfId="195" priority="109"/>
    <cfRule type="duplicateValues" dxfId="194" priority="110"/>
    <cfRule type="duplicateValues" dxfId="193" priority="111"/>
    <cfRule type="duplicateValues" dxfId="192" priority="112"/>
    <cfRule type="duplicateValues" dxfId="191" priority="113"/>
  </conditionalFormatting>
  <conditionalFormatting sqref="L224">
    <cfRule type="duplicateValues" dxfId="190" priority="206"/>
    <cfRule type="duplicateValues" dxfId="189" priority="207"/>
    <cfRule type="duplicateValues" dxfId="188" priority="208"/>
    <cfRule type="duplicateValues" dxfId="187" priority="209"/>
    <cfRule type="duplicateValues" dxfId="186" priority="210"/>
    <cfRule type="duplicateValues" dxfId="185" priority="211"/>
    <cfRule type="duplicateValues" dxfId="184" priority="212"/>
    <cfRule type="duplicateValues" dxfId="183" priority="213"/>
    <cfRule type="duplicateValues" dxfId="182" priority="214"/>
    <cfRule type="duplicateValues" dxfId="181" priority="215"/>
    <cfRule type="duplicateValues" dxfId="180" priority="216"/>
    <cfRule type="duplicateValues" dxfId="179" priority="217"/>
    <cfRule type="duplicateValues" dxfId="178" priority="218"/>
    <cfRule type="duplicateValues" dxfId="177" priority="219"/>
    <cfRule type="duplicateValues" dxfId="176" priority="220"/>
    <cfRule type="duplicateValues" dxfId="175" priority="221"/>
    <cfRule type="duplicateValues" dxfId="174" priority="222"/>
    <cfRule type="duplicateValues" dxfId="173" priority="223"/>
    <cfRule type="duplicateValues" dxfId="172" priority="224"/>
    <cfRule type="duplicateValues" dxfId="171" priority="225"/>
    <cfRule type="duplicateValues" dxfId="170" priority="226"/>
  </conditionalFormatting>
  <conditionalFormatting sqref="L225:L255">
    <cfRule type="duplicateValues" dxfId="169" priority="185"/>
    <cfRule type="duplicateValues" dxfId="168" priority="186"/>
    <cfRule type="duplicateValues" dxfId="167" priority="187"/>
    <cfRule type="duplicateValues" dxfId="166" priority="188"/>
    <cfRule type="duplicateValues" dxfId="165" priority="189"/>
    <cfRule type="duplicateValues" dxfId="164" priority="190"/>
    <cfRule type="duplicateValues" dxfId="163" priority="191"/>
    <cfRule type="duplicateValues" dxfId="162" priority="192"/>
    <cfRule type="duplicateValues" dxfId="161" priority="193"/>
    <cfRule type="duplicateValues" dxfId="160" priority="194"/>
    <cfRule type="duplicateValues" dxfId="159" priority="195"/>
    <cfRule type="duplicateValues" dxfId="158" priority="196"/>
    <cfRule type="duplicateValues" dxfId="157" priority="197"/>
    <cfRule type="duplicateValues" dxfId="156" priority="198"/>
    <cfRule type="duplicateValues" dxfId="155" priority="199"/>
    <cfRule type="duplicateValues" dxfId="154" priority="200"/>
    <cfRule type="duplicateValues" dxfId="153" priority="201"/>
    <cfRule type="duplicateValues" dxfId="152" priority="202"/>
    <cfRule type="duplicateValues" dxfId="151" priority="203"/>
    <cfRule type="duplicateValues" dxfId="150" priority="204"/>
    <cfRule type="duplicateValues" dxfId="149" priority="205"/>
  </conditionalFormatting>
  <conditionalFormatting sqref="L227:L228">
    <cfRule type="duplicateValues" dxfId="148" priority="76"/>
    <cfRule type="duplicateValues" dxfId="147" priority="77"/>
    <cfRule type="duplicateValues" dxfId="146" priority="78"/>
    <cfRule type="duplicateValues" dxfId="145" priority="79"/>
    <cfRule type="duplicateValues" dxfId="144" priority="80"/>
    <cfRule type="duplicateValues" dxfId="143" priority="81"/>
    <cfRule type="duplicateValues" dxfId="142" priority="82"/>
    <cfRule type="duplicateValues" dxfId="141" priority="83"/>
    <cfRule type="duplicateValues" dxfId="140" priority="84"/>
    <cfRule type="duplicateValues" dxfId="139" priority="85"/>
    <cfRule type="duplicateValues" dxfId="138" priority="86"/>
    <cfRule type="duplicateValues" dxfId="137" priority="87"/>
    <cfRule type="duplicateValues" dxfId="136" priority="88"/>
    <cfRule type="duplicateValues" dxfId="135" priority="89"/>
    <cfRule type="duplicateValues" dxfId="134" priority="90"/>
    <cfRule type="duplicateValues" dxfId="133" priority="91"/>
    <cfRule type="duplicateValues" dxfId="132" priority="92"/>
    <cfRule type="duplicateValues" dxfId="131" priority="93"/>
    <cfRule type="duplicateValues" dxfId="130" priority="94"/>
    <cfRule type="duplicateValues" dxfId="129" priority="95"/>
    <cfRule type="duplicateValues" dxfId="128" priority="96"/>
  </conditionalFormatting>
  <conditionalFormatting sqref="L227:L229">
    <cfRule type="duplicateValues" dxfId="127" priority="156"/>
    <cfRule type="duplicateValues" dxfId="126" priority="157"/>
    <cfRule type="duplicateValues" dxfId="125" priority="158"/>
    <cfRule type="duplicateValues" dxfId="124" priority="159"/>
    <cfRule type="duplicateValues" dxfId="123" priority="160"/>
    <cfRule type="duplicateValues" dxfId="122" priority="161"/>
    <cfRule type="duplicateValues" dxfId="121" priority="162"/>
    <cfRule type="duplicateValues" dxfId="120" priority="163"/>
    <cfRule type="duplicateValues" dxfId="119" priority="164"/>
    <cfRule type="duplicateValues" dxfId="118" priority="165"/>
    <cfRule type="duplicateValues" dxfId="117" priority="166"/>
    <cfRule type="duplicateValues" dxfId="116" priority="167"/>
    <cfRule type="duplicateValues" dxfId="115" priority="168"/>
    <cfRule type="duplicateValues" dxfId="114" priority="169"/>
    <cfRule type="duplicateValues" dxfId="113" priority="170"/>
    <cfRule type="duplicateValues" dxfId="112" priority="171"/>
    <cfRule type="duplicateValues" dxfId="111" priority="172"/>
    <cfRule type="duplicateValues" dxfId="110" priority="173"/>
    <cfRule type="duplicateValues" dxfId="109" priority="174"/>
    <cfRule type="duplicateValues" dxfId="108" priority="175"/>
    <cfRule type="duplicateValues" dxfId="107" priority="176"/>
  </conditionalFormatting>
  <conditionalFormatting sqref="L230:L231">
    <cfRule type="duplicateValues" dxfId="106" priority="114"/>
    <cfRule type="duplicateValues" dxfId="105" priority="115"/>
    <cfRule type="duplicateValues" dxfId="104" priority="116"/>
    <cfRule type="duplicateValues" dxfId="103" priority="117"/>
    <cfRule type="duplicateValues" dxfId="102" priority="118"/>
    <cfRule type="duplicateValues" dxfId="101" priority="119"/>
    <cfRule type="duplicateValues" dxfId="100" priority="120"/>
    <cfRule type="duplicateValues" dxfId="99" priority="121"/>
    <cfRule type="duplicateValues" dxfId="98" priority="122"/>
    <cfRule type="duplicateValues" dxfId="97" priority="123"/>
    <cfRule type="duplicateValues" dxfId="96" priority="124"/>
    <cfRule type="duplicateValues" dxfId="95" priority="125"/>
    <cfRule type="duplicateValues" dxfId="94" priority="126"/>
    <cfRule type="duplicateValues" dxfId="93" priority="127"/>
    <cfRule type="duplicateValues" dxfId="92" priority="128"/>
    <cfRule type="duplicateValues" dxfId="91" priority="129"/>
    <cfRule type="duplicateValues" dxfId="90" priority="130"/>
    <cfRule type="duplicateValues" dxfId="89" priority="131"/>
    <cfRule type="duplicateValues" dxfId="88" priority="132"/>
    <cfRule type="duplicateValues" dxfId="87" priority="133"/>
    <cfRule type="duplicateValues" dxfId="86" priority="134"/>
  </conditionalFormatting>
  <conditionalFormatting sqref="L231:L232">
    <cfRule type="duplicateValues" dxfId="85" priority="135"/>
    <cfRule type="duplicateValues" dxfId="84" priority="136"/>
    <cfRule type="duplicateValues" dxfId="83" priority="137"/>
    <cfRule type="duplicateValues" dxfId="82" priority="138"/>
    <cfRule type="duplicateValues" dxfId="81" priority="139"/>
    <cfRule type="duplicateValues" dxfId="80" priority="140"/>
    <cfRule type="duplicateValues" dxfId="79" priority="141"/>
    <cfRule type="duplicateValues" dxfId="78" priority="142"/>
    <cfRule type="duplicateValues" dxfId="77" priority="143"/>
    <cfRule type="duplicateValues" dxfId="76" priority="144"/>
    <cfRule type="duplicateValues" dxfId="75" priority="145"/>
    <cfRule type="duplicateValues" dxfId="74" priority="146"/>
    <cfRule type="duplicateValues" dxfId="73" priority="147"/>
    <cfRule type="duplicateValues" dxfId="72" priority="148"/>
    <cfRule type="duplicateValues" dxfId="71" priority="149"/>
    <cfRule type="duplicateValues" dxfId="70" priority="150"/>
    <cfRule type="duplicateValues" dxfId="69" priority="151"/>
    <cfRule type="duplicateValues" dxfId="68" priority="152"/>
    <cfRule type="duplicateValues" dxfId="67" priority="153"/>
    <cfRule type="duplicateValues" dxfId="66" priority="154"/>
    <cfRule type="duplicateValues" dxfId="65" priority="155"/>
  </conditionalFormatting>
  <conditionalFormatting sqref="L232:L234">
    <cfRule type="duplicateValues" dxfId="64" priority="5"/>
    <cfRule type="duplicateValues" dxfId="63" priority="6"/>
    <cfRule type="duplicateValues" dxfId="62" priority="7"/>
    <cfRule type="duplicateValues" dxfId="61" priority="8"/>
    <cfRule type="duplicateValues" dxfId="60" priority="9"/>
    <cfRule type="duplicateValues" dxfId="59" priority="10"/>
    <cfRule type="duplicateValues" dxfId="58" priority="11"/>
    <cfRule type="duplicateValues" dxfId="57" priority="12"/>
    <cfRule type="duplicateValues" dxfId="56" priority="13"/>
    <cfRule type="duplicateValues" dxfId="55" priority="14"/>
    <cfRule type="duplicateValues" dxfId="54" priority="15"/>
    <cfRule type="duplicateValues" dxfId="53" priority="16"/>
    <cfRule type="duplicateValues" dxfId="52" priority="17"/>
    <cfRule type="duplicateValues" dxfId="51" priority="18"/>
    <cfRule type="duplicateValues" dxfId="50" priority="19"/>
    <cfRule type="duplicateValues" dxfId="49" priority="20"/>
    <cfRule type="duplicateValues" dxfId="48" priority="21"/>
    <cfRule type="duplicateValues" dxfId="47" priority="22"/>
    <cfRule type="duplicateValues" dxfId="46" priority="23"/>
    <cfRule type="duplicateValues" dxfId="45" priority="24"/>
    <cfRule type="duplicateValues" dxfId="44" priority="25"/>
    <cfRule type="duplicateValues" dxfId="43" priority="26"/>
    <cfRule type="duplicateValues" dxfId="42" priority="27"/>
    <cfRule type="duplicateValues" dxfId="41" priority="28"/>
    <cfRule type="duplicateValues" dxfId="40" priority="29"/>
    <cfRule type="duplicateValues" dxfId="39" priority="30"/>
    <cfRule type="duplicateValues" dxfId="38" priority="31"/>
    <cfRule type="duplicateValues" dxfId="37" priority="32"/>
    <cfRule type="duplicateValues" dxfId="36" priority="33"/>
    <cfRule type="duplicateValues" dxfId="35" priority="34"/>
    <cfRule type="duplicateValues" dxfId="34" priority="35"/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  <cfRule type="duplicateValues" dxfId="27" priority="42"/>
    <cfRule type="duplicateValues" dxfId="26" priority="43"/>
    <cfRule type="duplicateValues" dxfId="25" priority="44"/>
    <cfRule type="duplicateValues" dxfId="24" priority="45"/>
    <cfRule type="duplicateValues" dxfId="23" priority="46"/>
  </conditionalFormatting>
  <conditionalFormatting sqref="L235">
    <cfRule type="duplicateValues" dxfId="22" priority="47"/>
    <cfRule type="duplicateValues" dxfId="21" priority="48"/>
    <cfRule type="duplicateValues" dxfId="20" priority="49"/>
    <cfRule type="duplicateValues" dxfId="19" priority="50"/>
    <cfRule type="duplicateValues" dxfId="18" priority="51"/>
    <cfRule type="duplicateValues" dxfId="17" priority="52"/>
    <cfRule type="duplicateValues" dxfId="16" priority="53"/>
    <cfRule type="duplicateValues" dxfId="15" priority="54"/>
    <cfRule type="duplicateValues" dxfId="14" priority="55"/>
    <cfRule type="duplicateValues" dxfId="13" priority="56"/>
    <cfRule type="duplicateValues" dxfId="12" priority="57"/>
    <cfRule type="duplicateValues" dxfId="11" priority="58"/>
    <cfRule type="duplicateValues" dxfId="10" priority="59"/>
    <cfRule type="duplicateValues" dxfId="9" priority="60"/>
    <cfRule type="duplicateValues" dxfId="8" priority="61"/>
    <cfRule type="duplicateValues" dxfId="7" priority="62"/>
    <cfRule type="duplicateValues" dxfId="6" priority="63"/>
    <cfRule type="duplicateValues" dxfId="5" priority="64"/>
    <cfRule type="duplicateValues" dxfId="4" priority="65"/>
    <cfRule type="duplicateValues" dxfId="3" priority="66"/>
    <cfRule type="duplicateValues" dxfId="2" priority="67"/>
  </conditionalFormatting>
  <conditionalFormatting sqref="N85:O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{BB375014-2F9A-405F-99FD-5AD3A6627223}</x14:id>
        </ext>
      </extLst>
    </cfRule>
  </conditionalFormatting>
  <conditionalFormatting sqref="N100:O10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{68890628-BE01-4B23-AD80-7AD66BFE0098}</x14:id>
        </ext>
      </extLst>
    </cfRule>
  </conditionalFormatting>
  <conditionalFormatting sqref="N128:O1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{A7676F2F-B457-417B-935D-92B82C460EF1}</x14:id>
        </ext>
      </extLst>
    </cfRule>
  </conditionalFormatting>
  <conditionalFormatting sqref="O1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{65A98C8B-7889-4972-9408-3F3E4068057B}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375014-2F9A-405F-99FD-5AD3A6627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N85:O85</xm:sqref>
        </x14:conditionalFormatting>
        <x14:conditionalFormatting xmlns:xm="http://schemas.microsoft.com/office/excel/2006/main">
          <x14:cfRule type="dataBar" id="{68890628-BE01-4B23-AD80-7AD66BFE00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N100:O100</xm:sqref>
        </x14:conditionalFormatting>
        <x14:conditionalFormatting xmlns:xm="http://schemas.microsoft.com/office/excel/2006/main">
          <x14:cfRule type="dataBar" id="{A7676F2F-B457-417B-935D-92B82C460E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N128:O128</xm:sqref>
        </x14:conditionalFormatting>
        <x14:conditionalFormatting xmlns:xm="http://schemas.microsoft.com/office/excel/2006/main">
          <x14:cfRule type="dataBar" id="{65A98C8B-7889-4972-9408-3F3E406805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mài đo</vt:lpstr>
      <vt:lpstr>ĐỊNH MỨC sx1</vt:lpstr>
      <vt:lpstr>Định mức XLBV</vt:lpstr>
      <vt:lpstr>Gia công</vt:lpstr>
      <vt:lpstr>Nhân sự</vt:lpstr>
      <vt:lpstr>'Định mức XLBV'!Print_Area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 Production Dept 2</dc:creator>
  <cp:lastModifiedBy>Chief Production Dept 2</cp:lastModifiedBy>
  <dcterms:created xsi:type="dcterms:W3CDTF">2026-07-22T09:15:11Z</dcterms:created>
  <dcterms:modified xsi:type="dcterms:W3CDTF">2026-07-23T04:46:12Z</dcterms:modified>
</cp:coreProperties>
</file>