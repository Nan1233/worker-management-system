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/>
  </bookViews>
  <sheets>
    <sheet name="Báo cáo công nhân" sheetId="1" r:id="rId1"/>
  </sheets>
  <definedNames>
    <definedName name="_xlnm._FilterDatabase" localSheetId="0" hidden="1">'Báo cáo công nhân'!$A$3:$AV$2366</definedName>
    <definedName name="_xlnm.Print_Titles" localSheetId="0">'Báo cáo công nhân'!$1:$3</definedName>
    <definedName name="_xlnm.Print_Area" localSheetId="0">'Báo cáo công nhân'!$A$1:$AV$2366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<sst xmlns="http://schemas.openxmlformats.org/spreadsheetml/2006/main" count="7222" uniqueCount="451">
  <si>
    <t>STT</t>
  </si>
  <si>
    <t>Mã NV</t>
  </si>
  <si>
    <t>Tên</t>
  </si>
  <si>
    <t>Máy</t>
  </si>
  <si>
    <t>Ca</t>
  </si>
  <si>
    <t>Thời gian làm việc</t>
  </si>
  <si>
    <t>Tổng thời gian trừ giờ</t>
  </si>
  <si>
    <t>Thiếu sản lượng</t>
  </si>
  <si>
    <t>Bật máy, xét máy</t>
  </si>
  <si>
    <t>Chuyển mã</t>
  </si>
  <si>
    <t>Chỉnh máy</t>
  </si>
  <si>
    <t>Chờ chỉnh máy</t>
  </si>
  <si>
    <t>Mất điện</t>
  </si>
  <si>
    <t>Mất khí</t>
  </si>
  <si>
    <t>Chờ hàng</t>
  </si>
  <si>
    <t>bảo dưỡng máy</t>
  </si>
  <si>
    <t>Nghỉ giải lao</t>
  </si>
  <si>
    <t>Giao ca</t>
  </si>
  <si>
    <t>Dừng máy đi hỗ trợ</t>
  </si>
  <si>
    <t>Giặt cs/cân cs, tuốt-tái pp, GL</t>
  </si>
  <si>
    <t>5s</t>
  </si>
  <si>
    <t>Học việc, đào tạo</t>
  </si>
  <si>
    <t>Đi muộn về sớm</t>
  </si>
  <si>
    <t>SP</t>
  </si>
  <si>
    <t>Định mức</t>
  </si>
  <si>
    <t>TT</t>
  </si>
  <si>
    <t>%TT</t>
  </si>
  <si>
    <t>OK</t>
  </si>
  <si>
    <t>Tổng NG</t>
  </si>
  <si>
    <t>KQD</t>
  </si>
  <si>
    <t>Vỡ cao su</t>
  </si>
  <si>
    <t>K xước cong gãy</t>
  </si>
  <si>
    <t>Cao su xoay</t>
  </si>
  <si>
    <t>Cắt không đứt</t>
  </si>
  <si>
    <t>bavia</t>
  </si>
  <si>
    <t>CSH</t>
  </si>
  <si>
    <t>ppcm</t>
  </si>
  <si>
    <t>KT lớn</t>
  </si>
  <si>
    <t>KT nhỏ</t>
  </si>
  <si>
    <t>LCS</t>
  </si>
  <si>
    <t>cắt lẹm</t>
  </si>
  <si>
    <t>rách nvl</t>
  </si>
  <si>
    <t>Chân ngắn dài</t>
  </si>
  <si>
    <t>sót via</t>
  </si>
  <si>
    <t>fure trục</t>
  </si>
  <si>
    <t>lẫn cs</t>
  </si>
  <si>
    <t>bavia cắt hụt</t>
  </si>
  <si>
    <t>thiếu cao su</t>
  </si>
  <si>
    <t>Đinh Thị Thùy</t>
  </si>
  <si>
    <t>c12</t>
  </si>
  <si>
    <t>A</t>
  </si>
  <si>
    <t>c129</t>
  </si>
  <si>
    <t>Đinh Thị Duân</t>
  </si>
  <si>
    <t>c4</t>
  </si>
  <si>
    <t>cắt tái 4 cục</t>
  </si>
  <si>
    <t>c8um</t>
  </si>
  <si>
    <t>pk</t>
  </si>
  <si>
    <t>Lường Anh Thế</t>
  </si>
  <si>
    <t>8um</t>
  </si>
  <si>
    <t>Lò Thị Mư</t>
  </si>
  <si>
    <t>XN</t>
  </si>
  <si>
    <t>Giàng Seo Diêu</t>
  </si>
  <si>
    <t>15u-t</t>
  </si>
  <si>
    <t>15u-l</t>
  </si>
  <si>
    <t>Lò Thị Hạnh</t>
  </si>
  <si>
    <t>Đinh Thị Tân</t>
  </si>
  <si>
    <t>Vì Văn Sĩ</t>
  </si>
  <si>
    <t>8uy</t>
  </si>
  <si>
    <t>Mua Mí Già</t>
  </si>
  <si>
    <t>gfm</t>
  </si>
  <si>
    <t>Giàng A Váng</t>
  </si>
  <si>
    <t>8W6</t>
  </si>
  <si>
    <t>Vàng Văn Hạnh</t>
  </si>
  <si>
    <t>c9</t>
  </si>
  <si>
    <t>c6494</t>
  </si>
  <si>
    <t>Mùi Văn Thanh</t>
  </si>
  <si>
    <t>c5</t>
  </si>
  <si>
    <t>cgyx-auto</t>
  </si>
  <si>
    <t>c7</t>
  </si>
  <si>
    <t>c5770-auto</t>
  </si>
  <si>
    <t>Điêu Chính Huynh</t>
  </si>
  <si>
    <t>c2</t>
  </si>
  <si>
    <t>c6486</t>
  </si>
  <si>
    <t>c11</t>
  </si>
  <si>
    <t>c2556-auto</t>
  </si>
  <si>
    <t>Mùi Văn Lâm</t>
  </si>
  <si>
    <t>Mùi Văn Chường</t>
  </si>
  <si>
    <t>Và Y Mái</t>
  </si>
  <si>
    <t>Giàng A Tuấn</t>
  </si>
  <si>
    <t>GIÀNG MÍ VƯ</t>
  </si>
  <si>
    <t>6488-l</t>
  </si>
  <si>
    <t>Sùng Thị Mua</t>
  </si>
  <si>
    <t>Đinh Thị Nhi</t>
  </si>
  <si>
    <t>học lồng</t>
  </si>
  <si>
    <t>Vàng Thị Quỳnh Châu</t>
  </si>
  <si>
    <t>6486-m</t>
  </si>
  <si>
    <t>6494-m</t>
  </si>
  <si>
    <t>Xồng Y hiền</t>
  </si>
  <si>
    <t>6490-l</t>
  </si>
  <si>
    <t>Lò Văn Thành</t>
  </si>
  <si>
    <t>t-6488</t>
  </si>
  <si>
    <t>t-6490</t>
  </si>
  <si>
    <t>t-6494</t>
  </si>
  <si>
    <t>ltx</t>
  </si>
  <si>
    <t>bavia 5770</t>
  </si>
  <si>
    <t>df</t>
  </si>
  <si>
    <t>Vì Thị Liệu</t>
  </si>
  <si>
    <t>tuốt pp + KTCD</t>
  </si>
  <si>
    <t>Và Thị Hoa</t>
  </si>
  <si>
    <t>Giàng A Nọ</t>
  </si>
  <si>
    <t>Đặng Trung Hiếu</t>
  </si>
  <si>
    <t>La Văn La</t>
  </si>
  <si>
    <t>c13</t>
  </si>
  <si>
    <t>C</t>
  </si>
  <si>
    <t>CD02N23</t>
  </si>
  <si>
    <t>Hoàng Văn Tùng</t>
  </si>
  <si>
    <t>C12</t>
  </si>
  <si>
    <t>C129</t>
  </si>
  <si>
    <t>Nông Anh Tú</t>
  </si>
  <si>
    <t>Chương Văn Hôn</t>
  </si>
  <si>
    <t>8UY</t>
  </si>
  <si>
    <t>Hoàng Thị Hoan</t>
  </si>
  <si>
    <t>KTCĐ</t>
  </si>
  <si>
    <t>Hoàng Văn Án</t>
  </si>
  <si>
    <t>Quàng Thị Tiến</t>
  </si>
  <si>
    <t>Hoàng Thị Kim Tin</t>
  </si>
  <si>
    <t>PK</t>
  </si>
  <si>
    <t>LDGFM</t>
  </si>
  <si>
    <t>Hà Tiến Thành</t>
  </si>
  <si>
    <t>c1</t>
  </si>
  <si>
    <t>a</t>
  </si>
  <si>
    <t>C8235</t>
  </si>
  <si>
    <t>Đinh THị Vân</t>
  </si>
  <si>
    <t>Phạm Văn Hào</t>
  </si>
  <si>
    <t>Đinh Văn Lưu</t>
  </si>
  <si>
    <t>Lường Văn Huyên</t>
  </si>
  <si>
    <t>c8235</t>
  </si>
  <si>
    <t>Bùi Văn Nhượng</t>
  </si>
  <si>
    <t>c8</t>
  </si>
  <si>
    <t>c6488</t>
  </si>
  <si>
    <t>xn</t>
  </si>
  <si>
    <t>Vàng Mí Lúa</t>
  </si>
  <si>
    <t>Vàng A Linh</t>
  </si>
  <si>
    <t>Sùng Mí Say</t>
  </si>
  <si>
    <t>Vàng Mí Tủa</t>
  </si>
  <si>
    <t>Lý A Mà</t>
  </si>
  <si>
    <t>Mùi Thị Ngọc Diệp</t>
  </si>
  <si>
    <t>Mùi Văn Vặt</t>
  </si>
  <si>
    <t>Đinh Thị Nga</t>
  </si>
  <si>
    <t>Vì Thị Thiếu</t>
  </si>
  <si>
    <t>vàng a đon</t>
  </si>
  <si>
    <t>Vàng Mười Phành</t>
  </si>
  <si>
    <t>t-6486</t>
  </si>
  <si>
    <t>Nguyễn Thị Ngân</t>
  </si>
  <si>
    <t>Cầm Thị Viến</t>
  </si>
  <si>
    <t>ktcđ</t>
  </si>
  <si>
    <t>C1</t>
  </si>
  <si>
    <t>C5</t>
  </si>
  <si>
    <t>CGYX-AUTO</t>
  </si>
  <si>
    <t>C7</t>
  </si>
  <si>
    <t>C5770-AUTO</t>
  </si>
  <si>
    <t>C6</t>
  </si>
  <si>
    <t>C2</t>
  </si>
  <si>
    <t>C6486</t>
  </si>
  <si>
    <t>C9</t>
  </si>
  <si>
    <t>C6494</t>
  </si>
  <si>
    <t>C8</t>
  </si>
  <si>
    <t>C6488</t>
  </si>
  <si>
    <t>Đinh Thị Lâm Diệp</t>
  </si>
  <si>
    <t>HỌC LỒNG</t>
  </si>
  <si>
    <t>6494-M</t>
  </si>
  <si>
    <t>Mùa Cang Dinh</t>
  </si>
  <si>
    <t>6490-L</t>
  </si>
  <si>
    <t>Vừ A Nghệ</t>
  </si>
  <si>
    <t>6488-L</t>
  </si>
  <si>
    <t>K096</t>
  </si>
  <si>
    <t>Phùng Thị Thim</t>
  </si>
  <si>
    <t>Lầu Thị Na</t>
  </si>
  <si>
    <t>T-766</t>
  </si>
  <si>
    <t>Bùi Tiến Thiệp</t>
  </si>
  <si>
    <t>6486-M</t>
  </si>
  <si>
    <t>long</t>
  </si>
  <si>
    <t>Vì Văn Long</t>
  </si>
  <si>
    <t>học lăn</t>
  </si>
  <si>
    <t>tuốt pp + hướng dẫn ng mới</t>
  </si>
  <si>
    <t>t-766</t>
  </si>
  <si>
    <t>ld6773</t>
  </si>
  <si>
    <t>k094</t>
  </si>
  <si>
    <t>Lê Thị Quyền</t>
  </si>
  <si>
    <t>Đinh Thị Cúc</t>
  </si>
  <si>
    <t>cd02n23</t>
  </si>
  <si>
    <t>kct</t>
  </si>
  <si>
    <t>9295-l</t>
  </si>
  <si>
    <t>9295-t</t>
  </si>
  <si>
    <t>8w6</t>
  </si>
  <si>
    <t>Vừ A Nánh</t>
  </si>
  <si>
    <t>9295-T</t>
  </si>
  <si>
    <t>9295-L</t>
  </si>
  <si>
    <t>Giàng Thị Đông</t>
  </si>
  <si>
    <t>8UM</t>
  </si>
  <si>
    <t>2SS</t>
  </si>
  <si>
    <t>c6495</t>
  </si>
  <si>
    <t>c3</t>
  </si>
  <si>
    <t xml:space="preserve">học lồng tay </t>
  </si>
  <si>
    <t>6270-lt</t>
  </si>
  <si>
    <t>MẠNH</t>
  </si>
  <si>
    <t>d02n3f</t>
  </si>
  <si>
    <t>c6</t>
  </si>
  <si>
    <t>c6490</t>
  </si>
  <si>
    <t>học cắt</t>
  </si>
  <si>
    <t>c6492</t>
  </si>
  <si>
    <t>k096</t>
  </si>
  <si>
    <t>ld7630</t>
  </si>
  <si>
    <t>D02N23</t>
  </si>
  <si>
    <t>D02N3F</t>
  </si>
  <si>
    <t>C3</t>
  </si>
  <si>
    <t>CD008UY</t>
  </si>
  <si>
    <t>C4</t>
  </si>
  <si>
    <t>C8UM</t>
  </si>
  <si>
    <t>2801-lt</t>
  </si>
  <si>
    <t>c1080</t>
  </si>
  <si>
    <t>check 6490</t>
  </si>
  <si>
    <t>6495-m</t>
  </si>
  <si>
    <t>check 2801</t>
  </si>
  <si>
    <t>xử lý hàng ố bẩn</t>
  </si>
  <si>
    <t>mạnh</t>
  </si>
  <si>
    <t>d02n3c</t>
  </si>
  <si>
    <t>Mạnh</t>
  </si>
  <si>
    <t>6492-m</t>
  </si>
  <si>
    <t>t-6495</t>
  </si>
  <si>
    <t>k114</t>
  </si>
  <si>
    <t>Đỗ Thị Cương</t>
  </si>
  <si>
    <t>15U-T</t>
  </si>
  <si>
    <t>15U-L</t>
  </si>
  <si>
    <t>t-6492</t>
  </si>
  <si>
    <t>tpp</t>
  </si>
  <si>
    <t>ktcd</t>
  </si>
  <si>
    <t>check 6488</t>
  </si>
  <si>
    <t>cd008uy</t>
  </si>
  <si>
    <t>GFM</t>
  </si>
  <si>
    <t>0..67</t>
  </si>
  <si>
    <t>ktcdd</t>
  </si>
  <si>
    <t>c8484</t>
  </si>
  <si>
    <t xml:space="preserve">học </t>
  </si>
  <si>
    <t>học</t>
  </si>
  <si>
    <t>c</t>
  </si>
  <si>
    <t>KCT</t>
  </si>
  <si>
    <t>Bông</t>
  </si>
  <si>
    <t>học lông</t>
  </si>
  <si>
    <t>Dếnh</t>
  </si>
  <si>
    <t>tái cao su</t>
  </si>
  <si>
    <t>c7630</t>
  </si>
  <si>
    <t>Lúa</t>
  </si>
  <si>
    <t>Giàng Thị Lúa</t>
  </si>
  <si>
    <t>Trỉa</t>
  </si>
  <si>
    <t>Vừ A Trỉa</t>
  </si>
  <si>
    <t>Hỗ trợ thôi khô 6495</t>
  </si>
  <si>
    <t>KTCD+tuốt pp</t>
  </si>
  <si>
    <t xml:space="preserve">ktcd </t>
  </si>
  <si>
    <t>KTCD</t>
  </si>
  <si>
    <t>LD9140</t>
  </si>
  <si>
    <t>c6493</t>
  </si>
  <si>
    <t>c6487</t>
  </si>
  <si>
    <t>check 6495</t>
  </si>
  <si>
    <t>C13</t>
  </si>
  <si>
    <t>LD8014</t>
  </si>
  <si>
    <t>XNVN</t>
  </si>
  <si>
    <t>VÔNG</t>
  </si>
  <si>
    <t>DẾNH</t>
  </si>
  <si>
    <t>BÔNG</t>
  </si>
  <si>
    <t>C3301</t>
  </si>
  <si>
    <t xml:space="preserve">xn </t>
  </si>
  <si>
    <t xml:space="preserve">c1 </t>
  </si>
  <si>
    <t>c6485</t>
  </si>
  <si>
    <t>c8234</t>
  </si>
  <si>
    <t>lúa</t>
  </si>
  <si>
    <t>Tuốt pp + KTCD</t>
  </si>
  <si>
    <t>Long</t>
  </si>
  <si>
    <t>c1432</t>
  </si>
  <si>
    <t>Vông</t>
  </si>
  <si>
    <t>Sử-MĐ-HT</t>
  </si>
  <si>
    <t>cao su tái pp</t>
  </si>
  <si>
    <t>d02n23</t>
  </si>
  <si>
    <t>16h</t>
  </si>
  <si>
    <t>C1432</t>
  </si>
  <si>
    <t>6487-l</t>
  </si>
  <si>
    <t>ktcđ + tpp</t>
  </si>
  <si>
    <t>quỳnh qc</t>
  </si>
  <si>
    <t>trân</t>
  </si>
  <si>
    <t>dếnh</t>
  </si>
  <si>
    <t>bông</t>
  </si>
  <si>
    <t>ldgfm</t>
  </si>
  <si>
    <t>c4 tái cao su</t>
  </si>
  <si>
    <t>HỌC CẮT</t>
  </si>
  <si>
    <t>CĂT TEST QC 129</t>
  </si>
  <si>
    <t>t-6487</t>
  </si>
  <si>
    <t>Lê Thị Dung</t>
  </si>
  <si>
    <t>HỌC VIỆC</t>
  </si>
  <si>
    <t>Thào A Tu</t>
  </si>
  <si>
    <t>49CĐT-052</t>
  </si>
  <si>
    <t>Hà Việt Bút</t>
  </si>
  <si>
    <t>SVHỌC VIỆC</t>
  </si>
  <si>
    <t>49CĐT-065</t>
  </si>
  <si>
    <t>Phan Bảo Minh</t>
  </si>
  <si>
    <t>Giàng A Mạnh</t>
  </si>
  <si>
    <t>AQL9276</t>
  </si>
  <si>
    <t>ktvđ</t>
  </si>
  <si>
    <t>kcn</t>
  </si>
  <si>
    <t>49CĐT-056</t>
  </si>
  <si>
    <t>Phạm Trung Hiếu</t>
  </si>
  <si>
    <t>cấp nvl</t>
  </si>
  <si>
    <t>c1090</t>
  </si>
  <si>
    <t>49CĐT-059</t>
  </si>
  <si>
    <t>Phạm Gia Huy</t>
  </si>
  <si>
    <t>cd-hiếu</t>
  </si>
  <si>
    <t>49CK-076</t>
  </si>
  <si>
    <t>Bùi Tuấn Lâm</t>
  </si>
  <si>
    <t>49CĐT-046</t>
  </si>
  <si>
    <t>Đỗ Trung Anh</t>
  </si>
  <si>
    <t>cd-trí</t>
  </si>
  <si>
    <t>49CĐT-049</t>
  </si>
  <si>
    <t>Phạm Gia Bách</t>
  </si>
  <si>
    <t>49CĐT-050</t>
  </si>
  <si>
    <t>Vũ Việt Bách</t>
  </si>
  <si>
    <t>ld9149</t>
  </si>
  <si>
    <t>49CĐT-064</t>
  </si>
  <si>
    <t>Đào Anh Minh</t>
  </si>
  <si>
    <t>cd-minh trí</t>
  </si>
  <si>
    <t>49CK-078</t>
  </si>
  <si>
    <t>Lê Nhật Bảo Long</t>
  </si>
  <si>
    <t>Nguyễn Thị Ngọc Ánh</t>
  </si>
  <si>
    <t>Hoàng Văn Lâm</t>
  </si>
  <si>
    <t>c9149</t>
  </si>
  <si>
    <t>49CĐT-055</t>
  </si>
  <si>
    <t>Nguyễn Đức Hiếu</t>
  </si>
  <si>
    <t>49CĐT-073</t>
  </si>
  <si>
    <t>Nguyễn Ngọc Minh Trí</t>
  </si>
  <si>
    <t>49CK-084</t>
  </si>
  <si>
    <t>Nguyễn Hải Thanh</t>
  </si>
  <si>
    <t>bằng</t>
  </si>
  <si>
    <t>Hà Văn Bằng</t>
  </si>
  <si>
    <t>TUÔTPPKCT</t>
  </si>
  <si>
    <t>c3880-auto</t>
  </si>
  <si>
    <t>Xuất nhập</t>
  </si>
  <si>
    <t>49DLLH1-014</t>
  </si>
  <si>
    <t>Phùng Gia Phát</t>
  </si>
  <si>
    <t>49DLLH1-015</t>
  </si>
  <si>
    <t>Lê Minh Phúc</t>
  </si>
  <si>
    <t>49DLLH1-002</t>
  </si>
  <si>
    <t>Vũ Mạnh Hoàng Anh</t>
  </si>
  <si>
    <t>49ĐL1-028</t>
  </si>
  <si>
    <t>Đỗ Duy Hoàng Dương</t>
  </si>
  <si>
    <t xml:space="preserve"> </t>
  </si>
  <si>
    <t>hà văn bằng</t>
  </si>
  <si>
    <t>49ĐL1-030</t>
  </si>
  <si>
    <t>Bùi Đức Huy</t>
  </si>
  <si>
    <t>cấp liệu mtd</t>
  </si>
  <si>
    <t>49ĐL1-025</t>
  </si>
  <si>
    <t>Đặng Thế Bảo</t>
  </si>
  <si>
    <t>49ĐL1-040</t>
  </si>
  <si>
    <t>Vũ Viết Thái</t>
  </si>
  <si>
    <t>49ĐL1-038</t>
  </si>
  <si>
    <t>Nguyễn Trọng Tấn</t>
  </si>
  <si>
    <t>49ĐL1-026</t>
  </si>
  <si>
    <t>Nguyễn Tiến Công</t>
  </si>
  <si>
    <t>49ĐL1-044</t>
  </si>
  <si>
    <t>Hoàng Minh Tùng</t>
  </si>
  <si>
    <t>tuốt hàng</t>
  </si>
  <si>
    <t>49ĐL1-032</t>
  </si>
  <si>
    <t>Nguyễn Dương Chí Kiên</t>
  </si>
  <si>
    <t>49ĐL1-027</t>
  </si>
  <si>
    <t>Nguyễn Minh Đức</t>
  </si>
  <si>
    <t>49DLLH1-001</t>
  </si>
  <si>
    <t>Nguyễn Đức Anh</t>
  </si>
  <si>
    <t>49DLLH1-022</t>
  </si>
  <si>
    <t>Trần Hoàng Trung</t>
  </si>
  <si>
    <t>49ĐL1-042</t>
  </si>
  <si>
    <t>Hoàng Tuấn Tú</t>
  </si>
  <si>
    <t>Tuốt pp</t>
  </si>
  <si>
    <t>D02N3C</t>
  </si>
  <si>
    <t>CD08UM</t>
  </si>
  <si>
    <t>C9142</t>
  </si>
  <si>
    <t>6489-l</t>
  </si>
  <si>
    <t>t-6489</t>
  </si>
  <si>
    <t>hỗ trợ</t>
  </si>
  <si>
    <t>ld0977</t>
  </si>
  <si>
    <t>c0977</t>
  </si>
  <si>
    <t>T1011</t>
  </si>
  <si>
    <t>Vừ A Dếnh</t>
  </si>
  <si>
    <t>T1012</t>
  </si>
  <si>
    <t>Vàng Thị Bông</t>
  </si>
  <si>
    <t>ld5091</t>
  </si>
  <si>
    <t>ngân</t>
  </si>
  <si>
    <t>Thư</t>
  </si>
  <si>
    <t>hoccắt</t>
  </si>
  <si>
    <t>c9142</t>
  </si>
  <si>
    <t>t1013</t>
  </si>
  <si>
    <t>Giàng A Vông</t>
  </si>
  <si>
    <t>hoọc lồng</t>
  </si>
  <si>
    <t>Quỳnh B</t>
  </si>
  <si>
    <t>Đặng Văn Quỳnh</t>
  </si>
  <si>
    <t>Minh B</t>
  </si>
  <si>
    <t>Bàn Văn Minh</t>
  </si>
  <si>
    <t>Đạt B</t>
  </si>
  <si>
    <t>Đinh Văn Đạt</t>
  </si>
  <si>
    <t>thổi pic up</t>
  </si>
  <si>
    <t>ld9565</t>
  </si>
  <si>
    <t>thư</t>
  </si>
  <si>
    <t>49cđt-065</t>
  </si>
  <si>
    <t>xn + cđ</t>
  </si>
  <si>
    <t>16d</t>
  </si>
  <si>
    <t>sơn 069</t>
  </si>
  <si>
    <t>16D</t>
  </si>
  <si>
    <t>D027U8</t>
  </si>
  <si>
    <t>LDD027U8</t>
  </si>
  <si>
    <t xml:space="preserve">Vi Văn Duy </t>
  </si>
  <si>
    <t>Chướng Văn Tuyền</t>
  </si>
  <si>
    <t>C11</t>
  </si>
  <si>
    <t>C3880-AUTO</t>
  </si>
  <si>
    <t>C1080</t>
  </si>
  <si>
    <t>C6490</t>
  </si>
  <si>
    <t>6495-M</t>
  </si>
  <si>
    <t>Xn+Kiểm kho</t>
  </si>
  <si>
    <t>Mùi Văn Thư</t>
  </si>
  <si>
    <t>d027u8</t>
  </si>
  <si>
    <t>VỀ SỚM ỐM</t>
  </si>
  <si>
    <t xml:space="preserve">tái pp csu </t>
  </si>
  <si>
    <t>MĐ-HT</t>
  </si>
  <si>
    <t>ktcđ+xn</t>
  </si>
  <si>
    <t>quỳnh</t>
  </si>
  <si>
    <t>minh</t>
  </si>
  <si>
    <t>ktcđ + tái pp</t>
  </si>
  <si>
    <t>check 8235 đảo</t>
  </si>
  <si>
    <t>đạt</t>
  </si>
  <si>
    <t>c8uy</t>
  </si>
  <si>
    <t>.</t>
  </si>
  <si>
    <t>LTX</t>
  </si>
  <si>
    <t>cấp liệu máy tự động</t>
  </si>
  <si>
    <t>ktcđ + đào tạo</t>
  </si>
  <si>
    <t>7133-lt</t>
  </si>
  <si>
    <t>c6773</t>
  </si>
  <si>
    <t>B</t>
  </si>
  <si>
    <t>xuất nhập</t>
  </si>
  <si>
    <t>t-6485</t>
  </si>
  <si>
    <t>DF</t>
  </si>
  <si>
    <t>xin nghỉ</t>
  </si>
  <si>
    <t>CẤP LIỆU</t>
  </si>
  <si>
    <t>6485-l</t>
  </si>
  <si>
    <t>HTTT</t>
  </si>
  <si>
    <t>c1657</t>
  </si>
  <si>
    <t>ktcđ cắt + xuất nhập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</si>
</sst>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??_-;_-@_-"/>
  </numFmts>
  <fonts count="26">
    <font>
      <sz val="11"/>
      <color theme="1"/>
      <name val="Calibri"/>
      <charset val="134"/>
      <scheme val="minor"/>
    </font>
    <font>
      <sz val="12"/>
      <name val="Times New Roman"/>
      <charset val="134"/>
    </font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Times New Roman"/>
      <charset val="134"/>
    </font>
    <font>
      <b/>
      <sz val="12"/>
      <name val="Times New Roman"/>
      <charset val="134"/>
    </font>
    <font>
      <sz val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EA8FD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4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5" borderId="11" applyNumberFormat="0" applyAlignment="0" applyProtection="0">
      <alignment vertical="center"/>
    </xf>
    <xf numFmtId="0" fontId="16" fillId="16" borderId="12" applyNumberFormat="0" applyAlignment="0" applyProtection="0">
      <alignment vertical="center"/>
    </xf>
    <xf numFmtId="0" fontId="17" fillId="16" borderId="11" applyNumberFormat="0" applyAlignment="0" applyProtection="0">
      <alignment vertical="center"/>
    </xf>
    <xf numFmtId="0" fontId="18" fillId="17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</cellStyleXfs>
  <cellXfs count="74">
    <xf numFmtId="0" fontId="0" fillId="0" borderId="0" xfId="0"/>
    <xf numFmtId="0" fontId="0" fillId="0" borderId="0" xfId="0" applyBorder="1"/>
    <xf numFmtId="0" fontId="1" fillId="0" borderId="1" xfId="0" applyFont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righ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6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178" fontId="1" fillId="3" borderId="1" xfId="0" applyNumberFormat="1" applyFont="1" applyFill="1" applyBorder="1" applyAlignment="1" applyProtection="1">
      <alignment horizontal="center" vertical="center"/>
      <protection locked="0"/>
    </xf>
    <xf numFmtId="3" fontId="2" fillId="0" borderId="0" xfId="0" applyNumberFormat="1" applyFont="1" applyFill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7" borderId="0" xfId="0" applyFont="1" applyFill="1" applyAlignment="1" applyProtection="1">
      <alignment horizontal="center" vertical="center" wrapText="1"/>
      <protection locked="0"/>
    </xf>
    <xf numFmtId="0" fontId="1" fillId="7" borderId="0" xfId="0" applyFont="1" applyFill="1" applyAlignment="1" applyProtection="1">
      <alignment horizontal="center" vertical="center"/>
      <protection locked="0"/>
    </xf>
    <xf numFmtId="0" fontId="1" fillId="7" borderId="0" xfId="0" applyFont="1" applyFill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vertical="center"/>
      <protection locked="0"/>
    </xf>
    <xf numFmtId="0" fontId="1" fillId="0" borderId="0" xfId="0" applyFont="1" applyAlignment="1" applyProtection="1">
      <alignment vertical="center" wrapText="1"/>
      <protection locked="0"/>
    </xf>
    <xf numFmtId="17" fontId="1" fillId="8" borderId="2" xfId="0" applyNumberFormat="1" applyFont="1" applyFill="1" applyBorder="1" applyAlignment="1" applyProtection="1">
      <alignment vertical="center"/>
      <protection locked="0"/>
    </xf>
    <xf numFmtId="17" fontId="1" fillId="8" borderId="3" xfId="0" applyNumberFormat="1" applyFont="1" applyFill="1" applyBorder="1" applyAlignment="1" applyProtection="1">
      <alignment vertical="center"/>
      <protection locked="0"/>
    </xf>
    <xf numFmtId="17" fontId="1" fillId="8" borderId="3" xfId="0" applyNumberFormat="1" applyFont="1" applyFill="1" applyBorder="1" applyAlignment="1" applyProtection="1">
      <alignment vertical="center"/>
      <protection locked="0"/>
    </xf>
    <xf numFmtId="0" fontId="1" fillId="8" borderId="3" xfId="0" applyFont="1" applyFill="1" applyBorder="1" applyAlignment="1" applyProtection="1">
      <alignment vertical="center" wrapText="1"/>
      <protection locked="0"/>
    </xf>
    <xf numFmtId="0" fontId="1" fillId="8" borderId="3" xfId="0" applyFont="1" applyFill="1" applyBorder="1" applyAlignment="1" applyProtection="1">
      <alignment horizontal="center" vertical="center" wrapText="1"/>
      <protection locked="0"/>
    </xf>
    <xf numFmtId="0" fontId="1" fillId="8" borderId="3" xfId="0" applyFont="1" applyFill="1" applyBorder="1" applyAlignment="1" applyProtection="1">
      <alignment vertical="center"/>
      <protection locked="0"/>
    </xf>
    <xf numFmtId="178" fontId="1" fillId="8" borderId="3" xfId="0" applyNumberFormat="1" applyFont="1" applyFill="1" applyBorder="1" applyAlignment="1" applyProtection="1">
      <alignment vertical="center"/>
      <protection locked="0"/>
    </xf>
    <xf numFmtId="3" fontId="2" fillId="8" borderId="3" xfId="0" applyNumberFormat="1" applyFont="1" applyFill="1" applyBorder="1" applyAlignment="1" applyProtection="1">
      <alignment vertical="center"/>
      <protection locked="0"/>
    </xf>
    <xf numFmtId="1" fontId="1" fillId="8" borderId="3" xfId="0" applyNumberFormat="1" applyFont="1" applyFill="1" applyBorder="1" applyAlignment="1" applyProtection="1">
      <alignment vertical="center"/>
      <protection locked="0"/>
    </xf>
    <xf numFmtId="0" fontId="3" fillId="8" borderId="3" xfId="0" applyFont="1" applyFill="1" applyBorder="1"/>
    <xf numFmtId="0" fontId="3" fillId="8" borderId="4" xfId="0" applyFont="1" applyFill="1" applyBorder="1"/>
    <xf numFmtId="0" fontId="0" fillId="0" borderId="0" xfId="0" applyBorder="1"/>
    <xf numFmtId="0" fontId="1" fillId="0" borderId="5" xfId="0" applyFont="1" applyBorder="1" applyAlignment="1" applyProtection="1">
      <alignment horizontal="right" vertical="center"/>
      <protection locked="0"/>
    </xf>
    <xf numFmtId="0" fontId="1" fillId="0" borderId="5" xfId="0" applyFont="1" applyBorder="1" applyAlignment="1" applyProtection="1">
      <alignment vertical="center"/>
      <protection locked="0"/>
    </xf>
    <xf numFmtId="0" fontId="1" fillId="0" borderId="5" xfId="0" applyFont="1" applyBorder="1" applyAlignment="1" applyProtection="1">
      <alignment vertical="center" wrapText="1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1" fillId="3" borderId="5" xfId="0" applyFont="1" applyFill="1" applyBorder="1" applyAlignment="1" applyProtection="1">
      <alignment vertical="center"/>
      <protection locked="0"/>
    </xf>
    <xf numFmtId="0" fontId="1" fillId="4" borderId="5" xfId="0" applyFont="1" applyFill="1" applyBorder="1" applyAlignment="1" applyProtection="1">
      <alignment horizontal="center" vertical="center" wrapText="1"/>
      <protection locked="0"/>
    </xf>
    <xf numFmtId="0" fontId="1" fillId="5" borderId="5" xfId="0" applyFont="1" applyFill="1" applyBorder="1" applyAlignment="1" applyProtection="1">
      <alignment horizontal="center" vertical="center" wrapText="1"/>
      <protection locked="0"/>
    </xf>
    <xf numFmtId="0" fontId="1" fillId="6" borderId="5" xfId="0" applyFont="1" applyFill="1" applyBorder="1" applyAlignment="1" applyProtection="1">
      <alignment vertical="center"/>
      <protection locked="0"/>
    </xf>
    <xf numFmtId="178" fontId="1" fillId="0" borderId="5" xfId="0" applyNumberFormat="1" applyFont="1" applyBorder="1" applyAlignment="1" applyProtection="1">
      <alignment vertical="center"/>
      <protection locked="0"/>
    </xf>
    <xf numFmtId="178" fontId="1" fillId="3" borderId="5" xfId="0" applyNumberFormat="1" applyFont="1" applyFill="1" applyBorder="1" applyAlignment="1" applyProtection="1">
      <alignment vertical="center"/>
      <protection locked="0"/>
    </xf>
    <xf numFmtId="0" fontId="3" fillId="0" borderId="0" xfId="0" applyFont="1"/>
    <xf numFmtId="0" fontId="1" fillId="0" borderId="6" xfId="0" applyFont="1" applyBorder="1" applyAlignment="1" applyProtection="1">
      <alignment horizontal="right" vertical="center"/>
      <protection locked="0"/>
    </xf>
    <xf numFmtId="0" fontId="1" fillId="0" borderId="6" xfId="0" applyFont="1" applyBorder="1" applyAlignment="1" applyProtection="1">
      <alignment vertical="center"/>
      <protection locked="0"/>
    </xf>
    <xf numFmtId="0" fontId="1" fillId="0" borderId="6" xfId="0" applyFont="1" applyBorder="1" applyAlignment="1" applyProtection="1">
      <alignment vertic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1" fillId="3" borderId="6" xfId="0" applyFont="1" applyFill="1" applyBorder="1" applyAlignment="1" applyProtection="1">
      <alignment vertical="center"/>
      <protection locked="0"/>
    </xf>
    <xf numFmtId="0" fontId="1" fillId="6" borderId="6" xfId="0" applyFont="1" applyFill="1" applyBorder="1" applyAlignment="1" applyProtection="1">
      <alignment vertical="center"/>
      <protection locked="0"/>
    </xf>
    <xf numFmtId="178" fontId="1" fillId="0" borderId="6" xfId="0" applyNumberFormat="1" applyFont="1" applyBorder="1" applyAlignment="1" applyProtection="1">
      <alignment vertical="center"/>
      <protection locked="0"/>
    </xf>
    <xf numFmtId="178" fontId="1" fillId="3" borderId="6" xfId="0" applyNumberFormat="1" applyFont="1" applyFill="1" applyBorder="1" applyAlignment="1" applyProtection="1">
      <alignment vertical="center"/>
      <protection locked="0"/>
    </xf>
    <xf numFmtId="9" fontId="4" fillId="7" borderId="6" xfId="0" applyNumberFormat="1" applyFont="1" applyFill="1" applyBorder="1" applyAlignment="1" applyProtection="1">
      <alignment vertical="center"/>
      <protection locked="0"/>
    </xf>
    <xf numFmtId="0" fontId="1" fillId="9" borderId="6" xfId="0" applyFont="1" applyFill="1" applyBorder="1" applyAlignment="1" applyProtection="1">
      <alignment horizontal="right" vertical="center"/>
      <protection locked="0"/>
    </xf>
    <xf numFmtId="11" fontId="1" fillId="6" borderId="6" xfId="0" applyNumberFormat="1" applyFont="1" applyFill="1" applyBorder="1" applyAlignment="1" applyProtection="1">
      <alignment vertical="center"/>
      <protection locked="0"/>
    </xf>
    <xf numFmtId="0" fontId="1" fillId="9" borderId="6" xfId="0" applyFont="1" applyFill="1" applyBorder="1" applyAlignment="1" applyProtection="1">
      <alignment vertical="center"/>
      <protection locked="0"/>
    </xf>
    <xf numFmtId="0" fontId="1" fillId="9" borderId="6" xfId="0" applyFont="1" applyFill="1" applyBorder="1" applyAlignment="1" applyProtection="1">
      <alignment vertical="center" wrapText="1"/>
      <protection locked="0"/>
    </xf>
    <xf numFmtId="0" fontId="1" fillId="10" borderId="6" xfId="0" applyFont="1" applyFill="1" applyBorder="1" applyAlignment="1" applyProtection="1">
      <alignment horizontal="right" vertical="center"/>
      <protection locked="0"/>
    </xf>
    <xf numFmtId="0" fontId="1" fillId="10" borderId="6" xfId="0" applyFont="1" applyFill="1" applyBorder="1" applyAlignment="1" applyProtection="1">
      <alignment vertical="center"/>
      <protection locked="0"/>
    </xf>
    <xf numFmtId="0" fontId="1" fillId="10" borderId="6" xfId="0" applyFont="1" applyFill="1" applyBorder="1" applyAlignment="1" applyProtection="1">
      <alignment vertical="center" wrapText="1"/>
      <protection locked="0"/>
    </xf>
    <xf numFmtId="0" fontId="1" fillId="10" borderId="6" xfId="0" applyFont="1" applyFill="1" applyBorder="1" applyAlignment="1" applyProtection="1">
      <alignment horizontal="center" vertical="center" wrapText="1"/>
      <protection locked="0"/>
    </xf>
    <xf numFmtId="0" fontId="1" fillId="11" borderId="6" xfId="0" applyFont="1" applyFill="1" applyBorder="1" applyAlignment="1" applyProtection="1">
      <alignment horizontal="right" vertical="center"/>
      <protection locked="0"/>
    </xf>
    <xf numFmtId="0" fontId="1" fillId="11" borderId="6" xfId="0" applyFont="1" applyFill="1" applyBorder="1" applyAlignment="1" applyProtection="1">
      <alignment vertical="center"/>
      <protection locked="0"/>
    </xf>
    <xf numFmtId="0" fontId="1" fillId="11" borderId="6" xfId="0" applyFont="1" applyFill="1" applyBorder="1" applyAlignment="1" applyProtection="1">
      <alignment vertical="center" wrapText="1"/>
      <protection locked="0"/>
    </xf>
    <xf numFmtId="0" fontId="1" fillId="11" borderId="6" xfId="0" applyFont="1" applyFill="1" applyBorder="1" applyAlignment="1" applyProtection="1">
      <alignment horizontal="center" vertical="center" wrapText="1"/>
      <protection locked="0"/>
    </xf>
    <xf numFmtId="0" fontId="1" fillId="11" borderId="6" xfId="0" applyFont="1" applyFill="1" applyBorder="1" applyAlignment="1">
      <alignment horizontal="right" vertical="center"/>
    </xf>
    <xf numFmtId="0" fontId="5" fillId="11" borderId="6" xfId="0" applyFont="1" applyFill="1" applyBorder="1" applyAlignment="1">
      <alignment horizontal="right" vertical="center"/>
    </xf>
    <xf numFmtId="0" fontId="5" fillId="11" borderId="6" xfId="0" applyFont="1" applyFill="1" applyBorder="1" applyAlignment="1">
      <alignment horizontal="center" vertical="center"/>
    </xf>
    <xf numFmtId="0" fontId="1" fillId="9" borderId="6" xfId="0" applyFont="1" applyFill="1" applyBorder="1" applyAlignment="1" applyProtection="1">
      <alignment horizontal="center" vertical="center" wrapText="1"/>
      <protection locked="0"/>
    </xf>
    <xf numFmtId="0" fontId="1" fillId="12" borderId="6" xfId="0" applyFont="1" applyFill="1" applyBorder="1" applyAlignment="1">
      <alignment horizontal="right" vertical="center"/>
    </xf>
    <xf numFmtId="0" fontId="1" fillId="12" borderId="6" xfId="0" applyFont="1" applyFill="1" applyBorder="1" applyAlignment="1">
      <alignment horizontal="right" vertical="top"/>
    </xf>
    <xf numFmtId="0" fontId="6" fillId="11" borderId="7" xfId="0" applyFont="1" applyFill="1" applyBorder="1" applyAlignment="1">
      <alignment horizontal="right" vertical="center"/>
    </xf>
    <xf numFmtId="0" fontId="1" fillId="0" borderId="6" xfId="0" applyFont="1" applyBorder="1" applyAlignment="1">
      <alignment horizontal="right" vertical="center"/>
    </xf>
    <xf numFmtId="0" fontId="1" fillId="13" borderId="6" xfId="0" applyFont="1" applyFill="1" applyBorder="1" applyAlignment="1">
      <alignment horizontal="righ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00EA8FD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3:AW2366"/>
  <sheetViews>
    <sheetView tabSelected="1" workbookViewId="0">
      <pane ySplit="3" topLeftCell="A4" activePane="bottomLeft" state="frozen"/>
      <selection/>
      <selection pane="bottomLeft" activeCell="I19" sqref="I19"/>
    </sheetView>
  </sheetViews>
  <sheetFormatPr defaultColWidth="9" defaultRowHeight="15"/>
  <cols>
    <col min="1" max="2" width="10.8571428571429" customWidth="1"/>
    <col min="3" max="3" width="24.2857142857143" customWidth="1"/>
    <col min="4" max="4" width="15.1428571428571" customWidth="1"/>
    <col min="5" max="5" width="16.8571428571429" customWidth="1"/>
    <col min="6" max="7" width="8.71428571428571" customWidth="1"/>
    <col min="8" max="8" width="8.14285714285714" customWidth="1"/>
    <col min="9" max="9" width="15.1428571428571" customWidth="1"/>
    <col min="10" max="10" width="7.85714285714286" customWidth="1"/>
    <col min="11" max="11" width="8.71428571428571" customWidth="1"/>
    <col min="12" max="12" width="12.5714285714286" customWidth="1"/>
    <col min="13" max="13" width="6.28571428571429" customWidth="1"/>
    <col min="14" max="14" width="14.2857142857143" customWidth="1"/>
    <col min="15" max="15" width="11.7142857142857" customWidth="1"/>
    <col min="16" max="16" width="17.2857142857143" customWidth="1"/>
    <col min="17" max="17" width="8.71428571428571" customWidth="1"/>
    <col min="18" max="18" width="8.57142857142857" customWidth="1"/>
    <col min="19" max="19" width="8.71428571428571" customWidth="1"/>
    <col min="20" max="20" width="10.5714285714286" customWidth="1"/>
    <col min="21" max="21" width="8.71428571428571" customWidth="1"/>
    <col min="22" max="23" width="13" customWidth="1"/>
    <col min="24" max="24" width="16.5714285714286" customWidth="1"/>
    <col min="25" max="25" width="12.7142857142857" customWidth="1"/>
    <col min="26" max="27" width="12.1428571428571" customWidth="1"/>
    <col min="28" max="28" width="10.1428571428571" customWidth="1"/>
    <col min="29" max="29" width="7.57142857142857" customWidth="1"/>
    <col min="30" max="30" width="7" customWidth="1"/>
    <col min="31" max="31" width="13" customWidth="1"/>
    <col min="32" max="32" width="9.14285714285714" customWidth="1"/>
    <col min="33" max="33" width="13" customWidth="1"/>
    <col min="34" max="34" width="11.4285714285714" customWidth="1"/>
    <col min="35" max="35" width="9.14285714285714" customWidth="1"/>
    <col min="36" max="36" width="10.2857142857143" customWidth="1"/>
    <col min="37" max="37" width="10.7142857142857" customWidth="1"/>
    <col min="38" max="39" width="13" customWidth="1"/>
    <col min="40" max="40" width="9.14285714285714" customWidth="1"/>
    <col min="41" max="41" width="15.5714285714286" customWidth="1"/>
    <col min="42" max="42" width="14.5714285714286" customWidth="1"/>
    <col min="43" max="43" width="10.5714285714286" customWidth="1"/>
    <col min="44" max="44" width="8.85714285714286" customWidth="1"/>
    <col min="45" max="48" width="13" customWidth="1"/>
  </cols>
  <sheetData>
    <row r="3" ht="83.1" customHeight="1" spans="1:49">
      <c r="A3" s="2" t="s">
        <v>0</v>
      </c>
      <c r="B3" s="3" t="s">
        <v>1</v>
      </c>
      <c r="C3" s="2" t="s">
        <v>2</v>
      </c>
      <c r="D3" s="4" t="s">
        <v>3</v>
      </c>
      <c r="E3" s="4" t="s">
        <v>4</v>
      </c>
      <c r="F3" s="5" t="s">
        <v>5</v>
      </c>
      <c r="G3" s="6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15</v>
      </c>
      <c r="Q3" s="7" t="s">
        <v>16</v>
      </c>
      <c r="R3" s="7" t="s">
        <v>17</v>
      </c>
      <c r="S3" s="7" t="s">
        <v>18</v>
      </c>
      <c r="T3" s="7" t="s">
        <v>19</v>
      </c>
      <c r="U3" s="7" t="s">
        <v>20</v>
      </c>
      <c r="V3" s="7" t="s">
        <v>21</v>
      </c>
      <c r="W3" s="7" t="s">
        <v>22</v>
      </c>
      <c r="X3" s="8" t="s">
        <v>23</v>
      </c>
      <c r="Y3" s="9" t="s">
        <v>24</v>
      </c>
      <c r="Z3" s="10" t="s">
        <v>25</v>
      </c>
      <c r="AA3" s="11" t="s">
        <v>26</v>
      </c>
      <c r="AB3" s="12" t="s">
        <v>27</v>
      </c>
      <c r="AC3" s="12" t="s">
        <v>28</v>
      </c>
      <c r="AD3" s="13" t="s">
        <v>29</v>
      </c>
      <c r="AE3" s="14" t="s">
        <v>30</v>
      </c>
      <c r="AF3" s="14" t="s">
        <v>31</v>
      </c>
      <c r="AG3" s="15" t="s">
        <v>32</v>
      </c>
      <c r="AH3" s="15" t="s">
        <v>33</v>
      </c>
      <c r="AI3" s="16" t="s">
        <v>34</v>
      </c>
      <c r="AJ3" s="15" t="s">
        <v>35</v>
      </c>
      <c r="AK3" s="16" t="s">
        <v>36</v>
      </c>
      <c r="AL3" s="16" t="s">
        <v>37</v>
      </c>
      <c r="AM3" s="16" t="s">
        <v>38</v>
      </c>
      <c r="AN3" s="16" t="s">
        <v>39</v>
      </c>
      <c r="AO3" s="17" t="s">
        <v>40</v>
      </c>
      <c r="AP3" s="17" t="s">
        <v>41</v>
      </c>
      <c r="AQ3" s="18" t="s">
        <v>42</v>
      </c>
      <c r="AR3" s="19" t="s">
        <v>43</v>
      </c>
      <c r="AS3" s="19" t="s">
        <v>44</v>
      </c>
      <c r="AT3" s="19" t="s">
        <v>45</v>
      </c>
      <c r="AU3" s="20" t="s">
        <v>46</v>
      </c>
      <c r="AV3" s="20" t="s">
        <v>47</v>
      </c>
    </row>
    <row r="4" s="1" customFormat="1" ht="15.75" spans="1:49">
      <c r="A4" s="21">
        <v>37500</v>
      </c>
      <c r="B4" s="22"/>
      <c r="C4" s="23"/>
      <c r="D4" s="24"/>
      <c r="E4" s="25"/>
      <c r="F4" s="26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6"/>
      <c r="Y4" s="27"/>
      <c r="Z4" s="27"/>
      <c r="AA4" s="28"/>
      <c r="AB4" s="29"/>
      <c r="AC4" s="29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1"/>
      <c r="AW4" s="32"/>
    </row>
    <row r="5" ht="15.75" spans="1:49">
      <c r="A5" s="12">
        <v>1</v>
      </c>
      <c r="B5" s="33">
        <v>3353</v>
      </c>
      <c r="C5" s="34" t="s">
        <v>48</v>
      </c>
      <c r="D5" s="35" t="s">
        <v>49</v>
      </c>
      <c r="E5" s="36" t="s">
        <v>50</v>
      </c>
      <c r="F5" s="37">
        <v>2.83</v>
      </c>
      <c r="G5" s="38">
        <v>9.17</v>
      </c>
      <c r="H5" s="39"/>
      <c r="I5" s="39"/>
      <c r="J5" s="39"/>
      <c r="K5" s="39"/>
      <c r="L5" s="39"/>
      <c r="M5" s="39"/>
      <c r="N5" s="39"/>
      <c r="O5" s="39"/>
      <c r="P5" s="39"/>
      <c r="Q5" s="39">
        <v>1.17</v>
      </c>
      <c r="R5" s="39"/>
      <c r="S5" s="39">
        <v>7.83</v>
      </c>
      <c r="T5" s="39"/>
      <c r="U5" s="39">
        <v>0.17</v>
      </c>
      <c r="V5" s="39"/>
      <c r="W5" s="39"/>
      <c r="X5" s="40" t="s">
        <v>51</v>
      </c>
      <c r="Y5" s="41">
        <v>8787.15</v>
      </c>
      <c r="Z5" s="42">
        <v>9000</v>
      </c>
      <c r="AA5" s="11"/>
      <c r="AB5" s="12">
        <v>9000</v>
      </c>
      <c r="AC5" s="12">
        <v>0</v>
      </c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</row>
    <row r="6" ht="15.75" spans="1:49">
      <c r="A6" s="12">
        <v>2</v>
      </c>
      <c r="B6" s="44">
        <v>3187</v>
      </c>
      <c r="C6" s="45" t="s">
        <v>52</v>
      </c>
      <c r="D6" s="46" t="s">
        <v>53</v>
      </c>
      <c r="E6" s="47" t="s">
        <v>54</v>
      </c>
      <c r="F6" s="48">
        <v>4</v>
      </c>
      <c r="G6" s="38">
        <v>0.5</v>
      </c>
      <c r="H6" s="39"/>
      <c r="I6" s="39"/>
      <c r="J6" s="39"/>
      <c r="K6" s="39">
        <v>0.33</v>
      </c>
      <c r="L6" s="39"/>
      <c r="M6" s="39"/>
      <c r="N6" s="39"/>
      <c r="O6" s="39"/>
      <c r="P6" s="39"/>
      <c r="Q6" s="39"/>
      <c r="R6" s="39"/>
      <c r="S6" s="39"/>
      <c r="T6" s="39"/>
      <c r="U6" s="39">
        <v>0.17</v>
      </c>
      <c r="V6" s="39"/>
      <c r="W6" s="39"/>
      <c r="X6" s="49" t="s">
        <v>55</v>
      </c>
      <c r="Y6" s="50">
        <v>9660</v>
      </c>
      <c r="Z6" s="51">
        <v>9600</v>
      </c>
      <c r="AA6" s="52"/>
      <c r="AB6" s="12">
        <v>9600</v>
      </c>
      <c r="AC6" s="12">
        <v>0</v>
      </c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</row>
    <row r="7" ht="15.75" spans="1:49">
      <c r="A7" s="12">
        <v>3</v>
      </c>
      <c r="B7" s="44">
        <v>3187</v>
      </c>
      <c r="C7" s="45" t="s">
        <v>52</v>
      </c>
      <c r="D7" s="46">
        <v>12</v>
      </c>
      <c r="E7" s="47" t="s">
        <v>50</v>
      </c>
      <c r="F7" s="48">
        <v>6.17</v>
      </c>
      <c r="G7" s="38">
        <v>1.34</v>
      </c>
      <c r="H7" s="39"/>
      <c r="I7" s="39"/>
      <c r="J7" s="39"/>
      <c r="K7" s="39"/>
      <c r="L7" s="39"/>
      <c r="M7" s="39"/>
      <c r="N7" s="39"/>
      <c r="O7" s="39"/>
      <c r="P7" s="39"/>
      <c r="Q7" s="39">
        <v>1.17</v>
      </c>
      <c r="R7" s="39"/>
      <c r="S7" s="39"/>
      <c r="T7" s="39"/>
      <c r="U7" s="39">
        <v>0.17</v>
      </c>
      <c r="V7" s="39"/>
      <c r="W7" s="39"/>
      <c r="X7" s="49" t="s">
        <v>56</v>
      </c>
      <c r="Y7" s="50">
        <v>2066.95</v>
      </c>
      <c r="Z7" s="51">
        <v>2080</v>
      </c>
      <c r="AA7" s="52"/>
      <c r="AB7" s="12">
        <v>2080</v>
      </c>
      <c r="AC7" s="12">
        <v>0</v>
      </c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</row>
    <row r="8" ht="15.75" spans="1:49">
      <c r="A8" s="12">
        <v>4</v>
      </c>
      <c r="B8" s="44">
        <v>4346</v>
      </c>
      <c r="C8" s="45" t="s">
        <v>57</v>
      </c>
      <c r="D8" s="46">
        <v>1</v>
      </c>
      <c r="E8" s="47" t="s">
        <v>50</v>
      </c>
      <c r="F8" s="48">
        <v>8.67</v>
      </c>
      <c r="G8" s="38">
        <v>3.34</v>
      </c>
      <c r="H8" s="39"/>
      <c r="I8" s="39"/>
      <c r="J8" s="39"/>
      <c r="K8" s="39"/>
      <c r="L8" s="39"/>
      <c r="M8" s="39"/>
      <c r="N8" s="39"/>
      <c r="O8" s="39"/>
      <c r="P8" s="39"/>
      <c r="Q8" s="39">
        <v>1.17</v>
      </c>
      <c r="R8" s="39"/>
      <c r="S8" s="39"/>
      <c r="T8" s="39">
        <v>2</v>
      </c>
      <c r="U8" s="39">
        <v>0.17</v>
      </c>
      <c r="V8" s="39"/>
      <c r="W8" s="39"/>
      <c r="X8" s="49" t="s">
        <v>58</v>
      </c>
      <c r="Y8" s="50">
        <v>3034.5</v>
      </c>
      <c r="Z8" s="51">
        <v>3120</v>
      </c>
      <c r="AA8" s="52">
        <f t="shared" ref="AA8:AA71" si="0">IFERROR(Z8/Y8,0)</f>
        <v>1.02817597627286</v>
      </c>
      <c r="AB8" s="12">
        <v>2689</v>
      </c>
      <c r="AC8" s="12">
        <v>431</v>
      </c>
      <c r="AD8" s="19">
        <v>431</v>
      </c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</row>
    <row r="9" ht="15.75" spans="1:49">
      <c r="A9" s="12">
        <v>5</v>
      </c>
      <c r="B9" s="44">
        <v>2284</v>
      </c>
      <c r="C9" s="45" t="s">
        <v>59</v>
      </c>
      <c r="D9" s="46"/>
      <c r="E9" s="47" t="s">
        <v>50</v>
      </c>
      <c r="F9" s="48">
        <v>10.83</v>
      </c>
      <c r="G9" s="38">
        <v>1.17</v>
      </c>
      <c r="H9" s="39"/>
      <c r="I9" s="39"/>
      <c r="J9" s="39"/>
      <c r="K9" s="39"/>
      <c r="L9" s="39"/>
      <c r="M9" s="39"/>
      <c r="N9" s="39"/>
      <c r="O9" s="39"/>
      <c r="P9" s="39"/>
      <c r="Q9" s="39">
        <v>1.17</v>
      </c>
      <c r="R9" s="39"/>
      <c r="S9" s="39"/>
      <c r="T9" s="39"/>
      <c r="U9" s="39"/>
      <c r="V9" s="39"/>
      <c r="W9" s="39"/>
      <c r="X9" s="49" t="s">
        <v>60</v>
      </c>
      <c r="Y9" s="50">
        <v>0</v>
      </c>
      <c r="Z9" s="51"/>
      <c r="AA9" s="52">
        <f t="shared" si="0"/>
        <v>0</v>
      </c>
      <c r="AB9" s="12">
        <v>0</v>
      </c>
      <c r="AC9" s="12">
        <v>0</v>
      </c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</row>
    <row r="10" ht="15.75" spans="1:49">
      <c r="A10" s="12">
        <v>6</v>
      </c>
      <c r="B10" s="44">
        <v>834</v>
      </c>
      <c r="C10" s="45" t="s">
        <v>61</v>
      </c>
      <c r="D10" s="46"/>
      <c r="E10" s="47" t="s">
        <v>50</v>
      </c>
      <c r="F10" s="48">
        <v>4.67</v>
      </c>
      <c r="G10" s="38">
        <v>1.17</v>
      </c>
      <c r="H10" s="39"/>
      <c r="I10" s="39"/>
      <c r="J10" s="39"/>
      <c r="K10" s="39"/>
      <c r="L10" s="39"/>
      <c r="M10" s="39"/>
      <c r="N10" s="39"/>
      <c r="O10" s="39"/>
      <c r="P10" s="39"/>
      <c r="Q10" s="39">
        <v>1.17</v>
      </c>
      <c r="R10" s="39"/>
      <c r="S10" s="39"/>
      <c r="T10" s="39"/>
      <c r="U10" s="39"/>
      <c r="V10" s="39"/>
      <c r="W10" s="39"/>
      <c r="X10" s="49" t="s">
        <v>62</v>
      </c>
      <c r="Y10" s="50">
        <v>840.6</v>
      </c>
      <c r="Z10" s="51">
        <v>850</v>
      </c>
      <c r="AA10" s="52">
        <f t="shared" si="0"/>
        <v>1.01118248869855</v>
      </c>
      <c r="AB10" s="12">
        <v>850</v>
      </c>
      <c r="AC10" s="12">
        <v>0</v>
      </c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</row>
    <row r="11" ht="15.75" spans="1:49">
      <c r="A11" s="12">
        <v>7</v>
      </c>
      <c r="B11" s="44">
        <v>834</v>
      </c>
      <c r="C11" s="45" t="s">
        <v>61</v>
      </c>
      <c r="D11" s="46"/>
      <c r="E11" s="47" t="s">
        <v>50</v>
      </c>
      <c r="F11" s="48">
        <v>4.67</v>
      </c>
      <c r="G11" s="38">
        <v>1.17</v>
      </c>
      <c r="H11" s="39"/>
      <c r="I11" s="39"/>
      <c r="J11" s="39"/>
      <c r="K11" s="39"/>
      <c r="L11" s="39"/>
      <c r="M11" s="39"/>
      <c r="N11" s="39"/>
      <c r="O11" s="39"/>
      <c r="P11" s="39"/>
      <c r="Q11" s="39">
        <v>1.17</v>
      </c>
      <c r="R11" s="39"/>
      <c r="S11" s="39"/>
      <c r="T11" s="39"/>
      <c r="U11" s="39"/>
      <c r="V11" s="39"/>
      <c r="W11" s="39"/>
      <c r="X11" s="49" t="s">
        <v>63</v>
      </c>
      <c r="Y11" s="50">
        <v>840.6</v>
      </c>
      <c r="Z11" s="51">
        <v>850</v>
      </c>
      <c r="AA11" s="52">
        <f t="shared" si="0"/>
        <v>1.01118248869855</v>
      </c>
      <c r="AB11" s="12">
        <v>850</v>
      </c>
      <c r="AC11" s="12">
        <v>0</v>
      </c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</row>
    <row r="12" ht="15.75" spans="1:49">
      <c r="A12" s="12">
        <v>8</v>
      </c>
      <c r="B12" s="44">
        <v>4031</v>
      </c>
      <c r="C12" s="45" t="s">
        <v>64</v>
      </c>
      <c r="D12" s="46"/>
      <c r="E12" s="47" t="s">
        <v>50</v>
      </c>
      <c r="F12" s="48">
        <v>10.83</v>
      </c>
      <c r="G12" s="38">
        <v>1.17</v>
      </c>
      <c r="H12" s="39"/>
      <c r="I12" s="39"/>
      <c r="J12" s="39"/>
      <c r="K12" s="39"/>
      <c r="L12" s="39"/>
      <c r="M12" s="39"/>
      <c r="N12" s="39"/>
      <c r="O12" s="39"/>
      <c r="P12" s="39"/>
      <c r="Q12" s="39">
        <v>1.17</v>
      </c>
      <c r="R12" s="39"/>
      <c r="S12" s="39"/>
      <c r="T12" s="39"/>
      <c r="U12" s="39"/>
      <c r="V12" s="39"/>
      <c r="W12" s="39"/>
      <c r="X12" s="49">
        <v>2168</v>
      </c>
      <c r="Y12" s="50">
        <v>6498</v>
      </c>
      <c r="Z12" s="51">
        <v>6500</v>
      </c>
      <c r="AA12" s="52">
        <f t="shared" si="0"/>
        <v>1.00030778701139</v>
      </c>
      <c r="AB12" s="12">
        <v>6500</v>
      </c>
      <c r="AC12" s="12">
        <v>0</v>
      </c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</row>
    <row r="13" ht="15.75" spans="1:49">
      <c r="A13" s="12">
        <v>9</v>
      </c>
      <c r="B13" s="44">
        <v>3526</v>
      </c>
      <c r="C13" s="45" t="s">
        <v>65</v>
      </c>
      <c r="D13" s="46"/>
      <c r="E13" s="47" t="s">
        <v>50</v>
      </c>
      <c r="F13" s="48">
        <v>10.83</v>
      </c>
      <c r="G13" s="38">
        <v>1.17</v>
      </c>
      <c r="H13" s="39"/>
      <c r="I13" s="39"/>
      <c r="J13" s="39"/>
      <c r="K13" s="39"/>
      <c r="L13" s="39"/>
      <c r="M13" s="39"/>
      <c r="N13" s="39"/>
      <c r="O13" s="39"/>
      <c r="P13" s="39"/>
      <c r="Q13" s="39">
        <v>1.17</v>
      </c>
      <c r="R13" s="39"/>
      <c r="S13" s="39"/>
      <c r="T13" s="39"/>
      <c r="U13" s="39"/>
      <c r="V13" s="39"/>
      <c r="W13" s="39"/>
      <c r="X13" s="49">
        <v>2168</v>
      </c>
      <c r="Y13" s="50">
        <v>6498</v>
      </c>
      <c r="Z13" s="51">
        <v>6500</v>
      </c>
      <c r="AA13" s="52">
        <f t="shared" si="0"/>
        <v>1.00030778701139</v>
      </c>
      <c r="AB13" s="12">
        <v>6500</v>
      </c>
      <c r="AC13" s="12">
        <v>0</v>
      </c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</row>
    <row r="14" ht="15.75" spans="1:49">
      <c r="A14" s="12">
        <v>10</v>
      </c>
      <c r="B14" s="44">
        <v>3352</v>
      </c>
      <c r="C14" s="45" t="s">
        <v>66</v>
      </c>
      <c r="D14" s="46"/>
      <c r="E14" s="47" t="s">
        <v>50</v>
      </c>
      <c r="F14" s="48">
        <v>10.83</v>
      </c>
      <c r="G14" s="38">
        <v>1.17</v>
      </c>
      <c r="H14" s="39"/>
      <c r="I14" s="39"/>
      <c r="J14" s="39"/>
      <c r="K14" s="39"/>
      <c r="L14" s="39"/>
      <c r="M14" s="39"/>
      <c r="N14" s="39"/>
      <c r="O14" s="39"/>
      <c r="P14" s="39"/>
      <c r="Q14" s="39">
        <v>1.17</v>
      </c>
      <c r="R14" s="39"/>
      <c r="S14" s="39"/>
      <c r="T14" s="39"/>
      <c r="U14" s="39"/>
      <c r="V14" s="39"/>
      <c r="W14" s="39"/>
      <c r="X14" s="49" t="s">
        <v>67</v>
      </c>
      <c r="Y14" s="50">
        <v>2707.5</v>
      </c>
      <c r="Z14" s="51">
        <v>2600</v>
      </c>
      <c r="AA14" s="52">
        <f t="shared" si="0"/>
        <v>0.960295475530933</v>
      </c>
      <c r="AB14" s="12">
        <v>2600</v>
      </c>
      <c r="AC14" s="12">
        <v>0</v>
      </c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</row>
    <row r="15" ht="15.75" spans="1:49">
      <c r="A15" s="12">
        <v>11</v>
      </c>
      <c r="B15" s="44">
        <v>698</v>
      </c>
      <c r="C15" s="45" t="s">
        <v>68</v>
      </c>
      <c r="D15" s="46"/>
      <c r="E15" s="47" t="s">
        <v>50</v>
      </c>
      <c r="F15" s="48">
        <v>7</v>
      </c>
      <c r="G15" s="38">
        <v>1</v>
      </c>
      <c r="H15" s="39"/>
      <c r="I15" s="39"/>
      <c r="J15" s="39"/>
      <c r="K15" s="39"/>
      <c r="L15" s="39"/>
      <c r="M15" s="39"/>
      <c r="N15" s="39"/>
      <c r="O15" s="39"/>
      <c r="P15" s="39"/>
      <c r="Q15" s="39">
        <v>0.83</v>
      </c>
      <c r="R15" s="39"/>
      <c r="S15" s="39"/>
      <c r="T15" s="39"/>
      <c r="U15" s="39">
        <v>0.17</v>
      </c>
      <c r="V15" s="39"/>
      <c r="W15" s="39"/>
      <c r="X15" s="49" t="s">
        <v>69</v>
      </c>
      <c r="Y15" s="50">
        <v>3570</v>
      </c>
      <c r="Z15" s="51">
        <v>3645</v>
      </c>
      <c r="AA15" s="52">
        <f t="shared" si="0"/>
        <v>1.02100840336134</v>
      </c>
      <c r="AB15" s="12">
        <v>3645</v>
      </c>
      <c r="AC15" s="12">
        <v>0</v>
      </c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</row>
    <row r="16" ht="15.75" spans="1:49">
      <c r="A16" s="12">
        <v>12</v>
      </c>
      <c r="B16" s="44">
        <v>845</v>
      </c>
      <c r="C16" s="45" t="s">
        <v>70</v>
      </c>
      <c r="D16" s="46"/>
      <c r="E16" s="47" t="s">
        <v>50</v>
      </c>
      <c r="F16" s="48">
        <v>2.1978021978022</v>
      </c>
      <c r="G16" s="38">
        <v>0</v>
      </c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49" t="s">
        <v>63</v>
      </c>
      <c r="Y16" s="50">
        <v>395.604395604396</v>
      </c>
      <c r="Z16" s="51">
        <v>400</v>
      </c>
      <c r="AA16" s="52">
        <f t="shared" si="0"/>
        <v>1.01111111111111</v>
      </c>
      <c r="AB16" s="12">
        <v>400</v>
      </c>
      <c r="AC16" s="12">
        <v>0</v>
      </c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  <c r="AV16" s="43"/>
    </row>
    <row r="17" ht="15.75" spans="1:48">
      <c r="A17" s="12">
        <v>13</v>
      </c>
      <c r="B17" s="44">
        <v>845</v>
      </c>
      <c r="C17" s="45" t="s">
        <v>70</v>
      </c>
      <c r="D17" s="46"/>
      <c r="E17" s="47" t="s">
        <v>50</v>
      </c>
      <c r="F17" s="48">
        <v>1.6321978021978</v>
      </c>
      <c r="G17" s="38">
        <v>1.67</v>
      </c>
      <c r="H17" s="39"/>
      <c r="I17" s="39"/>
      <c r="J17" s="39"/>
      <c r="K17" s="39">
        <v>0.33</v>
      </c>
      <c r="L17" s="39"/>
      <c r="M17" s="39"/>
      <c r="N17" s="39"/>
      <c r="O17" s="39"/>
      <c r="P17" s="39"/>
      <c r="Q17" s="39">
        <v>1.17</v>
      </c>
      <c r="R17" s="39"/>
      <c r="S17" s="39"/>
      <c r="T17" s="39"/>
      <c r="U17" s="39">
        <v>0.17</v>
      </c>
      <c r="V17" s="39"/>
      <c r="W17" s="39"/>
      <c r="X17" s="49" t="s">
        <v>62</v>
      </c>
      <c r="Y17" s="50">
        <v>293.795604395604</v>
      </c>
      <c r="Z17" s="51">
        <v>300</v>
      </c>
      <c r="AA17" s="52">
        <f t="shared" si="0"/>
        <v>1.02111806817927</v>
      </c>
      <c r="AB17" s="12">
        <v>300</v>
      </c>
      <c r="AC17" s="12">
        <v>0</v>
      </c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</row>
    <row r="18" ht="15.75" spans="1:48">
      <c r="A18" s="12">
        <v>14</v>
      </c>
      <c r="B18" s="44">
        <v>845</v>
      </c>
      <c r="C18" s="45" t="s">
        <v>70</v>
      </c>
      <c r="D18" s="46"/>
      <c r="E18" s="47" t="s">
        <v>50</v>
      </c>
      <c r="F18" s="48">
        <v>6.5</v>
      </c>
      <c r="G18" s="38">
        <v>0</v>
      </c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49" t="s">
        <v>71</v>
      </c>
      <c r="Y18" s="50">
        <v>2177.5</v>
      </c>
      <c r="Z18" s="51">
        <v>2160</v>
      </c>
      <c r="AA18" s="52">
        <f t="shared" si="0"/>
        <v>0.991963260619977</v>
      </c>
      <c r="AB18" s="12">
        <v>1973</v>
      </c>
      <c r="AC18" s="12">
        <v>187</v>
      </c>
      <c r="AD18" s="19">
        <v>187</v>
      </c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</row>
    <row r="19" ht="15.75" spans="1:48">
      <c r="A19" s="12">
        <v>15</v>
      </c>
      <c r="B19" s="44">
        <v>4185</v>
      </c>
      <c r="C19" s="45" t="s">
        <v>72</v>
      </c>
      <c r="D19" s="46" t="s">
        <v>73</v>
      </c>
      <c r="E19" s="47" t="s">
        <v>50</v>
      </c>
      <c r="F19" s="48">
        <v>10.17</v>
      </c>
      <c r="G19" s="38">
        <v>1.84</v>
      </c>
      <c r="H19" s="39"/>
      <c r="I19" s="39"/>
      <c r="J19" s="39"/>
      <c r="K19" s="39">
        <v>0.5</v>
      </c>
      <c r="L19" s="39"/>
      <c r="M19" s="39"/>
      <c r="N19" s="39"/>
      <c r="O19" s="39"/>
      <c r="P19" s="39"/>
      <c r="Q19" s="39">
        <v>1.17</v>
      </c>
      <c r="R19" s="39"/>
      <c r="S19" s="39"/>
      <c r="T19" s="39"/>
      <c r="U19" s="39">
        <v>0.17</v>
      </c>
      <c r="V19" s="39"/>
      <c r="W19" s="39"/>
      <c r="X19" s="49" t="s">
        <v>74</v>
      </c>
      <c r="Y19" s="50">
        <v>16526.25</v>
      </c>
      <c r="Z19" s="51">
        <v>16572</v>
      </c>
      <c r="AA19" s="52">
        <f t="shared" si="0"/>
        <v>1.00276832312231</v>
      </c>
      <c r="AB19" s="12">
        <v>16540</v>
      </c>
      <c r="AC19" s="12">
        <v>32</v>
      </c>
      <c r="AD19" s="43"/>
      <c r="AE19" s="43"/>
      <c r="AF19" s="43"/>
      <c r="AG19" s="19">
        <v>32</v>
      </c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</row>
    <row r="20" ht="15.75" spans="1:48">
      <c r="A20" s="12">
        <v>16</v>
      </c>
      <c r="B20" s="44">
        <v>4173</v>
      </c>
      <c r="C20" s="45" t="s">
        <v>75</v>
      </c>
      <c r="D20" s="46" t="s">
        <v>76</v>
      </c>
      <c r="E20" s="47" t="s">
        <v>50</v>
      </c>
      <c r="F20" s="48">
        <v>10.5</v>
      </c>
      <c r="G20" s="38">
        <v>1.51</v>
      </c>
      <c r="H20" s="39"/>
      <c r="I20" s="39"/>
      <c r="J20" s="39"/>
      <c r="K20" s="39">
        <v>0.17</v>
      </c>
      <c r="L20" s="39"/>
      <c r="M20" s="39"/>
      <c r="N20" s="39"/>
      <c r="O20" s="39"/>
      <c r="P20" s="39"/>
      <c r="Q20" s="39">
        <v>1.17</v>
      </c>
      <c r="R20" s="39"/>
      <c r="S20" s="39"/>
      <c r="T20" s="39"/>
      <c r="U20" s="39">
        <v>0.17</v>
      </c>
      <c r="V20" s="39"/>
      <c r="W20" s="39"/>
      <c r="X20" s="49" t="s">
        <v>77</v>
      </c>
      <c r="Y20" s="50">
        <v>63000</v>
      </c>
      <c r="Z20" s="51">
        <v>56800</v>
      </c>
      <c r="AA20" s="52">
        <f t="shared" si="0"/>
        <v>0.901587301587302</v>
      </c>
      <c r="AB20" s="12">
        <v>56744</v>
      </c>
      <c r="AC20" s="12">
        <v>56</v>
      </c>
      <c r="AD20" s="43"/>
      <c r="AE20" s="43"/>
      <c r="AF20" s="43"/>
      <c r="AG20" s="19">
        <v>56</v>
      </c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</row>
    <row r="21" ht="15.75" spans="1:48">
      <c r="A21" s="12">
        <v>17</v>
      </c>
      <c r="B21" s="44">
        <v>4173</v>
      </c>
      <c r="C21" s="45" t="s">
        <v>75</v>
      </c>
      <c r="D21" s="46" t="s">
        <v>78</v>
      </c>
      <c r="E21" s="47" t="s">
        <v>50</v>
      </c>
      <c r="F21" s="48">
        <v>9.67</v>
      </c>
      <c r="G21" s="38">
        <v>2.34</v>
      </c>
      <c r="H21" s="39"/>
      <c r="I21" s="39"/>
      <c r="J21" s="39"/>
      <c r="K21" s="39">
        <v>1</v>
      </c>
      <c r="L21" s="39"/>
      <c r="M21" s="39"/>
      <c r="N21" s="39"/>
      <c r="O21" s="39"/>
      <c r="P21" s="39"/>
      <c r="Q21" s="39">
        <v>1.17</v>
      </c>
      <c r="R21" s="39"/>
      <c r="S21" s="39"/>
      <c r="T21" s="39"/>
      <c r="U21" s="39">
        <v>0.17</v>
      </c>
      <c r="V21" s="39"/>
      <c r="W21" s="39"/>
      <c r="X21" s="49" t="s">
        <v>79</v>
      </c>
      <c r="Y21" s="50">
        <v>64402.2</v>
      </c>
      <c r="Z21" s="51">
        <v>54400</v>
      </c>
      <c r="AA21" s="52">
        <f t="shared" si="0"/>
        <v>0.844691640968787</v>
      </c>
      <c r="AB21" s="12">
        <v>54336</v>
      </c>
      <c r="AC21" s="12">
        <v>64</v>
      </c>
      <c r="AD21" s="43"/>
      <c r="AE21" s="43"/>
      <c r="AF21" s="43"/>
      <c r="AG21" s="19">
        <v>64</v>
      </c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</row>
    <row r="22" ht="15.75" spans="1:48">
      <c r="A22" s="12">
        <v>18</v>
      </c>
      <c r="B22" s="44">
        <v>3268</v>
      </c>
      <c r="C22" s="45" t="s">
        <v>80</v>
      </c>
      <c r="D22" s="46" t="s">
        <v>81</v>
      </c>
      <c r="E22" s="47" t="s">
        <v>50</v>
      </c>
      <c r="F22" s="48">
        <v>1.17</v>
      </c>
      <c r="G22" s="38">
        <v>0</v>
      </c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49" t="s">
        <v>82</v>
      </c>
      <c r="Y22" s="50">
        <v>1901.25</v>
      </c>
      <c r="Z22" s="51">
        <v>1772</v>
      </c>
      <c r="AA22" s="52">
        <f t="shared" si="0"/>
        <v>0.932018408941486</v>
      </c>
      <c r="AB22" s="12">
        <v>1772</v>
      </c>
      <c r="AC22" s="12">
        <v>0</v>
      </c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</row>
    <row r="23" ht="15.75" spans="1:48">
      <c r="A23" s="12">
        <v>19</v>
      </c>
      <c r="B23" s="44">
        <v>4173</v>
      </c>
      <c r="C23" s="45" t="s">
        <v>75</v>
      </c>
      <c r="D23" s="46" t="s">
        <v>83</v>
      </c>
      <c r="E23" s="47" t="s">
        <v>50</v>
      </c>
      <c r="F23" s="48">
        <v>10.67</v>
      </c>
      <c r="G23" s="38">
        <v>1.34</v>
      </c>
      <c r="H23" s="39"/>
      <c r="I23" s="39"/>
      <c r="J23" s="39"/>
      <c r="K23" s="39"/>
      <c r="L23" s="39"/>
      <c r="M23" s="39"/>
      <c r="N23" s="39"/>
      <c r="O23" s="39"/>
      <c r="P23" s="39"/>
      <c r="Q23" s="39">
        <v>1.17</v>
      </c>
      <c r="R23" s="39"/>
      <c r="S23" s="39"/>
      <c r="T23" s="39"/>
      <c r="U23" s="39">
        <v>0.17</v>
      </c>
      <c r="V23" s="39"/>
      <c r="W23" s="39"/>
      <c r="X23" s="49" t="s">
        <v>84</v>
      </c>
      <c r="Y23" s="50">
        <v>53350</v>
      </c>
      <c r="Z23" s="51">
        <v>45000</v>
      </c>
      <c r="AA23" s="52">
        <f t="shared" si="0"/>
        <v>0.84348641049672</v>
      </c>
      <c r="AB23" s="12">
        <v>44928</v>
      </c>
      <c r="AC23" s="12">
        <v>72</v>
      </c>
      <c r="AD23" s="43"/>
      <c r="AE23" s="43"/>
      <c r="AF23" s="43"/>
      <c r="AG23" s="19">
        <v>72</v>
      </c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</row>
    <row r="24" ht="15.75" spans="1:48">
      <c r="A24" s="12">
        <v>20</v>
      </c>
      <c r="B24" s="44">
        <v>4344</v>
      </c>
      <c r="C24" s="45" t="s">
        <v>85</v>
      </c>
      <c r="D24" s="46" t="s">
        <v>81</v>
      </c>
      <c r="E24" s="47" t="s">
        <v>50</v>
      </c>
      <c r="F24" s="48">
        <v>3.5</v>
      </c>
      <c r="G24" s="38">
        <v>4.5</v>
      </c>
      <c r="H24" s="39"/>
      <c r="I24" s="39"/>
      <c r="J24" s="39"/>
      <c r="K24" s="39"/>
      <c r="L24" s="39"/>
      <c r="M24" s="39"/>
      <c r="N24" s="39"/>
      <c r="O24" s="39"/>
      <c r="P24" s="39"/>
      <c r="Q24" s="39">
        <v>0.83</v>
      </c>
      <c r="R24" s="39"/>
      <c r="S24" s="39">
        <v>0.5</v>
      </c>
      <c r="T24" s="39"/>
      <c r="U24" s="39">
        <v>0.17</v>
      </c>
      <c r="V24" s="39">
        <v>3</v>
      </c>
      <c r="W24" s="39"/>
      <c r="X24" s="49" t="s">
        <v>82</v>
      </c>
      <c r="Y24" s="50">
        <v>5687.5</v>
      </c>
      <c r="Z24" s="51">
        <v>5400</v>
      </c>
      <c r="AA24" s="52">
        <f t="shared" si="0"/>
        <v>0.949450549450549</v>
      </c>
      <c r="AB24" s="12">
        <v>5400</v>
      </c>
      <c r="AC24" s="12">
        <v>0</v>
      </c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</row>
    <row r="25" ht="15.75" spans="1:48">
      <c r="A25" s="12">
        <v>21</v>
      </c>
      <c r="B25" s="44">
        <v>2959</v>
      </c>
      <c r="C25" s="45" t="s">
        <v>86</v>
      </c>
      <c r="D25" s="46"/>
      <c r="E25" s="47" t="s">
        <v>50</v>
      </c>
      <c r="F25" s="48">
        <v>10.83</v>
      </c>
      <c r="G25" s="38">
        <v>1.17</v>
      </c>
      <c r="H25" s="39"/>
      <c r="I25" s="39"/>
      <c r="J25" s="39"/>
      <c r="K25" s="39"/>
      <c r="L25" s="39"/>
      <c r="M25" s="39"/>
      <c r="N25" s="39"/>
      <c r="O25" s="39"/>
      <c r="P25" s="39"/>
      <c r="Q25" s="39">
        <v>1.17</v>
      </c>
      <c r="R25" s="39"/>
      <c r="S25" s="39"/>
      <c r="T25" s="39"/>
      <c r="U25" s="39"/>
      <c r="V25" s="39"/>
      <c r="W25" s="39"/>
      <c r="X25" s="49" t="s">
        <v>60</v>
      </c>
      <c r="Y25" s="50">
        <v>0</v>
      </c>
      <c r="Z25" s="51"/>
      <c r="AA25" s="52">
        <f t="shared" si="0"/>
        <v>0</v>
      </c>
      <c r="AB25" s="12">
        <v>0</v>
      </c>
      <c r="AC25" s="12">
        <v>0</v>
      </c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</row>
    <row r="26" ht="15.75" spans="1:48">
      <c r="A26" s="12">
        <v>22</v>
      </c>
      <c r="B26" s="44">
        <v>846</v>
      </c>
      <c r="C26" s="45" t="s">
        <v>87</v>
      </c>
      <c r="D26" s="46">
        <v>2</v>
      </c>
      <c r="E26" s="47" t="s">
        <v>50</v>
      </c>
      <c r="F26" s="48">
        <v>10.5</v>
      </c>
      <c r="G26" s="38">
        <v>1.51</v>
      </c>
      <c r="H26" s="39"/>
      <c r="I26" s="39"/>
      <c r="J26" s="39"/>
      <c r="K26" s="39"/>
      <c r="L26" s="39"/>
      <c r="M26" s="39"/>
      <c r="N26" s="39"/>
      <c r="O26" s="39"/>
      <c r="P26" s="39"/>
      <c r="Q26" s="39">
        <v>1.17</v>
      </c>
      <c r="R26" s="39"/>
      <c r="S26" s="39"/>
      <c r="T26" s="39">
        <v>0.17</v>
      </c>
      <c r="U26" s="39">
        <v>0.17</v>
      </c>
      <c r="V26" s="39"/>
      <c r="W26" s="39"/>
      <c r="X26" s="49">
        <v>8234</v>
      </c>
      <c r="Y26" s="50">
        <v>5544</v>
      </c>
      <c r="Z26" s="51">
        <v>4870</v>
      </c>
      <c r="AA26" s="52">
        <f t="shared" si="0"/>
        <v>0.878427128427128</v>
      </c>
      <c r="AB26" s="12">
        <v>4800</v>
      </c>
      <c r="AC26" s="12">
        <v>70</v>
      </c>
      <c r="AD26" s="19">
        <v>70</v>
      </c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</row>
    <row r="27" ht="15.75" spans="1:48">
      <c r="A27" s="12">
        <v>23</v>
      </c>
      <c r="B27" s="44">
        <v>4489</v>
      </c>
      <c r="C27" s="45" t="s">
        <v>88</v>
      </c>
      <c r="D27" s="46">
        <v>8</v>
      </c>
      <c r="E27" s="47" t="s">
        <v>50</v>
      </c>
      <c r="F27" s="48">
        <v>2.33</v>
      </c>
      <c r="G27" s="38">
        <v>7.67</v>
      </c>
      <c r="H27" s="39"/>
      <c r="I27" s="39"/>
      <c r="J27" s="39"/>
      <c r="K27" s="39"/>
      <c r="L27" s="39"/>
      <c r="M27" s="39"/>
      <c r="N27" s="39"/>
      <c r="O27" s="39"/>
      <c r="P27" s="39"/>
      <c r="Q27" s="39">
        <v>1.17</v>
      </c>
      <c r="R27" s="39"/>
      <c r="S27" s="39"/>
      <c r="T27" s="39">
        <v>0.33</v>
      </c>
      <c r="U27" s="39">
        <v>0.17</v>
      </c>
      <c r="V27" s="39">
        <v>6</v>
      </c>
      <c r="W27" s="39"/>
      <c r="X27" s="49">
        <v>2801</v>
      </c>
      <c r="Y27" s="50">
        <v>1409.65</v>
      </c>
      <c r="Z27" s="51">
        <v>1595</v>
      </c>
      <c r="AA27" s="52">
        <f t="shared" si="0"/>
        <v>1.13148653921186</v>
      </c>
      <c r="AB27" s="12">
        <v>1440</v>
      </c>
      <c r="AC27" s="12">
        <v>155</v>
      </c>
      <c r="AD27" s="19">
        <v>155</v>
      </c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43"/>
      <c r="AV27" s="43"/>
    </row>
    <row r="28" ht="15.75" spans="1:48">
      <c r="A28" s="12">
        <v>24</v>
      </c>
      <c r="B28" s="44">
        <v>761</v>
      </c>
      <c r="C28" s="45" t="s">
        <v>89</v>
      </c>
      <c r="D28" s="46"/>
      <c r="E28" s="47" t="s">
        <v>50</v>
      </c>
      <c r="F28" s="48">
        <v>6</v>
      </c>
      <c r="G28" s="38">
        <v>2.34</v>
      </c>
      <c r="H28" s="39"/>
      <c r="I28" s="39"/>
      <c r="J28" s="39"/>
      <c r="K28" s="39"/>
      <c r="L28" s="39"/>
      <c r="M28" s="39"/>
      <c r="N28" s="39"/>
      <c r="O28" s="39"/>
      <c r="P28" s="39"/>
      <c r="Q28" s="39">
        <v>1.17</v>
      </c>
      <c r="R28" s="39"/>
      <c r="S28" s="39">
        <v>1</v>
      </c>
      <c r="T28" s="39"/>
      <c r="U28" s="39">
        <v>0.17</v>
      </c>
      <c r="V28" s="39"/>
      <c r="W28" s="39"/>
      <c r="X28" s="49" t="s">
        <v>90</v>
      </c>
      <c r="Y28" s="50">
        <v>2820</v>
      </c>
      <c r="Z28" s="51">
        <v>2700</v>
      </c>
      <c r="AA28" s="52">
        <f t="shared" si="0"/>
        <v>0.957446808510638</v>
      </c>
      <c r="AB28" s="12">
        <v>2700</v>
      </c>
      <c r="AC28" s="12">
        <v>0</v>
      </c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3"/>
      <c r="AV28" s="43"/>
    </row>
    <row r="29" ht="15.75" spans="1:48">
      <c r="A29" s="12">
        <v>25</v>
      </c>
      <c r="B29" s="44">
        <v>4490</v>
      </c>
      <c r="C29" s="45" t="s">
        <v>91</v>
      </c>
      <c r="D29" s="46">
        <v>3</v>
      </c>
      <c r="E29" s="47" t="s">
        <v>50</v>
      </c>
      <c r="F29" s="48">
        <v>9</v>
      </c>
      <c r="G29" s="38">
        <v>1.67</v>
      </c>
      <c r="H29" s="39"/>
      <c r="I29" s="39"/>
      <c r="J29" s="39"/>
      <c r="K29" s="39"/>
      <c r="L29" s="39"/>
      <c r="M29" s="39"/>
      <c r="N29" s="39"/>
      <c r="O29" s="39"/>
      <c r="P29" s="39"/>
      <c r="Q29" s="39">
        <v>1.17</v>
      </c>
      <c r="R29" s="39"/>
      <c r="S29" s="39"/>
      <c r="T29" s="39">
        <v>0.33</v>
      </c>
      <c r="U29" s="39">
        <v>0.17</v>
      </c>
      <c r="V29" s="39"/>
      <c r="W29" s="39"/>
      <c r="X29" s="49">
        <v>9740</v>
      </c>
      <c r="Y29" s="50">
        <v>3780</v>
      </c>
      <c r="Z29" s="51">
        <v>2685</v>
      </c>
      <c r="AA29" s="52">
        <f t="shared" si="0"/>
        <v>0.71031746031746</v>
      </c>
      <c r="AB29" s="12">
        <v>2623</v>
      </c>
      <c r="AC29" s="12">
        <v>62</v>
      </c>
      <c r="AD29" s="19">
        <v>62</v>
      </c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</row>
    <row r="30" ht="15.75" spans="1:48">
      <c r="A30" s="12">
        <v>26</v>
      </c>
      <c r="B30" s="44">
        <v>3295</v>
      </c>
      <c r="C30" s="45" t="s">
        <v>92</v>
      </c>
      <c r="D30" s="46">
        <v>18</v>
      </c>
      <c r="E30" s="47" t="s">
        <v>93</v>
      </c>
      <c r="F30" s="48">
        <v>6.17</v>
      </c>
      <c r="G30" s="38">
        <v>1.34</v>
      </c>
      <c r="H30" s="39"/>
      <c r="I30" s="39"/>
      <c r="J30" s="39"/>
      <c r="K30" s="39">
        <v>0.17</v>
      </c>
      <c r="L30" s="39"/>
      <c r="M30" s="39"/>
      <c r="N30" s="39"/>
      <c r="O30" s="39"/>
      <c r="P30" s="39"/>
      <c r="Q30" s="39">
        <v>0.83</v>
      </c>
      <c r="R30" s="39"/>
      <c r="S30" s="39"/>
      <c r="T30" s="39">
        <v>0.17</v>
      </c>
      <c r="U30" s="39">
        <v>0.17</v>
      </c>
      <c r="V30" s="39"/>
      <c r="W30" s="39"/>
      <c r="X30" s="49">
        <v>6270</v>
      </c>
      <c r="Y30" s="50">
        <v>3732.85</v>
      </c>
      <c r="Z30" s="51">
        <v>3720</v>
      </c>
      <c r="AA30" s="52">
        <f t="shared" si="0"/>
        <v>0.99655759004514</v>
      </c>
      <c r="AB30" s="12">
        <v>3642</v>
      </c>
      <c r="AC30" s="12">
        <v>78</v>
      </c>
      <c r="AD30" s="19">
        <v>78</v>
      </c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</row>
    <row r="31" ht="15.75" spans="1:48">
      <c r="A31" s="12">
        <v>27</v>
      </c>
      <c r="B31" s="44">
        <v>669</v>
      </c>
      <c r="C31" s="45" t="s">
        <v>94</v>
      </c>
      <c r="D31" s="46">
        <v>7</v>
      </c>
      <c r="E31" s="47" t="s">
        <v>50</v>
      </c>
      <c r="F31" s="48">
        <v>6.67</v>
      </c>
      <c r="G31" s="38">
        <v>1.34</v>
      </c>
      <c r="H31" s="39"/>
      <c r="I31" s="39"/>
      <c r="J31" s="39"/>
      <c r="K31" s="39"/>
      <c r="L31" s="39"/>
      <c r="M31" s="39"/>
      <c r="N31" s="39"/>
      <c r="O31" s="39"/>
      <c r="P31" s="39"/>
      <c r="Q31" s="39">
        <v>1.17</v>
      </c>
      <c r="R31" s="39"/>
      <c r="S31" s="39"/>
      <c r="T31" s="39"/>
      <c r="U31" s="39">
        <v>0.17</v>
      </c>
      <c r="V31" s="39"/>
      <c r="W31" s="39"/>
      <c r="X31" s="49" t="s">
        <v>95</v>
      </c>
      <c r="Y31" s="50">
        <v>9338</v>
      </c>
      <c r="Z31" s="51">
        <v>9100</v>
      </c>
      <c r="AA31" s="52">
        <f t="shared" si="0"/>
        <v>0.974512743628186</v>
      </c>
      <c r="AB31" s="12">
        <v>9100</v>
      </c>
      <c r="AC31" s="12">
        <v>0</v>
      </c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</row>
    <row r="32" ht="15.75" spans="1:48">
      <c r="A32" s="12">
        <v>28</v>
      </c>
      <c r="B32" s="44">
        <v>669</v>
      </c>
      <c r="C32" s="45" t="s">
        <v>94</v>
      </c>
      <c r="D32" s="46">
        <v>17</v>
      </c>
      <c r="E32" s="47" t="s">
        <v>50</v>
      </c>
      <c r="F32" s="48">
        <v>2.5</v>
      </c>
      <c r="G32" s="38">
        <v>0.17</v>
      </c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>
        <v>0.17</v>
      </c>
      <c r="V32" s="39"/>
      <c r="W32" s="39"/>
      <c r="X32" s="49" t="s">
        <v>96</v>
      </c>
      <c r="Y32" s="50">
        <v>2537.5</v>
      </c>
      <c r="Z32" s="51">
        <v>3450</v>
      </c>
      <c r="AA32" s="52">
        <f t="shared" si="0"/>
        <v>1.35960591133005</v>
      </c>
      <c r="AB32" s="12">
        <v>3450</v>
      </c>
      <c r="AC32" s="12">
        <v>0</v>
      </c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  <c r="AQ32" s="43"/>
      <c r="AR32" s="43"/>
      <c r="AS32" s="43"/>
      <c r="AT32" s="43"/>
      <c r="AU32" s="43"/>
      <c r="AV32" s="43"/>
    </row>
    <row r="33" ht="15.75" spans="1:48">
      <c r="A33" s="12">
        <v>29</v>
      </c>
      <c r="B33" s="44">
        <v>4360</v>
      </c>
      <c r="C33" s="45" t="s">
        <v>97</v>
      </c>
      <c r="D33" s="46">
        <v>15</v>
      </c>
      <c r="E33" s="47" t="s">
        <v>50</v>
      </c>
      <c r="F33" s="48">
        <v>7.33</v>
      </c>
      <c r="G33" s="38">
        <v>2.67</v>
      </c>
      <c r="H33" s="39"/>
      <c r="I33" s="39"/>
      <c r="J33" s="39"/>
      <c r="K33" s="39"/>
      <c r="L33" s="39"/>
      <c r="M33" s="39"/>
      <c r="N33" s="39"/>
      <c r="O33" s="39"/>
      <c r="P33" s="39"/>
      <c r="Q33" s="39">
        <v>1.17</v>
      </c>
      <c r="R33" s="39"/>
      <c r="S33" s="39"/>
      <c r="T33" s="39">
        <v>1.33</v>
      </c>
      <c r="U33" s="39">
        <v>0.17</v>
      </c>
      <c r="V33" s="39"/>
      <c r="W33" s="39"/>
      <c r="X33" s="49">
        <v>9149</v>
      </c>
      <c r="Y33" s="50">
        <v>2638.8</v>
      </c>
      <c r="Z33" s="51">
        <v>2174</v>
      </c>
      <c r="AA33" s="52">
        <f t="shared" si="0"/>
        <v>0.823859329998484</v>
      </c>
      <c r="AB33" s="12">
        <v>1960</v>
      </c>
      <c r="AC33" s="12">
        <v>214</v>
      </c>
      <c r="AD33" s="19">
        <v>214</v>
      </c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3"/>
      <c r="AR33" s="43"/>
      <c r="AS33" s="43"/>
      <c r="AT33" s="43"/>
      <c r="AU33" s="43"/>
      <c r="AV33" s="43"/>
    </row>
    <row r="34" ht="15.75" spans="1:48">
      <c r="A34" s="12">
        <v>30</v>
      </c>
      <c r="B34" s="44">
        <v>4360</v>
      </c>
      <c r="C34" s="45" t="s">
        <v>97</v>
      </c>
      <c r="D34" s="46">
        <v>8</v>
      </c>
      <c r="E34" s="47" t="s">
        <v>50</v>
      </c>
      <c r="F34" s="48">
        <v>0.67</v>
      </c>
      <c r="G34" s="38">
        <v>0</v>
      </c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49">
        <v>2801</v>
      </c>
      <c r="Y34" s="50">
        <v>405.35</v>
      </c>
      <c r="Z34" s="51">
        <v>340</v>
      </c>
      <c r="AA34" s="52">
        <f t="shared" si="0"/>
        <v>0.838781300111015</v>
      </c>
      <c r="AB34" s="12">
        <v>340</v>
      </c>
      <c r="AC34" s="12">
        <v>0</v>
      </c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AV34" s="43"/>
    </row>
    <row r="35" ht="15.75" spans="1:48">
      <c r="A35" s="12">
        <v>31</v>
      </c>
      <c r="B35" s="44">
        <v>3268</v>
      </c>
      <c r="C35" s="45" t="s">
        <v>80</v>
      </c>
      <c r="D35" s="46"/>
      <c r="E35" s="47" t="s">
        <v>50</v>
      </c>
      <c r="F35" s="48">
        <v>4.17</v>
      </c>
      <c r="G35" s="38">
        <v>0</v>
      </c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49" t="s">
        <v>98</v>
      </c>
      <c r="Y35" s="50">
        <v>1959.9</v>
      </c>
      <c r="Z35" s="51">
        <v>1800</v>
      </c>
      <c r="AA35" s="52">
        <f t="shared" si="0"/>
        <v>0.918414204806368</v>
      </c>
      <c r="AB35" s="12">
        <v>1800</v>
      </c>
      <c r="AC35" s="12">
        <v>0</v>
      </c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</row>
    <row r="36" ht="15.75" spans="1:48">
      <c r="A36" s="12">
        <v>32</v>
      </c>
      <c r="B36" s="44">
        <v>3268</v>
      </c>
      <c r="C36" s="45" t="s">
        <v>80</v>
      </c>
      <c r="D36" s="46"/>
      <c r="E36" s="47" t="s">
        <v>50</v>
      </c>
      <c r="F36" s="48">
        <v>5.33</v>
      </c>
      <c r="G36" s="38">
        <v>1.34</v>
      </c>
      <c r="H36" s="39"/>
      <c r="I36" s="39"/>
      <c r="J36" s="39"/>
      <c r="K36" s="39"/>
      <c r="L36" s="39"/>
      <c r="M36" s="39"/>
      <c r="N36" s="39"/>
      <c r="O36" s="39"/>
      <c r="P36" s="39"/>
      <c r="Q36" s="39">
        <v>1.17</v>
      </c>
      <c r="R36" s="39"/>
      <c r="S36" s="39"/>
      <c r="T36" s="39"/>
      <c r="U36" s="39">
        <v>0.17</v>
      </c>
      <c r="V36" s="39"/>
      <c r="W36" s="39"/>
      <c r="X36" s="49" t="s">
        <v>90</v>
      </c>
      <c r="Y36" s="50">
        <v>2505.1</v>
      </c>
      <c r="Z36" s="51">
        <v>2340</v>
      </c>
      <c r="AA36" s="52">
        <f t="shared" si="0"/>
        <v>0.934094447327452</v>
      </c>
      <c r="AB36" s="12">
        <v>2340</v>
      </c>
      <c r="AC36" s="12">
        <v>0</v>
      </c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</row>
    <row r="37" ht="15.75" spans="1:48">
      <c r="A37" s="12">
        <v>33</v>
      </c>
      <c r="B37" s="44">
        <v>4310</v>
      </c>
      <c r="C37" s="45" t="s">
        <v>99</v>
      </c>
      <c r="D37" s="46">
        <v>5</v>
      </c>
      <c r="E37" s="47" t="s">
        <v>50</v>
      </c>
      <c r="F37" s="48">
        <v>10.17</v>
      </c>
      <c r="G37" s="38">
        <v>1.84</v>
      </c>
      <c r="H37" s="39"/>
      <c r="I37" s="39"/>
      <c r="J37" s="39"/>
      <c r="K37" s="39"/>
      <c r="L37" s="39"/>
      <c r="M37" s="39"/>
      <c r="N37" s="39"/>
      <c r="O37" s="39"/>
      <c r="P37" s="39"/>
      <c r="Q37" s="39">
        <v>1.17</v>
      </c>
      <c r="R37" s="39"/>
      <c r="S37" s="39"/>
      <c r="T37" s="39">
        <v>0.5</v>
      </c>
      <c r="U37" s="39">
        <v>0.17</v>
      </c>
      <c r="V37" s="39"/>
      <c r="W37" s="39"/>
      <c r="X37" s="49">
        <v>5770</v>
      </c>
      <c r="Y37" s="50">
        <v>6152.85</v>
      </c>
      <c r="Z37" s="51">
        <v>6252</v>
      </c>
      <c r="AA37" s="52">
        <f t="shared" si="0"/>
        <v>1.01611448353202</v>
      </c>
      <c r="AB37" s="12">
        <v>6075</v>
      </c>
      <c r="AC37" s="12">
        <v>177</v>
      </c>
      <c r="AD37" s="19">
        <v>177</v>
      </c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</row>
    <row r="38" ht="15.75" spans="1:48">
      <c r="A38" s="12">
        <v>34</v>
      </c>
      <c r="B38" s="44">
        <v>761</v>
      </c>
      <c r="C38" s="45" t="s">
        <v>89</v>
      </c>
      <c r="D38" s="46"/>
      <c r="E38" s="47" t="s">
        <v>50</v>
      </c>
      <c r="F38" s="48">
        <v>2.5</v>
      </c>
      <c r="G38" s="38">
        <v>0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49" t="s">
        <v>100</v>
      </c>
      <c r="Y38" s="50">
        <v>4800</v>
      </c>
      <c r="Z38" s="51">
        <v>4860</v>
      </c>
      <c r="AA38" s="52">
        <f t="shared" si="0"/>
        <v>1.0125</v>
      </c>
      <c r="AB38" s="12">
        <v>4860</v>
      </c>
      <c r="AC38" s="12">
        <v>0</v>
      </c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</row>
    <row r="39" ht="15.75" spans="1:48">
      <c r="A39" s="12">
        <v>35</v>
      </c>
      <c r="B39" s="44">
        <v>761</v>
      </c>
      <c r="C39" s="45" t="s">
        <v>89</v>
      </c>
      <c r="D39" s="46"/>
      <c r="E39" s="47" t="s">
        <v>50</v>
      </c>
      <c r="F39" s="48">
        <v>0.5</v>
      </c>
      <c r="G39" s="38">
        <v>0</v>
      </c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49" t="s">
        <v>101</v>
      </c>
      <c r="Y39" s="50">
        <v>960</v>
      </c>
      <c r="Z39" s="51">
        <v>1080</v>
      </c>
      <c r="AA39" s="52">
        <f t="shared" si="0"/>
        <v>1.125</v>
      </c>
      <c r="AB39" s="12">
        <v>1080</v>
      </c>
      <c r="AC39" s="12">
        <v>0</v>
      </c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</row>
    <row r="40" ht="15.75" spans="1:48">
      <c r="A40" s="12">
        <v>36</v>
      </c>
      <c r="B40" s="44">
        <v>761</v>
      </c>
      <c r="C40" s="45" t="s">
        <v>89</v>
      </c>
      <c r="D40" s="46"/>
      <c r="E40" s="47" t="s">
        <v>50</v>
      </c>
      <c r="F40" s="48">
        <v>0.67</v>
      </c>
      <c r="G40" s="38">
        <v>0</v>
      </c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49" t="s">
        <v>102</v>
      </c>
      <c r="Y40" s="50">
        <v>3015</v>
      </c>
      <c r="Z40" s="51">
        <v>3500</v>
      </c>
      <c r="AA40" s="52">
        <f t="shared" si="0"/>
        <v>1.16086235489221</v>
      </c>
      <c r="AB40" s="12">
        <v>3500</v>
      </c>
      <c r="AC40" s="12">
        <v>0</v>
      </c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</row>
    <row r="41" ht="15.75" spans="1:48">
      <c r="A41" s="12">
        <v>37</v>
      </c>
      <c r="B41" s="44">
        <v>4490</v>
      </c>
      <c r="C41" s="45" t="s">
        <v>91</v>
      </c>
      <c r="D41" s="46"/>
      <c r="E41" s="47" t="s">
        <v>50</v>
      </c>
      <c r="F41" s="48">
        <v>1.33</v>
      </c>
      <c r="G41" s="38">
        <v>0</v>
      </c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49" t="s">
        <v>103</v>
      </c>
      <c r="Y41" s="50">
        <v>1117.2</v>
      </c>
      <c r="Z41" s="51">
        <v>885</v>
      </c>
      <c r="AA41" s="52">
        <f t="shared" si="0"/>
        <v>0.792158968850698</v>
      </c>
      <c r="AB41" s="12">
        <v>885</v>
      </c>
      <c r="AC41" s="12">
        <v>0</v>
      </c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  <c r="AQ41" s="43"/>
      <c r="AR41" s="43"/>
      <c r="AS41" s="43"/>
      <c r="AT41" s="43"/>
      <c r="AU41" s="43"/>
      <c r="AV41" s="43"/>
    </row>
    <row r="42" ht="15.75" spans="1:48">
      <c r="A42" s="12">
        <v>38</v>
      </c>
      <c r="B42" s="53">
        <v>4360</v>
      </c>
      <c r="C42" s="45" t="s">
        <v>97</v>
      </c>
      <c r="D42" s="46"/>
      <c r="E42" s="47" t="s">
        <v>50</v>
      </c>
      <c r="F42" s="48">
        <v>1.33</v>
      </c>
      <c r="G42" s="38">
        <v>0</v>
      </c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49" t="s">
        <v>103</v>
      </c>
      <c r="Y42" s="50">
        <v>1117.2</v>
      </c>
      <c r="Z42" s="51">
        <v>940</v>
      </c>
      <c r="AA42" s="52">
        <f t="shared" si="0"/>
        <v>0.841389187253849</v>
      </c>
      <c r="AB42" s="12">
        <v>940</v>
      </c>
      <c r="AC42" s="12">
        <v>0</v>
      </c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  <c r="AQ42" s="43"/>
      <c r="AR42" s="43"/>
      <c r="AS42" s="43"/>
      <c r="AT42" s="43"/>
      <c r="AU42" s="43"/>
      <c r="AV42" s="43"/>
    </row>
    <row r="43" ht="15.75" spans="1:48">
      <c r="A43" s="12">
        <v>39</v>
      </c>
      <c r="B43" s="44">
        <v>669</v>
      </c>
      <c r="C43" s="45" t="s">
        <v>94</v>
      </c>
      <c r="D43" s="46"/>
      <c r="E43" s="47" t="s">
        <v>50</v>
      </c>
      <c r="F43" s="48">
        <v>1.33</v>
      </c>
      <c r="G43" s="38">
        <v>0</v>
      </c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49" t="s">
        <v>104</v>
      </c>
      <c r="Y43" s="50">
        <v>19950</v>
      </c>
      <c r="Z43" s="51">
        <v>20000</v>
      </c>
      <c r="AA43" s="52">
        <f t="shared" si="0"/>
        <v>1.00250626566416</v>
      </c>
      <c r="AB43" s="12">
        <v>20000</v>
      </c>
      <c r="AC43" s="12">
        <v>0</v>
      </c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  <c r="AQ43" s="43"/>
      <c r="AR43" s="43"/>
      <c r="AS43" s="43"/>
      <c r="AT43" s="43"/>
      <c r="AU43" s="43"/>
      <c r="AV43" s="43"/>
    </row>
    <row r="44" ht="15.75" spans="1:48">
      <c r="A44" s="12">
        <v>40</v>
      </c>
      <c r="B44" s="44">
        <v>3295</v>
      </c>
      <c r="C44" s="45" t="s">
        <v>92</v>
      </c>
      <c r="D44" s="46"/>
      <c r="E44" s="47" t="s">
        <v>50</v>
      </c>
      <c r="F44" s="48">
        <v>0.5</v>
      </c>
      <c r="G44" s="38">
        <v>0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49" t="s">
        <v>103</v>
      </c>
      <c r="Y44" s="50">
        <v>420</v>
      </c>
      <c r="Z44" s="51">
        <v>480</v>
      </c>
      <c r="AA44" s="52">
        <f t="shared" si="0"/>
        <v>1.14285714285714</v>
      </c>
      <c r="AB44" s="12">
        <v>480</v>
      </c>
      <c r="AC44" s="12">
        <v>0</v>
      </c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  <c r="AQ44" s="43"/>
      <c r="AR44" s="43"/>
      <c r="AS44" s="43"/>
      <c r="AT44" s="43"/>
      <c r="AU44" s="43"/>
      <c r="AV44" s="43"/>
    </row>
    <row r="45" ht="15.75" spans="1:48">
      <c r="A45" s="12">
        <v>41</v>
      </c>
      <c r="B45" s="44">
        <v>4321</v>
      </c>
      <c r="C45" s="45" t="e">
        <v>#N/A</v>
      </c>
      <c r="D45" s="46"/>
      <c r="E45" s="47" t="s">
        <v>50</v>
      </c>
      <c r="F45" s="48">
        <v>4</v>
      </c>
      <c r="G45" s="38">
        <v>0</v>
      </c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49" t="s">
        <v>103</v>
      </c>
      <c r="Y45" s="50">
        <v>3360</v>
      </c>
      <c r="Z45" s="51">
        <v>2235</v>
      </c>
      <c r="AA45" s="52">
        <f t="shared" si="0"/>
        <v>0.665178571428571</v>
      </c>
      <c r="AB45" s="12">
        <v>2235</v>
      </c>
      <c r="AC45" s="12">
        <v>0</v>
      </c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43"/>
      <c r="AS45" s="43"/>
      <c r="AT45" s="43"/>
      <c r="AU45" s="43"/>
      <c r="AV45" s="43"/>
    </row>
    <row r="46" ht="15.75" spans="1:48">
      <c r="A46" s="12">
        <v>42</v>
      </c>
      <c r="B46" s="44">
        <v>998</v>
      </c>
      <c r="C46" s="45" t="e">
        <v>#N/A</v>
      </c>
      <c r="D46" s="46"/>
      <c r="E46" s="47" t="s">
        <v>50</v>
      </c>
      <c r="F46" s="48">
        <v>9.5</v>
      </c>
      <c r="G46" s="38">
        <v>2.5</v>
      </c>
      <c r="H46" s="39"/>
      <c r="I46" s="39"/>
      <c r="J46" s="39"/>
      <c r="K46" s="39"/>
      <c r="L46" s="39"/>
      <c r="M46" s="39"/>
      <c r="N46" s="39"/>
      <c r="O46" s="39"/>
      <c r="P46" s="39"/>
      <c r="Q46" s="39">
        <v>1.17</v>
      </c>
      <c r="R46" s="39"/>
      <c r="S46" s="39"/>
      <c r="T46" s="39"/>
      <c r="U46" s="39">
        <v>1.33</v>
      </c>
      <c r="V46" s="39"/>
      <c r="W46" s="39"/>
      <c r="X46" s="49" t="s">
        <v>105</v>
      </c>
      <c r="Y46" s="50">
        <v>6270</v>
      </c>
      <c r="Z46" s="51">
        <v>4866</v>
      </c>
      <c r="AA46" s="52">
        <f t="shared" si="0"/>
        <v>0.776076555023923</v>
      </c>
      <c r="AB46" s="12">
        <v>4800</v>
      </c>
      <c r="AC46" s="12">
        <v>66</v>
      </c>
      <c r="AD46" s="19">
        <v>66</v>
      </c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  <c r="AQ46" s="43"/>
      <c r="AR46" s="43"/>
      <c r="AS46" s="43"/>
      <c r="AT46" s="43"/>
      <c r="AU46" s="43"/>
      <c r="AV46" s="43"/>
    </row>
    <row r="47" ht="15.75" spans="1:48">
      <c r="A47" s="12">
        <v>43</v>
      </c>
      <c r="B47" s="44">
        <v>3277</v>
      </c>
      <c r="C47" s="45" t="s">
        <v>106</v>
      </c>
      <c r="D47" s="46"/>
      <c r="E47" s="47" t="s">
        <v>50</v>
      </c>
      <c r="F47" s="48">
        <v>10.83</v>
      </c>
      <c r="G47" s="38">
        <v>1.17</v>
      </c>
      <c r="H47" s="39"/>
      <c r="I47" s="39"/>
      <c r="J47" s="39"/>
      <c r="K47" s="39"/>
      <c r="L47" s="39"/>
      <c r="M47" s="39"/>
      <c r="N47" s="39"/>
      <c r="O47" s="39"/>
      <c r="P47" s="39"/>
      <c r="Q47" s="39">
        <v>1.17</v>
      </c>
      <c r="R47" s="39"/>
      <c r="S47" s="39"/>
      <c r="T47" s="39"/>
      <c r="U47" s="39"/>
      <c r="V47" s="39"/>
      <c r="W47" s="39"/>
      <c r="X47" s="49" t="s">
        <v>107</v>
      </c>
      <c r="Y47" s="50">
        <v>0</v>
      </c>
      <c r="Z47" s="51"/>
      <c r="AA47" s="52">
        <f t="shared" si="0"/>
        <v>0</v>
      </c>
      <c r="AB47" s="12">
        <v>0</v>
      </c>
      <c r="AC47" s="12">
        <v>0</v>
      </c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  <c r="AQ47" s="43"/>
      <c r="AR47" s="43"/>
      <c r="AS47" s="43"/>
      <c r="AT47" s="43"/>
      <c r="AU47" s="43"/>
      <c r="AV47" s="43"/>
    </row>
    <row r="48" ht="15.75" spans="1:48">
      <c r="A48" s="12">
        <v>44</v>
      </c>
      <c r="B48" s="44">
        <v>849</v>
      </c>
      <c r="C48" s="45" t="s">
        <v>108</v>
      </c>
      <c r="D48" s="46"/>
      <c r="E48" s="47" t="s">
        <v>50</v>
      </c>
      <c r="F48" s="48">
        <v>7.17</v>
      </c>
      <c r="G48" s="38">
        <v>0.83</v>
      </c>
      <c r="H48" s="39"/>
      <c r="I48" s="39"/>
      <c r="J48" s="39"/>
      <c r="K48" s="39"/>
      <c r="L48" s="39"/>
      <c r="M48" s="39"/>
      <c r="N48" s="39"/>
      <c r="O48" s="39"/>
      <c r="P48" s="39"/>
      <c r="Q48" s="39">
        <v>0.83</v>
      </c>
      <c r="R48" s="39"/>
      <c r="S48" s="39"/>
      <c r="T48" s="39"/>
      <c r="U48" s="39"/>
      <c r="V48" s="39"/>
      <c r="W48" s="39"/>
      <c r="X48" s="49" t="s">
        <v>103</v>
      </c>
      <c r="Y48" s="50">
        <v>6022.8</v>
      </c>
      <c r="Z48" s="51">
        <v>3160</v>
      </c>
      <c r="AA48" s="52">
        <f t="shared" si="0"/>
        <v>0.524672909610148</v>
      </c>
      <c r="AB48" s="12">
        <v>3160</v>
      </c>
      <c r="AC48" s="12">
        <v>0</v>
      </c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  <c r="AP48" s="43"/>
      <c r="AQ48" s="43"/>
      <c r="AR48" s="43"/>
      <c r="AS48" s="43"/>
      <c r="AT48" s="43"/>
      <c r="AU48" s="43"/>
      <c r="AV48" s="43"/>
    </row>
    <row r="49" ht="15.75" spans="1:48">
      <c r="A49" s="12">
        <v>45</v>
      </c>
      <c r="B49" s="44">
        <v>850</v>
      </c>
      <c r="C49" s="45" t="s">
        <v>109</v>
      </c>
      <c r="D49" s="46"/>
      <c r="E49" s="47" t="s">
        <v>50</v>
      </c>
      <c r="F49" s="48">
        <v>7.17</v>
      </c>
      <c r="G49" s="38">
        <v>0.83</v>
      </c>
      <c r="H49" s="39"/>
      <c r="I49" s="39"/>
      <c r="J49" s="39"/>
      <c r="K49" s="39"/>
      <c r="L49" s="39"/>
      <c r="M49" s="39"/>
      <c r="N49" s="39"/>
      <c r="O49" s="39"/>
      <c r="P49" s="39"/>
      <c r="Q49" s="39">
        <v>0.83</v>
      </c>
      <c r="R49" s="39"/>
      <c r="S49" s="39"/>
      <c r="T49" s="39"/>
      <c r="U49" s="39"/>
      <c r="V49" s="39"/>
      <c r="W49" s="39"/>
      <c r="X49" s="49" t="s">
        <v>103</v>
      </c>
      <c r="Y49" s="50">
        <v>6022.8</v>
      </c>
      <c r="Z49" s="51">
        <v>3840</v>
      </c>
      <c r="AA49" s="52">
        <f t="shared" si="0"/>
        <v>0.637577206614864</v>
      </c>
      <c r="AB49" s="12">
        <v>3840</v>
      </c>
      <c r="AC49" s="12">
        <v>0</v>
      </c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  <c r="AP49" s="43"/>
      <c r="AQ49" s="43"/>
      <c r="AR49" s="43"/>
      <c r="AS49" s="43"/>
      <c r="AT49" s="43"/>
      <c r="AU49" s="43"/>
      <c r="AV49" s="43"/>
    </row>
    <row r="50" ht="15.75" spans="1:48">
      <c r="A50" s="12">
        <v>46</v>
      </c>
      <c r="B50" s="44">
        <v>976</v>
      </c>
      <c r="C50" s="45" t="s">
        <v>110</v>
      </c>
      <c r="D50" s="46"/>
      <c r="E50" s="47" t="s">
        <v>50</v>
      </c>
      <c r="F50" s="48">
        <v>7.17</v>
      </c>
      <c r="G50" s="38">
        <v>0.83</v>
      </c>
      <c r="H50" s="39"/>
      <c r="I50" s="39"/>
      <c r="J50" s="39"/>
      <c r="K50" s="39"/>
      <c r="L50" s="39"/>
      <c r="M50" s="39"/>
      <c r="N50" s="39"/>
      <c r="O50" s="39"/>
      <c r="P50" s="39"/>
      <c r="Q50" s="39">
        <v>0.83</v>
      </c>
      <c r="R50" s="39"/>
      <c r="S50" s="39"/>
      <c r="T50" s="39"/>
      <c r="U50" s="39"/>
      <c r="V50" s="39"/>
      <c r="W50" s="39"/>
      <c r="X50" s="49" t="s">
        <v>103</v>
      </c>
      <c r="Y50" s="50">
        <v>6022.8</v>
      </c>
      <c r="Z50" s="51">
        <v>3240</v>
      </c>
      <c r="AA50" s="52">
        <f t="shared" si="0"/>
        <v>0.537955768081291</v>
      </c>
      <c r="AB50" s="12">
        <v>3240</v>
      </c>
      <c r="AC50" s="12">
        <v>0</v>
      </c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  <c r="AQ50" s="43"/>
      <c r="AR50" s="43"/>
      <c r="AS50" s="43"/>
      <c r="AT50" s="43"/>
      <c r="AU50" s="43"/>
      <c r="AV50" s="43"/>
    </row>
    <row r="51" ht="15.75" spans="1:48">
      <c r="A51" s="12">
        <v>47</v>
      </c>
      <c r="B51" s="44">
        <v>4489</v>
      </c>
      <c r="C51" s="45" t="s">
        <v>88</v>
      </c>
      <c r="D51" s="46"/>
      <c r="E51" s="47" t="s">
        <v>50</v>
      </c>
      <c r="F51" s="48">
        <v>2</v>
      </c>
      <c r="G51" s="38">
        <v>0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49" t="s">
        <v>103</v>
      </c>
      <c r="Y51" s="50">
        <v>1680</v>
      </c>
      <c r="Z51" s="51">
        <v>1595</v>
      </c>
      <c r="AA51" s="52">
        <f t="shared" si="0"/>
        <v>0.949404761904762</v>
      </c>
      <c r="AB51" s="12">
        <v>1595</v>
      </c>
      <c r="AC51" s="12">
        <v>0</v>
      </c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3"/>
      <c r="AR51" s="43"/>
      <c r="AS51" s="43"/>
      <c r="AT51" s="43"/>
      <c r="AU51" s="43"/>
      <c r="AV51" s="43"/>
    </row>
    <row r="52" ht="15.75" spans="1:48">
      <c r="A52" s="12">
        <v>48</v>
      </c>
      <c r="B52" s="44">
        <v>2890</v>
      </c>
      <c r="C52" s="45" t="s">
        <v>111</v>
      </c>
      <c r="D52" s="46" t="s">
        <v>112</v>
      </c>
      <c r="E52" s="47" t="s">
        <v>113</v>
      </c>
      <c r="F52" s="48">
        <v>10</v>
      </c>
      <c r="G52" s="38">
        <v>2</v>
      </c>
      <c r="H52" s="39"/>
      <c r="I52" s="39"/>
      <c r="J52" s="39"/>
      <c r="K52" s="39">
        <v>0.17</v>
      </c>
      <c r="L52" s="39"/>
      <c r="M52" s="39"/>
      <c r="N52" s="39"/>
      <c r="O52" s="39"/>
      <c r="P52" s="39"/>
      <c r="Q52" s="39">
        <v>1.33</v>
      </c>
      <c r="R52" s="39"/>
      <c r="S52" s="39"/>
      <c r="T52" s="39"/>
      <c r="U52" s="39">
        <v>0.5</v>
      </c>
      <c r="V52" s="39"/>
      <c r="W52" s="39"/>
      <c r="X52" s="49" t="s">
        <v>114</v>
      </c>
      <c r="Y52" s="50">
        <v>9000</v>
      </c>
      <c r="Z52" s="51">
        <v>8400</v>
      </c>
      <c r="AA52" s="52">
        <f t="shared" si="0"/>
        <v>0.933333333333333</v>
      </c>
      <c r="AB52" s="12">
        <v>8373</v>
      </c>
      <c r="AC52" s="12">
        <v>27</v>
      </c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19">
        <v>27</v>
      </c>
      <c r="AO52" s="43"/>
      <c r="AP52" s="43"/>
      <c r="AQ52" s="43"/>
      <c r="AR52" s="43"/>
      <c r="AS52" s="43"/>
      <c r="AT52" s="43"/>
      <c r="AU52" s="43"/>
      <c r="AV52" s="43"/>
    </row>
    <row r="53" ht="15.75" spans="1:48">
      <c r="A53" s="12">
        <v>49</v>
      </c>
      <c r="B53" s="44">
        <v>4424</v>
      </c>
      <c r="C53" s="45" t="s">
        <v>115</v>
      </c>
      <c r="D53" s="46" t="s">
        <v>116</v>
      </c>
      <c r="E53" s="47" t="s">
        <v>113</v>
      </c>
      <c r="F53" s="48">
        <v>4.5</v>
      </c>
      <c r="G53" s="38">
        <v>1.5</v>
      </c>
      <c r="H53" s="39"/>
      <c r="I53" s="39"/>
      <c r="J53" s="39"/>
      <c r="K53" s="39"/>
      <c r="L53" s="39"/>
      <c r="M53" s="39"/>
      <c r="N53" s="39"/>
      <c r="O53" s="39"/>
      <c r="P53" s="39"/>
      <c r="Q53" s="39">
        <v>1.33</v>
      </c>
      <c r="R53" s="39"/>
      <c r="S53" s="39"/>
      <c r="T53" s="39"/>
      <c r="U53" s="39">
        <v>0.17</v>
      </c>
      <c r="V53" s="39"/>
      <c r="W53" s="39"/>
      <c r="X53" s="49" t="s">
        <v>117</v>
      </c>
      <c r="Y53" s="50">
        <v>13972.5</v>
      </c>
      <c r="Z53" s="51">
        <v>13980</v>
      </c>
      <c r="AA53" s="52">
        <f t="shared" si="0"/>
        <v>1.00053676865271</v>
      </c>
      <c r="AB53" s="12">
        <v>13980</v>
      </c>
      <c r="AC53" s="12">
        <v>0</v>
      </c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43"/>
      <c r="AQ53" s="43"/>
      <c r="AR53" s="43"/>
      <c r="AS53" s="43"/>
      <c r="AT53" s="43"/>
      <c r="AU53" s="43"/>
      <c r="AV53" s="43"/>
    </row>
    <row r="54" ht="15.75" spans="1:48">
      <c r="A54" s="12">
        <v>50</v>
      </c>
      <c r="B54" s="44">
        <v>4325</v>
      </c>
      <c r="C54" s="45" t="s">
        <v>118</v>
      </c>
      <c r="D54" s="46">
        <v>4</v>
      </c>
      <c r="E54" s="47" t="s">
        <v>113</v>
      </c>
      <c r="F54" s="48">
        <v>10.5</v>
      </c>
      <c r="G54" s="38">
        <v>1.5</v>
      </c>
      <c r="H54" s="39"/>
      <c r="I54" s="39"/>
      <c r="J54" s="39"/>
      <c r="K54" s="39"/>
      <c r="L54" s="39"/>
      <c r="M54" s="39"/>
      <c r="N54" s="39"/>
      <c r="O54" s="39"/>
      <c r="P54" s="39"/>
      <c r="Q54" s="39">
        <v>1.33</v>
      </c>
      <c r="R54" s="39"/>
      <c r="S54" s="39"/>
      <c r="T54" s="39"/>
      <c r="U54" s="39">
        <v>0.17</v>
      </c>
      <c r="V54" s="39"/>
      <c r="W54" s="39"/>
      <c r="X54" s="49">
        <v>9116</v>
      </c>
      <c r="Y54" s="50">
        <v>3150</v>
      </c>
      <c r="Z54" s="51">
        <v>3170</v>
      </c>
      <c r="AA54" s="52">
        <f t="shared" si="0"/>
        <v>1.00634920634921</v>
      </c>
      <c r="AB54" s="12">
        <v>3170</v>
      </c>
      <c r="AC54" s="12">
        <v>0</v>
      </c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43"/>
      <c r="AU54" s="43"/>
      <c r="AV54" s="43"/>
    </row>
    <row r="55" ht="15.75" spans="1:48">
      <c r="A55" s="12">
        <v>51</v>
      </c>
      <c r="B55" s="44">
        <v>4456</v>
      </c>
      <c r="C55" s="45" t="s">
        <v>119</v>
      </c>
      <c r="D55" s="46"/>
      <c r="E55" s="47" t="s">
        <v>113</v>
      </c>
      <c r="F55" s="48">
        <v>10.66</v>
      </c>
      <c r="G55" s="38">
        <v>1.33</v>
      </c>
      <c r="H55" s="39"/>
      <c r="I55" s="39"/>
      <c r="J55" s="39"/>
      <c r="K55" s="39"/>
      <c r="L55" s="39"/>
      <c r="M55" s="39"/>
      <c r="N55" s="39"/>
      <c r="O55" s="39"/>
      <c r="P55" s="39"/>
      <c r="Q55" s="39">
        <v>1.33</v>
      </c>
      <c r="R55" s="39"/>
      <c r="S55" s="39"/>
      <c r="T55" s="39"/>
      <c r="U55" s="39"/>
      <c r="V55" s="39"/>
      <c r="W55" s="39"/>
      <c r="X55" s="49" t="s">
        <v>120</v>
      </c>
      <c r="Y55" s="50">
        <v>2665</v>
      </c>
      <c r="Z55" s="51">
        <v>2600</v>
      </c>
      <c r="AA55" s="52">
        <f t="shared" si="0"/>
        <v>0.975609756097561</v>
      </c>
      <c r="AB55" s="12">
        <v>2600</v>
      </c>
      <c r="AC55" s="12">
        <v>0</v>
      </c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  <c r="AO55" s="43"/>
      <c r="AP55" s="43"/>
      <c r="AQ55" s="43"/>
      <c r="AR55" s="43"/>
      <c r="AS55" s="43"/>
      <c r="AT55" s="43"/>
      <c r="AU55" s="43"/>
      <c r="AV55" s="43"/>
    </row>
    <row r="56" ht="15.75" spans="1:48">
      <c r="A56" s="12">
        <v>52</v>
      </c>
      <c r="B56" s="44">
        <v>4424</v>
      </c>
      <c r="C56" s="45" t="s">
        <v>115</v>
      </c>
      <c r="D56" s="46"/>
      <c r="E56" s="47" t="s">
        <v>113</v>
      </c>
      <c r="F56" s="48">
        <v>3</v>
      </c>
      <c r="G56" s="38">
        <v>0</v>
      </c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49" t="s">
        <v>62</v>
      </c>
      <c r="Y56" s="50">
        <v>540</v>
      </c>
      <c r="Z56" s="51">
        <v>550</v>
      </c>
      <c r="AA56" s="52">
        <f t="shared" si="0"/>
        <v>1.01851851851852</v>
      </c>
      <c r="AB56" s="12">
        <v>550</v>
      </c>
      <c r="AC56" s="12">
        <v>0</v>
      </c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  <c r="AQ56" s="43"/>
      <c r="AR56" s="43"/>
      <c r="AS56" s="43"/>
      <c r="AT56" s="43"/>
      <c r="AU56" s="43"/>
      <c r="AV56" s="43"/>
    </row>
    <row r="57" ht="15.75" spans="1:48">
      <c r="A57" s="12">
        <v>53</v>
      </c>
      <c r="B57" s="44">
        <v>4424</v>
      </c>
      <c r="C57" s="45" t="s">
        <v>115</v>
      </c>
      <c r="D57" s="46"/>
      <c r="E57" s="47" t="s">
        <v>113</v>
      </c>
      <c r="F57" s="48">
        <v>3</v>
      </c>
      <c r="G57" s="38">
        <v>0</v>
      </c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49" t="s">
        <v>63</v>
      </c>
      <c r="Y57" s="50">
        <v>540</v>
      </c>
      <c r="Z57" s="51">
        <v>500</v>
      </c>
      <c r="AA57" s="52">
        <f t="shared" si="0"/>
        <v>0.925925925925926</v>
      </c>
      <c r="AB57" s="12">
        <v>500</v>
      </c>
      <c r="AC57" s="12">
        <v>0</v>
      </c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  <c r="AP57" s="43"/>
      <c r="AQ57" s="43"/>
      <c r="AR57" s="43"/>
      <c r="AS57" s="43"/>
      <c r="AT57" s="43"/>
      <c r="AU57" s="43"/>
      <c r="AV57" s="43"/>
    </row>
    <row r="58" ht="15.75" spans="1:48">
      <c r="A58" s="12">
        <v>54</v>
      </c>
      <c r="B58" s="44">
        <v>2649</v>
      </c>
      <c r="C58" s="45" t="s">
        <v>121</v>
      </c>
      <c r="D58" s="46"/>
      <c r="E58" s="47" t="s">
        <v>113</v>
      </c>
      <c r="F58" s="48">
        <v>8</v>
      </c>
      <c r="G58" s="38">
        <v>1.33</v>
      </c>
      <c r="H58" s="39"/>
      <c r="I58" s="39"/>
      <c r="J58" s="39"/>
      <c r="K58" s="39"/>
      <c r="L58" s="39"/>
      <c r="M58" s="39"/>
      <c r="N58" s="39"/>
      <c r="O58" s="39"/>
      <c r="P58" s="39"/>
      <c r="Q58" s="39">
        <v>1.33</v>
      </c>
      <c r="R58" s="39"/>
      <c r="S58" s="39"/>
      <c r="T58" s="39"/>
      <c r="U58" s="39"/>
      <c r="V58" s="39"/>
      <c r="W58" s="39"/>
      <c r="X58" s="49" t="s">
        <v>120</v>
      </c>
      <c r="Y58" s="50">
        <v>2000</v>
      </c>
      <c r="Z58" s="51">
        <v>1950</v>
      </c>
      <c r="AA58" s="52">
        <f t="shared" si="0"/>
        <v>0.975</v>
      </c>
      <c r="AB58" s="12">
        <v>1950</v>
      </c>
      <c r="AC58" s="12">
        <v>0</v>
      </c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</row>
    <row r="59" ht="15.75" spans="1:48">
      <c r="A59" s="12">
        <v>55</v>
      </c>
      <c r="B59" s="44">
        <v>2649</v>
      </c>
      <c r="C59" s="45" t="s">
        <v>121</v>
      </c>
      <c r="D59" s="46"/>
      <c r="E59" s="47" t="s">
        <v>113</v>
      </c>
      <c r="F59" s="48">
        <v>2.66</v>
      </c>
      <c r="G59" s="38">
        <v>0</v>
      </c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49" t="s">
        <v>122</v>
      </c>
      <c r="Y59" s="50">
        <v>0</v>
      </c>
      <c r="Z59" s="51"/>
      <c r="AA59" s="52">
        <f t="shared" si="0"/>
        <v>0</v>
      </c>
      <c r="AB59" s="12">
        <v>0</v>
      </c>
      <c r="AC59" s="12">
        <v>0</v>
      </c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  <c r="AQ59" s="43"/>
      <c r="AR59" s="43"/>
      <c r="AS59" s="43"/>
      <c r="AT59" s="43"/>
      <c r="AU59" s="43"/>
      <c r="AV59" s="43"/>
    </row>
    <row r="60" ht="15.75" spans="1:48">
      <c r="A60" s="12">
        <v>56</v>
      </c>
      <c r="B60" s="44">
        <v>3959</v>
      </c>
      <c r="C60" s="45" t="s">
        <v>123</v>
      </c>
      <c r="D60" s="46"/>
      <c r="E60" s="47" t="s">
        <v>113</v>
      </c>
      <c r="F60" s="48">
        <v>4.585</v>
      </c>
      <c r="G60" s="38">
        <v>0</v>
      </c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49" t="s">
        <v>62</v>
      </c>
      <c r="Y60" s="50">
        <v>825.3</v>
      </c>
      <c r="Z60" s="51">
        <v>850</v>
      </c>
      <c r="AA60" s="52">
        <f t="shared" si="0"/>
        <v>1.02992851084454</v>
      </c>
      <c r="AB60" s="12">
        <v>850</v>
      </c>
      <c r="AC60" s="12">
        <v>0</v>
      </c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  <c r="AO60" s="43"/>
      <c r="AP60" s="43"/>
      <c r="AQ60" s="43"/>
      <c r="AR60" s="43"/>
      <c r="AS60" s="43"/>
      <c r="AT60" s="43"/>
      <c r="AU60" s="43"/>
      <c r="AV60" s="43"/>
    </row>
    <row r="61" ht="15.75" spans="1:48">
      <c r="A61" s="12">
        <v>57</v>
      </c>
      <c r="B61" s="44">
        <v>3959</v>
      </c>
      <c r="C61" s="45" t="s">
        <v>123</v>
      </c>
      <c r="D61" s="46"/>
      <c r="E61" s="47" t="s">
        <v>113</v>
      </c>
      <c r="F61" s="48">
        <v>4.58</v>
      </c>
      <c r="G61" s="38">
        <v>2.83</v>
      </c>
      <c r="H61" s="39"/>
      <c r="I61" s="39"/>
      <c r="J61" s="39"/>
      <c r="K61" s="39"/>
      <c r="L61" s="39"/>
      <c r="M61" s="39"/>
      <c r="N61" s="39"/>
      <c r="O61" s="39"/>
      <c r="P61" s="39"/>
      <c r="Q61" s="39">
        <v>1.33</v>
      </c>
      <c r="R61" s="39"/>
      <c r="S61" s="39"/>
      <c r="T61" s="39">
        <v>1.5</v>
      </c>
      <c r="U61" s="39"/>
      <c r="V61" s="39"/>
      <c r="W61" s="39"/>
      <c r="X61" s="49" t="s">
        <v>63</v>
      </c>
      <c r="Y61" s="50">
        <v>824.4</v>
      </c>
      <c r="Z61" s="51">
        <v>850</v>
      </c>
      <c r="AA61" s="52">
        <f t="shared" si="0"/>
        <v>1.03105288694808</v>
      </c>
      <c r="AB61" s="12">
        <v>850</v>
      </c>
      <c r="AC61" s="12">
        <v>0</v>
      </c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  <c r="AP61" s="43"/>
      <c r="AQ61" s="43"/>
      <c r="AR61" s="43"/>
      <c r="AS61" s="43"/>
      <c r="AT61" s="43"/>
      <c r="AU61" s="43"/>
      <c r="AV61" s="43"/>
    </row>
    <row r="62" ht="15.75" spans="1:48">
      <c r="A62" s="12">
        <v>58</v>
      </c>
      <c r="B62" s="44">
        <v>3111</v>
      </c>
      <c r="C62" s="45" t="s">
        <v>124</v>
      </c>
      <c r="D62" s="46">
        <v>19</v>
      </c>
      <c r="E62" s="47" t="s">
        <v>113</v>
      </c>
      <c r="F62" s="48">
        <v>9</v>
      </c>
      <c r="G62" s="38">
        <v>0.17</v>
      </c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>
        <v>0.17</v>
      </c>
      <c r="V62" s="39"/>
      <c r="W62" s="39"/>
      <c r="X62" s="49">
        <v>123</v>
      </c>
      <c r="Y62" s="50">
        <v>2880</v>
      </c>
      <c r="Z62" s="51">
        <v>3000</v>
      </c>
      <c r="AA62" s="52">
        <f t="shared" si="0"/>
        <v>1.04166666666667</v>
      </c>
      <c r="AB62" s="12">
        <v>3000</v>
      </c>
      <c r="AC62" s="12">
        <v>0</v>
      </c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  <c r="AP62" s="43"/>
      <c r="AQ62" s="43"/>
      <c r="AR62" s="43"/>
      <c r="AS62" s="43"/>
      <c r="AT62" s="43"/>
      <c r="AU62" s="43"/>
      <c r="AV62" s="43"/>
    </row>
    <row r="63" ht="15.75" spans="1:48">
      <c r="A63" s="12">
        <v>59</v>
      </c>
      <c r="B63" s="44">
        <v>4418</v>
      </c>
      <c r="C63" s="45" t="s">
        <v>125</v>
      </c>
      <c r="D63" s="46">
        <v>12</v>
      </c>
      <c r="E63" s="47" t="s">
        <v>113</v>
      </c>
      <c r="F63" s="48">
        <v>1</v>
      </c>
      <c r="G63" s="38">
        <v>0.17</v>
      </c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>
        <v>0.17</v>
      </c>
      <c r="V63" s="39"/>
      <c r="W63" s="39"/>
      <c r="X63" s="49" t="s">
        <v>126</v>
      </c>
      <c r="Y63" s="50">
        <v>335</v>
      </c>
      <c r="Z63" s="51">
        <v>337</v>
      </c>
      <c r="AA63" s="52">
        <f t="shared" si="0"/>
        <v>1.00597014925373</v>
      </c>
      <c r="AB63" s="12">
        <v>337</v>
      </c>
      <c r="AC63" s="12">
        <v>0</v>
      </c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  <c r="AP63" s="43"/>
      <c r="AQ63" s="43"/>
      <c r="AR63" s="43"/>
      <c r="AS63" s="43"/>
      <c r="AT63" s="43"/>
      <c r="AU63" s="43"/>
      <c r="AV63" s="43"/>
    </row>
    <row r="64" ht="15.75" spans="1:48">
      <c r="A64" s="12">
        <v>60</v>
      </c>
      <c r="B64" s="44">
        <v>4418</v>
      </c>
      <c r="C64" s="45" t="s">
        <v>125</v>
      </c>
      <c r="D64" s="46">
        <v>19</v>
      </c>
      <c r="E64" s="47" t="s">
        <v>113</v>
      </c>
      <c r="F64" s="48">
        <v>9.17</v>
      </c>
      <c r="G64" s="38">
        <v>1.66</v>
      </c>
      <c r="H64" s="39"/>
      <c r="I64" s="39"/>
      <c r="J64" s="39">
        <v>0.33</v>
      </c>
      <c r="K64" s="39"/>
      <c r="L64" s="39"/>
      <c r="M64" s="39"/>
      <c r="N64" s="39"/>
      <c r="O64" s="39"/>
      <c r="P64" s="39"/>
      <c r="Q64" s="39">
        <v>1.33</v>
      </c>
      <c r="R64" s="39"/>
      <c r="S64" s="39"/>
      <c r="T64" s="39"/>
      <c r="U64" s="39"/>
      <c r="V64" s="39"/>
      <c r="W64" s="39"/>
      <c r="X64" s="49">
        <v>123</v>
      </c>
      <c r="Y64" s="50">
        <v>2934.4</v>
      </c>
      <c r="Z64" s="51">
        <v>3000</v>
      </c>
      <c r="AA64" s="52">
        <f t="shared" si="0"/>
        <v>1.02235550708833</v>
      </c>
      <c r="AB64" s="12">
        <v>3000</v>
      </c>
      <c r="AC64" s="12">
        <v>0</v>
      </c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  <c r="AP64" s="43"/>
      <c r="AQ64" s="43"/>
      <c r="AR64" s="43"/>
      <c r="AS64" s="43"/>
      <c r="AT64" s="43"/>
      <c r="AU64" s="43"/>
      <c r="AV64" s="43"/>
    </row>
    <row r="65" ht="15.75" spans="1:48">
      <c r="A65" s="12">
        <v>61</v>
      </c>
      <c r="B65" s="44">
        <v>3111</v>
      </c>
      <c r="C65" s="45" t="s">
        <v>124</v>
      </c>
      <c r="D65" s="46"/>
      <c r="E65" s="47" t="s">
        <v>113</v>
      </c>
      <c r="F65" s="48">
        <v>1.5</v>
      </c>
      <c r="G65" s="38">
        <v>1.33</v>
      </c>
      <c r="H65" s="39"/>
      <c r="I65" s="39"/>
      <c r="J65" s="39"/>
      <c r="K65" s="39"/>
      <c r="L65" s="39"/>
      <c r="M65" s="39"/>
      <c r="N65" s="39"/>
      <c r="O65" s="39"/>
      <c r="P65" s="39"/>
      <c r="Q65" s="39">
        <v>1.33</v>
      </c>
      <c r="R65" s="39"/>
      <c r="S65" s="39"/>
      <c r="T65" s="39"/>
      <c r="U65" s="39"/>
      <c r="V65" s="39"/>
      <c r="W65" s="39"/>
      <c r="X65" s="49" t="s">
        <v>127</v>
      </c>
      <c r="Y65" s="50">
        <v>1365</v>
      </c>
      <c r="Z65" s="51">
        <v>2025</v>
      </c>
      <c r="AA65" s="52">
        <f t="shared" si="0"/>
        <v>1.48351648351648</v>
      </c>
      <c r="AB65" s="12">
        <v>2025</v>
      </c>
      <c r="AC65" s="12">
        <v>0</v>
      </c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  <c r="AP65" s="43"/>
      <c r="AQ65" s="43"/>
      <c r="AR65" s="43"/>
      <c r="AS65" s="43"/>
      <c r="AT65" s="43"/>
      <c r="AU65" s="43"/>
      <c r="AV65" s="43"/>
    </row>
    <row r="66" ht="15.75" spans="1:48">
      <c r="A66" s="12">
        <v>62</v>
      </c>
      <c r="B66" s="44">
        <v>4478</v>
      </c>
      <c r="C66" s="45" t="s">
        <v>128</v>
      </c>
      <c r="D66" s="46" t="s">
        <v>129</v>
      </c>
      <c r="E66" s="47" t="s">
        <v>130</v>
      </c>
      <c r="F66" s="48">
        <v>4.5</v>
      </c>
      <c r="G66" s="38">
        <v>7.51</v>
      </c>
      <c r="H66" s="39"/>
      <c r="I66" s="39"/>
      <c r="J66" s="39"/>
      <c r="K66" s="39"/>
      <c r="L66" s="39"/>
      <c r="M66" s="39"/>
      <c r="N66" s="39"/>
      <c r="O66" s="39"/>
      <c r="P66" s="39"/>
      <c r="Q66" s="39">
        <v>1.17</v>
      </c>
      <c r="R66" s="39"/>
      <c r="S66" s="39"/>
      <c r="T66" s="39"/>
      <c r="U66" s="39">
        <v>0.17</v>
      </c>
      <c r="V66" s="39">
        <v>6.17</v>
      </c>
      <c r="W66" s="39"/>
      <c r="X66" s="49" t="s">
        <v>131</v>
      </c>
      <c r="Y66" s="50">
        <v>10800</v>
      </c>
      <c r="Z66" s="51">
        <v>8800</v>
      </c>
      <c r="AA66" s="52">
        <f t="shared" si="0"/>
        <v>0.814814814814815</v>
      </c>
      <c r="AB66" s="12">
        <v>8800</v>
      </c>
      <c r="AC66" s="12">
        <v>0</v>
      </c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43"/>
      <c r="AV66" s="43"/>
    </row>
    <row r="67" ht="15.75" spans="1:48">
      <c r="A67" s="12">
        <v>63</v>
      </c>
      <c r="B67" s="44">
        <v>4352</v>
      </c>
      <c r="C67" s="45" t="s">
        <v>132</v>
      </c>
      <c r="D67" s="46" t="s">
        <v>81</v>
      </c>
      <c r="E67" s="47" t="s">
        <v>113</v>
      </c>
      <c r="F67" s="48">
        <v>10.5</v>
      </c>
      <c r="G67" s="38">
        <v>1.5</v>
      </c>
      <c r="H67" s="39"/>
      <c r="I67" s="39"/>
      <c r="J67" s="39"/>
      <c r="K67" s="39"/>
      <c r="L67" s="39"/>
      <c r="M67" s="39"/>
      <c r="N67" s="39"/>
      <c r="O67" s="39"/>
      <c r="P67" s="39"/>
      <c r="Q67" s="39">
        <v>1.33</v>
      </c>
      <c r="R67" s="39"/>
      <c r="S67" s="39"/>
      <c r="T67" s="39"/>
      <c r="U67" s="39">
        <v>0.17</v>
      </c>
      <c r="V67" s="39"/>
      <c r="W67" s="39"/>
      <c r="X67" s="49" t="s">
        <v>82</v>
      </c>
      <c r="Y67" s="50">
        <v>17062.5</v>
      </c>
      <c r="Z67" s="51">
        <v>17052</v>
      </c>
      <c r="AA67" s="52">
        <f t="shared" si="0"/>
        <v>0.999384615384615</v>
      </c>
      <c r="AB67" s="12">
        <v>17024</v>
      </c>
      <c r="AC67" s="12">
        <v>28</v>
      </c>
      <c r="AD67" s="43"/>
      <c r="AE67" s="43"/>
      <c r="AF67" s="43"/>
      <c r="AG67" s="19">
        <v>28</v>
      </c>
      <c r="AH67" s="43"/>
      <c r="AI67" s="43"/>
      <c r="AJ67" s="43"/>
      <c r="AK67" s="43"/>
      <c r="AL67" s="43"/>
      <c r="AM67" s="43"/>
      <c r="AN67" s="43"/>
      <c r="AO67" s="43"/>
      <c r="AP67" s="43"/>
      <c r="AQ67" s="43"/>
      <c r="AR67" s="43"/>
      <c r="AS67" s="43"/>
      <c r="AT67" s="43"/>
      <c r="AU67" s="43"/>
      <c r="AV67" s="43"/>
    </row>
    <row r="68" ht="15.75" spans="1:48">
      <c r="A68" s="12">
        <v>64</v>
      </c>
      <c r="B68" s="44">
        <v>4496</v>
      </c>
      <c r="C68" s="45" t="s">
        <v>133</v>
      </c>
      <c r="D68" s="46" t="s">
        <v>73</v>
      </c>
      <c r="E68" s="47" t="s">
        <v>113</v>
      </c>
      <c r="F68" s="48">
        <v>10.5</v>
      </c>
      <c r="G68" s="38">
        <v>1.5</v>
      </c>
      <c r="H68" s="39"/>
      <c r="I68" s="39"/>
      <c r="J68" s="39"/>
      <c r="K68" s="39"/>
      <c r="L68" s="39"/>
      <c r="M68" s="39"/>
      <c r="N68" s="39"/>
      <c r="O68" s="39"/>
      <c r="P68" s="39"/>
      <c r="Q68" s="39">
        <v>1.33</v>
      </c>
      <c r="R68" s="39"/>
      <c r="S68" s="39"/>
      <c r="T68" s="39"/>
      <c r="U68" s="39">
        <v>0.17</v>
      </c>
      <c r="V68" s="39"/>
      <c r="W68" s="39"/>
      <c r="X68" s="49" t="s">
        <v>74</v>
      </c>
      <c r="Y68" s="50">
        <v>17062.5</v>
      </c>
      <c r="Z68" s="51">
        <v>16788</v>
      </c>
      <c r="AA68" s="52">
        <f t="shared" si="0"/>
        <v>0.983912087912088</v>
      </c>
      <c r="AB68" s="12">
        <v>16776</v>
      </c>
      <c r="AC68" s="12">
        <v>12</v>
      </c>
      <c r="AD68" s="43"/>
      <c r="AE68" s="43"/>
      <c r="AF68" s="43"/>
      <c r="AG68" s="19">
        <v>12</v>
      </c>
      <c r="AH68" s="43"/>
      <c r="AI68" s="43"/>
      <c r="AJ68" s="43"/>
      <c r="AK68" s="43"/>
      <c r="AL68" s="43"/>
      <c r="AM68" s="43"/>
      <c r="AN68" s="43"/>
      <c r="AO68" s="43"/>
      <c r="AP68" s="43"/>
      <c r="AQ68" s="43"/>
      <c r="AR68" s="43"/>
      <c r="AS68" s="43"/>
      <c r="AT68" s="43"/>
      <c r="AU68" s="43"/>
      <c r="AV68" s="43"/>
    </row>
    <row r="69" ht="15.75" spans="1:48">
      <c r="A69" s="12">
        <v>65</v>
      </c>
      <c r="B69" s="44">
        <v>4019</v>
      </c>
      <c r="C69" s="45" t="s">
        <v>134</v>
      </c>
      <c r="D69" s="46" t="s">
        <v>83</v>
      </c>
      <c r="E69" s="47" t="s">
        <v>113</v>
      </c>
      <c r="F69" s="48">
        <v>10.17</v>
      </c>
      <c r="G69" s="38">
        <v>1.83</v>
      </c>
      <c r="H69" s="39"/>
      <c r="I69" s="39"/>
      <c r="J69" s="39"/>
      <c r="K69" s="39">
        <v>0.17</v>
      </c>
      <c r="L69" s="39"/>
      <c r="M69" s="39"/>
      <c r="N69" s="39"/>
      <c r="O69" s="39"/>
      <c r="P69" s="39"/>
      <c r="Q69" s="39">
        <v>1.33</v>
      </c>
      <c r="R69" s="39"/>
      <c r="S69" s="39"/>
      <c r="T69" s="39"/>
      <c r="U69" s="39">
        <v>0.33</v>
      </c>
      <c r="V69" s="39"/>
      <c r="W69" s="39"/>
      <c r="X69" s="49" t="s">
        <v>84</v>
      </c>
      <c r="Y69" s="50">
        <v>50850</v>
      </c>
      <c r="Z69" s="51">
        <v>46170</v>
      </c>
      <c r="AA69" s="52">
        <f t="shared" si="0"/>
        <v>0.907964601769911</v>
      </c>
      <c r="AB69" s="12">
        <v>46080</v>
      </c>
      <c r="AC69" s="12">
        <v>90</v>
      </c>
      <c r="AD69" s="43"/>
      <c r="AE69" s="43"/>
      <c r="AF69" s="43"/>
      <c r="AG69" s="19">
        <v>36</v>
      </c>
      <c r="AH69" s="43"/>
      <c r="AI69" s="43"/>
      <c r="AJ69" s="43"/>
      <c r="AK69" s="43"/>
      <c r="AL69" s="43"/>
      <c r="AM69" s="43"/>
      <c r="AN69" s="19">
        <v>54</v>
      </c>
      <c r="AO69" s="43"/>
      <c r="AP69" s="43"/>
      <c r="AQ69" s="43"/>
      <c r="AR69" s="43"/>
      <c r="AS69" s="43"/>
      <c r="AT69" s="43"/>
      <c r="AU69" s="43"/>
      <c r="AV69" s="43"/>
    </row>
    <row r="70" ht="15.75" spans="1:48">
      <c r="A70" s="12">
        <v>66</v>
      </c>
      <c r="B70" s="44">
        <v>4019</v>
      </c>
      <c r="C70" s="45" t="s">
        <v>134</v>
      </c>
      <c r="D70" s="46" t="s">
        <v>76</v>
      </c>
      <c r="E70" s="47" t="s">
        <v>113</v>
      </c>
      <c r="F70" s="48">
        <v>10.17</v>
      </c>
      <c r="G70" s="38">
        <v>1.83</v>
      </c>
      <c r="H70" s="39"/>
      <c r="I70" s="39"/>
      <c r="J70" s="39"/>
      <c r="K70" s="39">
        <v>0.17</v>
      </c>
      <c r="L70" s="39"/>
      <c r="M70" s="39"/>
      <c r="N70" s="39"/>
      <c r="O70" s="39"/>
      <c r="P70" s="39"/>
      <c r="Q70" s="39">
        <v>1.33</v>
      </c>
      <c r="R70" s="39"/>
      <c r="S70" s="39"/>
      <c r="T70" s="39"/>
      <c r="U70" s="39">
        <v>0.33</v>
      </c>
      <c r="V70" s="39"/>
      <c r="W70" s="39"/>
      <c r="X70" s="54" t="s">
        <v>77</v>
      </c>
      <c r="Y70" s="50">
        <v>61020</v>
      </c>
      <c r="Z70" s="51">
        <v>58000</v>
      </c>
      <c r="AA70" s="52">
        <f t="shared" si="0"/>
        <v>0.950508030154048</v>
      </c>
      <c r="AB70" s="12">
        <v>57840</v>
      </c>
      <c r="AC70" s="12">
        <v>160</v>
      </c>
      <c r="AD70" s="43"/>
      <c r="AE70" s="43"/>
      <c r="AF70" s="43"/>
      <c r="AG70" s="19">
        <v>88</v>
      </c>
      <c r="AH70" s="43"/>
      <c r="AI70" s="43"/>
      <c r="AJ70" s="43"/>
      <c r="AK70" s="43"/>
      <c r="AL70" s="43"/>
      <c r="AM70" s="43"/>
      <c r="AN70" s="19">
        <v>72</v>
      </c>
      <c r="AO70" s="43"/>
      <c r="AP70" s="43"/>
      <c r="AQ70" s="43"/>
      <c r="AR70" s="43"/>
      <c r="AS70" s="43"/>
      <c r="AT70" s="43"/>
      <c r="AU70" s="43"/>
      <c r="AV70" s="43"/>
    </row>
    <row r="71" ht="15.75" spans="1:48">
      <c r="A71" s="12">
        <v>67</v>
      </c>
      <c r="B71" s="44">
        <v>4019</v>
      </c>
      <c r="C71" s="45" t="s">
        <v>134</v>
      </c>
      <c r="D71" s="46" t="s">
        <v>78</v>
      </c>
      <c r="E71" s="47" t="s">
        <v>113</v>
      </c>
      <c r="F71" s="48">
        <v>10.17</v>
      </c>
      <c r="G71" s="38">
        <v>1.83</v>
      </c>
      <c r="H71" s="39"/>
      <c r="I71" s="39"/>
      <c r="J71" s="39"/>
      <c r="K71" s="39">
        <v>0.17</v>
      </c>
      <c r="L71" s="39"/>
      <c r="M71" s="39"/>
      <c r="N71" s="39"/>
      <c r="O71" s="39"/>
      <c r="P71" s="39"/>
      <c r="Q71" s="39">
        <v>1.33</v>
      </c>
      <c r="R71" s="39"/>
      <c r="S71" s="39"/>
      <c r="T71" s="39"/>
      <c r="U71" s="39">
        <v>0.33</v>
      </c>
      <c r="V71" s="39"/>
      <c r="W71" s="39"/>
      <c r="X71" s="49" t="s">
        <v>79</v>
      </c>
      <c r="Y71" s="50">
        <v>67732.2</v>
      </c>
      <c r="Z71" s="51">
        <v>60848</v>
      </c>
      <c r="AA71" s="52">
        <f t="shared" si="0"/>
        <v>0.89836148833199</v>
      </c>
      <c r="AB71" s="12">
        <v>60736</v>
      </c>
      <c r="AC71" s="12">
        <v>112</v>
      </c>
      <c r="AD71" s="43"/>
      <c r="AE71" s="43"/>
      <c r="AF71" s="43"/>
      <c r="AG71" s="19">
        <v>48</v>
      </c>
      <c r="AH71" s="43"/>
      <c r="AI71" s="43"/>
      <c r="AJ71" s="43"/>
      <c r="AK71" s="43"/>
      <c r="AL71" s="43"/>
      <c r="AM71" s="43"/>
      <c r="AN71" s="19">
        <v>64</v>
      </c>
      <c r="AO71" s="43"/>
      <c r="AP71" s="43"/>
      <c r="AQ71" s="43"/>
      <c r="AR71" s="43"/>
      <c r="AS71" s="43"/>
      <c r="AT71" s="43"/>
      <c r="AU71" s="43"/>
      <c r="AV71" s="43"/>
    </row>
    <row r="72" ht="15.75" spans="1:48">
      <c r="A72" s="12">
        <v>68</v>
      </c>
      <c r="B72" s="44">
        <v>4110</v>
      </c>
      <c r="C72" s="45" t="s">
        <v>135</v>
      </c>
      <c r="D72" s="46" t="s">
        <v>129</v>
      </c>
      <c r="E72" s="47" t="s">
        <v>113</v>
      </c>
      <c r="F72" s="48">
        <v>10.5</v>
      </c>
      <c r="G72" s="38">
        <v>1.5</v>
      </c>
      <c r="H72" s="39"/>
      <c r="I72" s="39"/>
      <c r="J72" s="39"/>
      <c r="K72" s="39"/>
      <c r="L72" s="39"/>
      <c r="M72" s="39"/>
      <c r="N72" s="39"/>
      <c r="O72" s="39"/>
      <c r="P72" s="39"/>
      <c r="Q72" s="39">
        <v>1.33</v>
      </c>
      <c r="R72" s="39"/>
      <c r="S72" s="39"/>
      <c r="T72" s="39"/>
      <c r="U72" s="39">
        <v>0.17</v>
      </c>
      <c r="V72" s="39"/>
      <c r="W72" s="39"/>
      <c r="X72" s="49" t="s">
        <v>136</v>
      </c>
      <c r="Y72" s="50">
        <v>25200</v>
      </c>
      <c r="Z72" s="51">
        <v>21244</v>
      </c>
      <c r="AA72" s="52">
        <f t="shared" ref="AA72:AA95" si="1">IFERROR(Z72/Y72,0)</f>
        <v>0.843015873015873</v>
      </c>
      <c r="AB72" s="12">
        <v>21208</v>
      </c>
      <c r="AC72" s="12">
        <v>36</v>
      </c>
      <c r="AD72" s="43"/>
      <c r="AE72" s="43"/>
      <c r="AF72" s="43"/>
      <c r="AG72" s="19">
        <v>36</v>
      </c>
      <c r="AH72" s="43"/>
      <c r="AI72" s="43"/>
      <c r="AJ72" s="43"/>
      <c r="AK72" s="43"/>
      <c r="AL72" s="43"/>
      <c r="AM72" s="43"/>
      <c r="AN72" s="43"/>
      <c r="AO72" s="43"/>
      <c r="AP72" s="43"/>
      <c r="AQ72" s="43"/>
      <c r="AR72" s="43"/>
      <c r="AS72" s="43"/>
      <c r="AT72" s="43"/>
      <c r="AU72" s="43"/>
      <c r="AV72" s="43"/>
    </row>
    <row r="73" ht="15.75" spans="1:48">
      <c r="A73" s="12">
        <v>69</v>
      </c>
      <c r="B73" s="44">
        <v>3919</v>
      </c>
      <c r="C73" s="45" t="s">
        <v>137</v>
      </c>
      <c r="D73" s="46" t="s">
        <v>138</v>
      </c>
      <c r="E73" s="47" t="s">
        <v>113</v>
      </c>
      <c r="F73" s="48">
        <v>3.17</v>
      </c>
      <c r="G73" s="38">
        <v>1.33</v>
      </c>
      <c r="H73" s="39"/>
      <c r="I73" s="39"/>
      <c r="J73" s="39"/>
      <c r="K73" s="39"/>
      <c r="L73" s="39"/>
      <c r="M73" s="39"/>
      <c r="N73" s="39"/>
      <c r="O73" s="39"/>
      <c r="P73" s="39"/>
      <c r="Q73" s="39">
        <v>1.33</v>
      </c>
      <c r="R73" s="39"/>
      <c r="S73" s="39"/>
      <c r="T73" s="39"/>
      <c r="U73" s="39"/>
      <c r="V73" s="39"/>
      <c r="W73" s="39"/>
      <c r="X73" s="49" t="s">
        <v>139</v>
      </c>
      <c r="Y73" s="50">
        <v>4834.25</v>
      </c>
      <c r="Z73" s="51">
        <v>5000</v>
      </c>
      <c r="AA73" s="52">
        <f t="shared" si="1"/>
        <v>1.03428660081709</v>
      </c>
      <c r="AB73" s="12">
        <v>5000</v>
      </c>
      <c r="AC73" s="12">
        <v>0</v>
      </c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  <c r="AP73" s="43"/>
      <c r="AQ73" s="43"/>
      <c r="AR73" s="43"/>
      <c r="AS73" s="43"/>
      <c r="AT73" s="43"/>
      <c r="AU73" s="43"/>
      <c r="AV73" s="43"/>
    </row>
    <row r="74" ht="15.75" spans="1:48">
      <c r="A74" s="12">
        <v>70</v>
      </c>
      <c r="B74" s="44">
        <v>3919</v>
      </c>
      <c r="C74" s="45" t="s">
        <v>137</v>
      </c>
      <c r="D74" s="46"/>
      <c r="E74" s="47" t="s">
        <v>113</v>
      </c>
      <c r="F74" s="48">
        <v>7.5</v>
      </c>
      <c r="G74" s="38">
        <v>0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49" t="s">
        <v>140</v>
      </c>
      <c r="Y74" s="50">
        <v>0</v>
      </c>
      <c r="Z74" s="51"/>
      <c r="AA74" s="52">
        <f t="shared" si="1"/>
        <v>0</v>
      </c>
      <c r="AB74" s="12">
        <v>0</v>
      </c>
      <c r="AC74" s="12">
        <v>0</v>
      </c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  <c r="AP74" s="43"/>
      <c r="AQ74" s="43"/>
      <c r="AR74" s="43"/>
      <c r="AS74" s="43"/>
      <c r="AT74" s="43"/>
      <c r="AU74" s="43"/>
      <c r="AV74" s="43"/>
    </row>
    <row r="75" ht="15.75" spans="1:48">
      <c r="A75" s="12">
        <v>71</v>
      </c>
      <c r="B75" s="44">
        <v>977</v>
      </c>
      <c r="C75" s="45" t="s">
        <v>141</v>
      </c>
      <c r="D75" s="46">
        <v>17</v>
      </c>
      <c r="E75" s="47" t="s">
        <v>113</v>
      </c>
      <c r="F75" s="48">
        <v>8.67</v>
      </c>
      <c r="G75" s="38">
        <v>1.33</v>
      </c>
      <c r="H75" s="39"/>
      <c r="I75" s="39"/>
      <c r="J75" s="39"/>
      <c r="K75" s="39"/>
      <c r="L75" s="39"/>
      <c r="M75" s="39"/>
      <c r="N75" s="39"/>
      <c r="O75" s="39"/>
      <c r="P75" s="39"/>
      <c r="Q75" s="39">
        <v>1.33</v>
      </c>
      <c r="R75" s="39"/>
      <c r="S75" s="39"/>
      <c r="T75" s="39"/>
      <c r="U75" s="39"/>
      <c r="V75" s="39"/>
      <c r="W75" s="39"/>
      <c r="X75" s="49" t="s">
        <v>96</v>
      </c>
      <c r="Y75" s="50">
        <v>10685.775</v>
      </c>
      <c r="Z75" s="51">
        <v>5500</v>
      </c>
      <c r="AA75" s="52">
        <f t="shared" si="1"/>
        <v>0.514702957904317</v>
      </c>
      <c r="AB75" s="12">
        <v>5500</v>
      </c>
      <c r="AC75" s="12">
        <v>0</v>
      </c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  <c r="AQ75" s="43"/>
      <c r="AR75" s="43"/>
      <c r="AS75" s="43"/>
      <c r="AT75" s="43"/>
      <c r="AU75" s="43"/>
      <c r="AV75" s="43"/>
    </row>
    <row r="76" ht="15.75" spans="1:48">
      <c r="A76" s="12">
        <v>72</v>
      </c>
      <c r="B76" s="44">
        <v>692</v>
      </c>
      <c r="C76" s="45" t="s">
        <v>142</v>
      </c>
      <c r="D76" s="46"/>
      <c r="E76" s="47" t="s">
        <v>113</v>
      </c>
      <c r="F76" s="48">
        <v>9.17</v>
      </c>
      <c r="G76" s="38">
        <v>2.83</v>
      </c>
      <c r="H76" s="39"/>
      <c r="I76" s="39"/>
      <c r="J76" s="39"/>
      <c r="K76" s="39"/>
      <c r="L76" s="39"/>
      <c r="M76" s="39"/>
      <c r="N76" s="39"/>
      <c r="O76" s="39"/>
      <c r="P76" s="39"/>
      <c r="Q76" s="39">
        <v>1.33</v>
      </c>
      <c r="R76" s="39"/>
      <c r="S76" s="39">
        <v>1.5</v>
      </c>
      <c r="T76" s="39"/>
      <c r="U76" s="39"/>
      <c r="V76" s="39"/>
      <c r="W76" s="39"/>
      <c r="X76" s="49" t="s">
        <v>98</v>
      </c>
      <c r="Y76" s="50">
        <v>4309.9</v>
      </c>
      <c r="Z76" s="51">
        <v>4140</v>
      </c>
      <c r="AA76" s="52">
        <f t="shared" si="1"/>
        <v>0.960579131766398</v>
      </c>
      <c r="AB76" s="12">
        <v>4140</v>
      </c>
      <c r="AC76" s="12">
        <v>0</v>
      </c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  <c r="AP76" s="43"/>
      <c r="AQ76" s="43"/>
      <c r="AR76" s="43"/>
      <c r="AS76" s="43"/>
      <c r="AT76" s="43"/>
      <c r="AU76" s="43"/>
      <c r="AV76" s="43"/>
    </row>
    <row r="77" ht="15.75" spans="1:48">
      <c r="A77" s="12">
        <v>73</v>
      </c>
      <c r="B77" s="44">
        <v>947</v>
      </c>
      <c r="C77" s="45" t="s">
        <v>143</v>
      </c>
      <c r="D77" s="46">
        <v>18</v>
      </c>
      <c r="E77" s="47" t="s">
        <v>113</v>
      </c>
      <c r="F77" s="48">
        <v>8.67</v>
      </c>
      <c r="G77" s="38">
        <v>2.16</v>
      </c>
      <c r="H77" s="39"/>
      <c r="I77" s="39"/>
      <c r="J77" s="39">
        <v>0.33</v>
      </c>
      <c r="K77" s="39"/>
      <c r="L77" s="39"/>
      <c r="M77" s="39"/>
      <c r="N77" s="39"/>
      <c r="O77" s="39"/>
      <c r="P77" s="39"/>
      <c r="Q77" s="39">
        <v>1.33</v>
      </c>
      <c r="R77" s="39"/>
      <c r="S77" s="39"/>
      <c r="T77" s="39">
        <v>0.33</v>
      </c>
      <c r="U77" s="39">
        <v>0.17</v>
      </c>
      <c r="V77" s="39"/>
      <c r="W77" s="39"/>
      <c r="X77" s="49">
        <v>9968</v>
      </c>
      <c r="Y77" s="50">
        <v>4720.815</v>
      </c>
      <c r="Z77" s="51">
        <v>4560</v>
      </c>
      <c r="AA77" s="52">
        <f t="shared" si="1"/>
        <v>0.965934907425942</v>
      </c>
      <c r="AB77" s="12">
        <v>4556</v>
      </c>
      <c r="AC77" s="12">
        <v>4</v>
      </c>
      <c r="AD77" s="19">
        <v>4</v>
      </c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  <c r="AP77" s="43"/>
      <c r="AQ77" s="43"/>
      <c r="AR77" s="43"/>
      <c r="AS77" s="43"/>
      <c r="AT77" s="43"/>
      <c r="AU77" s="43"/>
      <c r="AV77" s="43"/>
    </row>
    <row r="78" ht="15.75" spans="1:48">
      <c r="A78" s="12">
        <v>74</v>
      </c>
      <c r="B78" s="44">
        <v>978</v>
      </c>
      <c r="C78" s="45" t="s">
        <v>144</v>
      </c>
      <c r="D78" s="46">
        <v>7</v>
      </c>
      <c r="E78" s="47" t="s">
        <v>113</v>
      </c>
      <c r="F78" s="48">
        <v>9.5</v>
      </c>
      <c r="G78" s="38">
        <v>1.33</v>
      </c>
      <c r="H78" s="39"/>
      <c r="I78" s="39"/>
      <c r="J78" s="39"/>
      <c r="K78" s="39"/>
      <c r="L78" s="39"/>
      <c r="M78" s="39"/>
      <c r="N78" s="39"/>
      <c r="O78" s="39"/>
      <c r="P78" s="39"/>
      <c r="Q78" s="39">
        <v>1.33</v>
      </c>
      <c r="R78" s="39"/>
      <c r="S78" s="39"/>
      <c r="T78" s="39"/>
      <c r="U78" s="39"/>
      <c r="V78" s="39"/>
      <c r="W78" s="39"/>
      <c r="X78" s="49" t="s">
        <v>95</v>
      </c>
      <c r="Y78" s="50">
        <v>11305</v>
      </c>
      <c r="Z78" s="51">
        <v>7994</v>
      </c>
      <c r="AA78" s="52">
        <f t="shared" si="1"/>
        <v>0.707120743034056</v>
      </c>
      <c r="AB78" s="12">
        <v>7994</v>
      </c>
      <c r="AC78" s="12">
        <v>0</v>
      </c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  <c r="AP78" s="43"/>
      <c r="AQ78" s="43"/>
      <c r="AR78" s="43"/>
      <c r="AS78" s="43"/>
      <c r="AT78" s="43"/>
      <c r="AU78" s="43"/>
      <c r="AV78" s="43"/>
    </row>
    <row r="79" ht="15.75" spans="1:48">
      <c r="A79" s="12">
        <v>75</v>
      </c>
      <c r="B79" s="44">
        <v>4384</v>
      </c>
      <c r="C79" s="45" t="s">
        <v>145</v>
      </c>
      <c r="D79" s="46">
        <v>8</v>
      </c>
      <c r="E79" s="47" t="s">
        <v>113</v>
      </c>
      <c r="F79" s="48">
        <v>5.83</v>
      </c>
      <c r="G79" s="38">
        <v>2.17</v>
      </c>
      <c r="H79" s="39"/>
      <c r="I79" s="39"/>
      <c r="J79" s="39"/>
      <c r="K79" s="39">
        <v>0.17</v>
      </c>
      <c r="L79" s="39"/>
      <c r="M79" s="39"/>
      <c r="N79" s="39"/>
      <c r="O79" s="39"/>
      <c r="P79" s="39"/>
      <c r="Q79" s="39">
        <v>1.33</v>
      </c>
      <c r="R79" s="39"/>
      <c r="S79" s="39"/>
      <c r="T79" s="39">
        <v>0.5</v>
      </c>
      <c r="U79" s="39">
        <v>0.17</v>
      </c>
      <c r="V79" s="39"/>
      <c r="W79" s="39"/>
      <c r="X79" s="49">
        <v>2801</v>
      </c>
      <c r="Y79" s="50">
        <v>3527.15</v>
      </c>
      <c r="Z79" s="51">
        <v>3456</v>
      </c>
      <c r="AA79" s="52">
        <f t="shared" si="1"/>
        <v>0.979827906383341</v>
      </c>
      <c r="AB79" s="12">
        <v>3451</v>
      </c>
      <c r="AC79" s="12">
        <v>5</v>
      </c>
      <c r="AD79" s="19">
        <v>5</v>
      </c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  <c r="AP79" s="43"/>
      <c r="AQ79" s="43"/>
      <c r="AR79" s="43"/>
      <c r="AS79" s="43"/>
      <c r="AT79" s="43"/>
      <c r="AU79" s="43"/>
      <c r="AV79" s="43"/>
    </row>
    <row r="80" ht="15.75" spans="1:48">
      <c r="A80" s="12">
        <v>76</v>
      </c>
      <c r="B80" s="44">
        <v>551</v>
      </c>
      <c r="C80" s="45" t="s">
        <v>146</v>
      </c>
      <c r="D80" s="46">
        <v>5</v>
      </c>
      <c r="E80" s="47" t="s">
        <v>113</v>
      </c>
      <c r="F80" s="48">
        <v>8.67</v>
      </c>
      <c r="G80" s="38">
        <v>2</v>
      </c>
      <c r="H80" s="39"/>
      <c r="I80" s="39"/>
      <c r="J80" s="39"/>
      <c r="K80" s="39"/>
      <c r="L80" s="39"/>
      <c r="M80" s="39"/>
      <c r="N80" s="39"/>
      <c r="O80" s="39"/>
      <c r="P80" s="39"/>
      <c r="Q80" s="39">
        <v>1.33</v>
      </c>
      <c r="R80" s="39"/>
      <c r="S80" s="39"/>
      <c r="T80" s="39">
        <v>0.5</v>
      </c>
      <c r="U80" s="39">
        <v>0.17</v>
      </c>
      <c r="V80" s="39"/>
      <c r="W80" s="39"/>
      <c r="X80" s="49">
        <v>5770</v>
      </c>
      <c r="Y80" s="50">
        <v>5245.35</v>
      </c>
      <c r="Z80" s="51">
        <v>5640</v>
      </c>
      <c r="AA80" s="52">
        <f t="shared" si="1"/>
        <v>1.07523806800309</v>
      </c>
      <c r="AB80" s="12">
        <v>5480</v>
      </c>
      <c r="AC80" s="12">
        <v>160</v>
      </c>
      <c r="AD80" s="19">
        <v>160</v>
      </c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  <c r="AP80" s="43"/>
      <c r="AQ80" s="43"/>
      <c r="AR80" s="43"/>
      <c r="AS80" s="43"/>
      <c r="AT80" s="43"/>
      <c r="AU80" s="43"/>
      <c r="AV80" s="43"/>
    </row>
    <row r="81" ht="15.75" spans="1:48">
      <c r="A81" s="12">
        <v>77</v>
      </c>
      <c r="B81" s="44">
        <v>4342</v>
      </c>
      <c r="C81" s="45" t="s">
        <v>147</v>
      </c>
      <c r="D81" s="46"/>
      <c r="E81" s="47" t="s">
        <v>113</v>
      </c>
      <c r="F81" s="48">
        <v>6.5</v>
      </c>
      <c r="G81" s="38">
        <v>1.33</v>
      </c>
      <c r="H81" s="39"/>
      <c r="I81" s="39"/>
      <c r="J81" s="39"/>
      <c r="K81" s="39"/>
      <c r="L81" s="39"/>
      <c r="M81" s="39"/>
      <c r="N81" s="39"/>
      <c r="O81" s="39"/>
      <c r="P81" s="39"/>
      <c r="Q81" s="39">
        <v>1.33</v>
      </c>
      <c r="R81" s="39"/>
      <c r="S81" s="39"/>
      <c r="T81" s="39"/>
      <c r="U81" s="39"/>
      <c r="V81" s="39"/>
      <c r="W81" s="39"/>
      <c r="X81" s="49" t="s">
        <v>90</v>
      </c>
      <c r="Y81" s="50">
        <v>3055</v>
      </c>
      <c r="Z81" s="51">
        <v>3060</v>
      </c>
      <c r="AA81" s="52">
        <f t="shared" si="1"/>
        <v>1.00163666121113</v>
      </c>
      <c r="AB81" s="12">
        <v>3060</v>
      </c>
      <c r="AC81" s="12">
        <v>0</v>
      </c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  <c r="AP81" s="43"/>
      <c r="AQ81" s="43"/>
      <c r="AR81" s="43"/>
      <c r="AS81" s="43"/>
      <c r="AT81" s="43"/>
      <c r="AU81" s="43"/>
      <c r="AV81" s="43"/>
    </row>
    <row r="82" ht="15.75" spans="1:48">
      <c r="A82" s="12">
        <v>78</v>
      </c>
      <c r="B82" s="44">
        <v>4342</v>
      </c>
      <c r="C82" s="45" t="s">
        <v>147</v>
      </c>
      <c r="D82" s="46"/>
      <c r="E82" s="47" t="s">
        <v>113</v>
      </c>
      <c r="F82" s="48">
        <v>3.33</v>
      </c>
      <c r="G82" s="38">
        <v>0.84</v>
      </c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>
        <v>0.67</v>
      </c>
      <c r="T82" s="39"/>
      <c r="U82" s="39">
        <v>0.17</v>
      </c>
      <c r="V82" s="39"/>
      <c r="W82" s="39"/>
      <c r="X82" s="49" t="s">
        <v>98</v>
      </c>
      <c r="Y82" s="50">
        <v>1565.1</v>
      </c>
      <c r="Z82" s="51">
        <v>1440</v>
      </c>
      <c r="AA82" s="52">
        <f t="shared" si="1"/>
        <v>0.920069005175388</v>
      </c>
      <c r="AB82" s="12">
        <v>1440</v>
      </c>
      <c r="AC82" s="12">
        <v>0</v>
      </c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  <c r="AP82" s="43"/>
      <c r="AQ82" s="43"/>
      <c r="AR82" s="43"/>
      <c r="AS82" s="43"/>
      <c r="AT82" s="43"/>
      <c r="AU82" s="43"/>
      <c r="AV82" s="43"/>
    </row>
    <row r="83" ht="15.75" spans="1:48">
      <c r="A83" s="12">
        <v>79</v>
      </c>
      <c r="B83" s="44">
        <v>4017</v>
      </c>
      <c r="C83" s="45" t="s">
        <v>148</v>
      </c>
      <c r="D83" s="46">
        <v>3</v>
      </c>
      <c r="E83" s="47" t="s">
        <v>113</v>
      </c>
      <c r="F83" s="48">
        <v>2</v>
      </c>
      <c r="G83" s="38">
        <v>0</v>
      </c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49">
        <v>9740</v>
      </c>
      <c r="Y83" s="50">
        <v>840</v>
      </c>
      <c r="Z83" s="51">
        <v>840</v>
      </c>
      <c r="AA83" s="52">
        <f t="shared" si="1"/>
        <v>1</v>
      </c>
      <c r="AB83" s="12">
        <v>840</v>
      </c>
      <c r="AC83" s="12">
        <v>0</v>
      </c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  <c r="AP83" s="43"/>
      <c r="AQ83" s="43"/>
      <c r="AR83" s="43"/>
      <c r="AS83" s="43"/>
      <c r="AT83" s="43"/>
      <c r="AU83" s="43"/>
      <c r="AV83" s="43"/>
    </row>
    <row r="84" ht="15.75" spans="1:48">
      <c r="A84" s="12">
        <v>80</v>
      </c>
      <c r="B84" s="44">
        <v>4017</v>
      </c>
      <c r="C84" s="45" t="s">
        <v>148</v>
      </c>
      <c r="D84" s="46">
        <v>6</v>
      </c>
      <c r="E84" s="47" t="s">
        <v>113</v>
      </c>
      <c r="F84" s="48">
        <v>6</v>
      </c>
      <c r="G84" s="38">
        <v>2.84</v>
      </c>
      <c r="H84" s="39"/>
      <c r="I84" s="39"/>
      <c r="J84" s="39">
        <v>0.17</v>
      </c>
      <c r="K84" s="39">
        <v>0.5</v>
      </c>
      <c r="L84" s="39"/>
      <c r="M84" s="39"/>
      <c r="N84" s="39"/>
      <c r="O84" s="39"/>
      <c r="P84" s="39"/>
      <c r="Q84" s="39">
        <v>1.33</v>
      </c>
      <c r="R84" s="39"/>
      <c r="S84" s="39"/>
      <c r="T84" s="39">
        <v>0.67</v>
      </c>
      <c r="U84" s="39">
        <v>0.17</v>
      </c>
      <c r="V84" s="39"/>
      <c r="W84" s="39"/>
      <c r="X84" s="49">
        <v>8235</v>
      </c>
      <c r="Y84" s="50">
        <v>3960</v>
      </c>
      <c r="Z84" s="51">
        <v>4084</v>
      </c>
      <c r="AA84" s="52">
        <f t="shared" ref="AA84:AA99" si="2">IFERROR(Z84/Y84,0)</f>
        <v>1.03131313131313</v>
      </c>
      <c r="AB84" s="12">
        <v>3867</v>
      </c>
      <c r="AC84" s="12">
        <v>217</v>
      </c>
      <c r="AD84" s="19">
        <v>217</v>
      </c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  <c r="AP84" s="43"/>
      <c r="AQ84" s="43"/>
      <c r="AR84" s="43"/>
      <c r="AS84" s="43"/>
      <c r="AT84" s="43"/>
      <c r="AU84" s="43"/>
      <c r="AV84" s="43"/>
    </row>
    <row r="85" ht="15.75" spans="1:48">
      <c r="A85" s="12">
        <v>81</v>
      </c>
      <c r="B85" s="44">
        <v>2865</v>
      </c>
      <c r="C85" s="45" t="s">
        <v>149</v>
      </c>
      <c r="D85" s="46">
        <v>2</v>
      </c>
      <c r="E85" s="47" t="s">
        <v>113</v>
      </c>
      <c r="F85" s="48">
        <v>6.33</v>
      </c>
      <c r="G85" s="38">
        <v>1.67</v>
      </c>
      <c r="H85" s="39"/>
      <c r="I85" s="39"/>
      <c r="J85" s="39"/>
      <c r="K85" s="39"/>
      <c r="L85" s="39"/>
      <c r="M85" s="39"/>
      <c r="N85" s="39"/>
      <c r="O85" s="39"/>
      <c r="P85" s="39"/>
      <c r="Q85" s="39">
        <v>1.33</v>
      </c>
      <c r="R85" s="39"/>
      <c r="S85" s="39"/>
      <c r="T85" s="39">
        <v>0.17</v>
      </c>
      <c r="U85" s="39">
        <v>0.17</v>
      </c>
      <c r="V85" s="39"/>
      <c r="W85" s="39"/>
      <c r="X85" s="49">
        <v>8234</v>
      </c>
      <c r="Y85" s="50">
        <v>4177.8</v>
      </c>
      <c r="Z85" s="51">
        <v>4200</v>
      </c>
      <c r="AA85" s="52">
        <f t="shared" si="2"/>
        <v>1.00531380152233</v>
      </c>
      <c r="AB85" s="12">
        <v>4135</v>
      </c>
      <c r="AC85" s="12">
        <v>65</v>
      </c>
      <c r="AD85" s="19">
        <v>65</v>
      </c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  <c r="AP85" s="43"/>
      <c r="AQ85" s="43"/>
      <c r="AR85" s="43"/>
      <c r="AS85" s="43"/>
      <c r="AT85" s="43"/>
      <c r="AU85" s="43"/>
      <c r="AV85" s="43"/>
    </row>
    <row r="86" ht="15.75" spans="1:48">
      <c r="A86" s="12">
        <v>82</v>
      </c>
      <c r="B86" s="44">
        <v>2865</v>
      </c>
      <c r="C86" s="45" t="s">
        <v>149</v>
      </c>
      <c r="D86" s="46">
        <v>3</v>
      </c>
      <c r="E86" s="47" t="s">
        <v>113</v>
      </c>
      <c r="F86" s="48">
        <v>2.5</v>
      </c>
      <c r="G86" s="38">
        <v>0.17</v>
      </c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>
        <v>0.17</v>
      </c>
      <c r="V86" s="39"/>
      <c r="W86" s="39"/>
      <c r="X86" s="49">
        <v>9740</v>
      </c>
      <c r="Y86" s="50">
        <v>1050</v>
      </c>
      <c r="Z86" s="51">
        <v>1080</v>
      </c>
      <c r="AA86" s="52">
        <f t="shared" si="2"/>
        <v>1.02857142857143</v>
      </c>
      <c r="AB86" s="12">
        <v>1077</v>
      </c>
      <c r="AC86" s="12">
        <v>3</v>
      </c>
      <c r="AD86" s="19">
        <v>3</v>
      </c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  <c r="AP86" s="43"/>
      <c r="AQ86" s="43"/>
      <c r="AR86" s="43"/>
      <c r="AS86" s="43"/>
      <c r="AT86" s="43"/>
      <c r="AU86" s="43"/>
      <c r="AV86" s="43"/>
    </row>
    <row r="87" ht="15.75" spans="1:48">
      <c r="A87" s="12">
        <v>83</v>
      </c>
      <c r="B87" s="44">
        <v>978</v>
      </c>
      <c r="C87" s="45" t="s">
        <v>144</v>
      </c>
      <c r="D87" s="46"/>
      <c r="E87" s="47" t="s">
        <v>113</v>
      </c>
      <c r="F87" s="48">
        <v>1.17</v>
      </c>
      <c r="G87" s="38">
        <v>0</v>
      </c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49" t="s">
        <v>103</v>
      </c>
      <c r="Y87" s="50">
        <v>835.38</v>
      </c>
      <c r="Z87" s="51">
        <v>600</v>
      </c>
      <c r="AA87" s="52">
        <f t="shared" si="2"/>
        <v>0.718236012353659</v>
      </c>
      <c r="AB87" s="12">
        <v>600</v>
      </c>
      <c r="AC87" s="12">
        <v>0</v>
      </c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  <c r="AP87" s="43"/>
      <c r="AQ87" s="43"/>
      <c r="AR87" s="43"/>
      <c r="AS87" s="43"/>
      <c r="AT87" s="43"/>
      <c r="AU87" s="43"/>
      <c r="AV87" s="43"/>
    </row>
    <row r="88" ht="15.75" spans="1:48">
      <c r="A88" s="12">
        <v>84</v>
      </c>
      <c r="B88" s="44">
        <v>848</v>
      </c>
      <c r="C88" s="45" t="s">
        <v>150</v>
      </c>
      <c r="D88" s="46"/>
      <c r="E88" s="47" t="s">
        <v>113</v>
      </c>
      <c r="F88" s="48">
        <v>10.67</v>
      </c>
      <c r="G88" s="38">
        <v>1.33</v>
      </c>
      <c r="H88" s="39"/>
      <c r="I88" s="39"/>
      <c r="J88" s="39"/>
      <c r="K88" s="39"/>
      <c r="L88" s="39"/>
      <c r="M88" s="39"/>
      <c r="N88" s="39"/>
      <c r="O88" s="39"/>
      <c r="P88" s="39"/>
      <c r="Q88" s="39">
        <v>1.33</v>
      </c>
      <c r="R88" s="39"/>
      <c r="S88" s="39"/>
      <c r="T88" s="39"/>
      <c r="U88" s="39"/>
      <c r="V88" s="39"/>
      <c r="W88" s="39"/>
      <c r="X88" s="49" t="s">
        <v>103</v>
      </c>
      <c r="Y88" s="50">
        <v>7618.38</v>
      </c>
      <c r="Z88" s="51">
        <v>5640</v>
      </c>
      <c r="AA88" s="52">
        <f t="shared" si="2"/>
        <v>0.740314870090492</v>
      </c>
      <c r="AB88" s="12">
        <v>5640</v>
      </c>
      <c r="AC88" s="12">
        <v>0</v>
      </c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  <c r="AP88" s="43"/>
      <c r="AQ88" s="43"/>
      <c r="AR88" s="43"/>
      <c r="AS88" s="43"/>
      <c r="AT88" s="43"/>
      <c r="AU88" s="43"/>
      <c r="AV88" s="43"/>
    </row>
    <row r="89" ht="15.75" spans="1:48">
      <c r="A89" s="12">
        <v>85</v>
      </c>
      <c r="B89" s="44">
        <v>977</v>
      </c>
      <c r="C89" s="45" t="s">
        <v>141</v>
      </c>
      <c r="D89" s="46"/>
      <c r="E89" s="47" t="s">
        <v>113</v>
      </c>
      <c r="F89" s="48">
        <v>2</v>
      </c>
      <c r="G89" s="38">
        <v>0</v>
      </c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49" t="s">
        <v>103</v>
      </c>
      <c r="Y89" s="50">
        <v>1428</v>
      </c>
      <c r="Z89" s="51">
        <v>720</v>
      </c>
      <c r="AA89" s="52">
        <f t="shared" si="2"/>
        <v>0.504201680672269</v>
      </c>
      <c r="AB89" s="12">
        <v>720</v>
      </c>
      <c r="AC89" s="12">
        <v>0</v>
      </c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  <c r="AP89" s="43"/>
      <c r="AQ89" s="43"/>
      <c r="AR89" s="43"/>
      <c r="AS89" s="43"/>
      <c r="AT89" s="43"/>
      <c r="AU89" s="43"/>
      <c r="AV89" s="43"/>
    </row>
    <row r="90" ht="15.75" spans="1:48">
      <c r="A90" s="12">
        <v>86</v>
      </c>
      <c r="B90" s="44">
        <v>2865</v>
      </c>
      <c r="C90" s="45" t="s">
        <v>149</v>
      </c>
      <c r="D90" s="46"/>
      <c r="E90" s="47" t="s">
        <v>113</v>
      </c>
      <c r="F90" s="48">
        <v>1.33</v>
      </c>
      <c r="G90" s="38">
        <v>0</v>
      </c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49" t="s">
        <v>103</v>
      </c>
      <c r="Y90" s="50">
        <v>1117.2</v>
      </c>
      <c r="Z90" s="51">
        <v>1080</v>
      </c>
      <c r="AA90" s="52">
        <f t="shared" si="2"/>
        <v>0.966702470461869</v>
      </c>
      <c r="AB90" s="12">
        <v>1080</v>
      </c>
      <c r="AC90" s="12">
        <v>0</v>
      </c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  <c r="AP90" s="43"/>
      <c r="AQ90" s="43"/>
      <c r="AR90" s="43"/>
      <c r="AS90" s="43"/>
      <c r="AT90" s="43"/>
      <c r="AU90" s="43"/>
      <c r="AV90" s="43"/>
    </row>
    <row r="91" ht="15.75" spans="1:48">
      <c r="A91" s="12">
        <v>87</v>
      </c>
      <c r="B91" s="44">
        <v>666</v>
      </c>
      <c r="C91" s="45" t="s">
        <v>151</v>
      </c>
      <c r="D91" s="46"/>
      <c r="E91" s="47" t="s">
        <v>113</v>
      </c>
      <c r="F91" s="48">
        <v>2.5</v>
      </c>
      <c r="G91" s="38">
        <v>2.5</v>
      </c>
      <c r="H91" s="39"/>
      <c r="I91" s="39"/>
      <c r="J91" s="39"/>
      <c r="K91" s="39"/>
      <c r="L91" s="39"/>
      <c r="M91" s="39"/>
      <c r="N91" s="39"/>
      <c r="O91" s="39"/>
      <c r="P91" s="39"/>
      <c r="Q91" s="39">
        <v>1.33</v>
      </c>
      <c r="R91" s="39"/>
      <c r="S91" s="39">
        <v>1</v>
      </c>
      <c r="T91" s="39"/>
      <c r="U91" s="39">
        <v>0.17</v>
      </c>
      <c r="V91" s="39"/>
      <c r="W91" s="39"/>
      <c r="X91" s="49" t="s">
        <v>152</v>
      </c>
      <c r="Y91" s="50">
        <v>10875</v>
      </c>
      <c r="Z91" s="51">
        <v>9100</v>
      </c>
      <c r="AA91" s="52">
        <f t="shared" si="2"/>
        <v>0.836781609195402</v>
      </c>
      <c r="AB91" s="12">
        <v>9100</v>
      </c>
      <c r="AC91" s="12">
        <v>0</v>
      </c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  <c r="AQ91" s="43"/>
      <c r="AR91" s="43"/>
      <c r="AS91" s="43"/>
      <c r="AT91" s="43"/>
      <c r="AU91" s="43"/>
      <c r="AV91" s="43"/>
    </row>
    <row r="92" ht="15.75" spans="1:48">
      <c r="A92" s="12">
        <v>88</v>
      </c>
      <c r="B92" s="44">
        <v>666</v>
      </c>
      <c r="C92" s="45" t="s">
        <v>151</v>
      </c>
      <c r="D92" s="46"/>
      <c r="E92" s="47" t="s">
        <v>113</v>
      </c>
      <c r="F92" s="48">
        <v>2.67</v>
      </c>
      <c r="G92" s="38">
        <v>0</v>
      </c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49" t="s">
        <v>100</v>
      </c>
      <c r="Y92" s="50">
        <v>5126.4</v>
      </c>
      <c r="Z92" s="51">
        <v>3780</v>
      </c>
      <c r="AA92" s="52">
        <f t="shared" si="2"/>
        <v>0.737359550561798</v>
      </c>
      <c r="AB92" s="12">
        <v>3780</v>
      </c>
      <c r="AC92" s="12">
        <v>0</v>
      </c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  <c r="AO92" s="43"/>
      <c r="AP92" s="43"/>
      <c r="AQ92" s="43"/>
      <c r="AR92" s="43"/>
      <c r="AS92" s="43"/>
      <c r="AT92" s="43"/>
      <c r="AU92" s="43"/>
      <c r="AV92" s="43"/>
    </row>
    <row r="93" ht="15.75" spans="1:48">
      <c r="A93" s="12">
        <v>89</v>
      </c>
      <c r="B93" s="44">
        <v>666</v>
      </c>
      <c r="C93" s="45" t="s">
        <v>151</v>
      </c>
      <c r="D93" s="46"/>
      <c r="E93" s="47" t="s">
        <v>113</v>
      </c>
      <c r="F93" s="48">
        <v>3</v>
      </c>
      <c r="G93" s="38">
        <v>0</v>
      </c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49" t="s">
        <v>101</v>
      </c>
      <c r="Y93" s="50">
        <v>5760</v>
      </c>
      <c r="Z93" s="51">
        <v>4320</v>
      </c>
      <c r="AA93" s="52">
        <f t="shared" si="2"/>
        <v>0.75</v>
      </c>
      <c r="AB93" s="12">
        <v>4320</v>
      </c>
      <c r="AC93" s="12">
        <v>0</v>
      </c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  <c r="AO93" s="43"/>
      <c r="AP93" s="43"/>
      <c r="AQ93" s="43"/>
      <c r="AR93" s="43"/>
      <c r="AS93" s="43"/>
      <c r="AT93" s="43"/>
      <c r="AU93" s="43"/>
      <c r="AV93" s="43"/>
    </row>
    <row r="94" ht="15.75" spans="1:48">
      <c r="A94" s="12">
        <v>90</v>
      </c>
      <c r="B94" s="44">
        <v>666</v>
      </c>
      <c r="C94" s="45" t="s">
        <v>151</v>
      </c>
      <c r="D94" s="46"/>
      <c r="E94" s="47" t="s">
        <v>113</v>
      </c>
      <c r="F94" s="48">
        <v>1.33</v>
      </c>
      <c r="G94" s="38">
        <v>0</v>
      </c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49" t="s">
        <v>102</v>
      </c>
      <c r="Y94" s="50">
        <v>5985</v>
      </c>
      <c r="Z94" s="51">
        <v>4500</v>
      </c>
      <c r="AA94" s="52">
        <f t="shared" si="2"/>
        <v>0.75187969924812</v>
      </c>
      <c r="AB94" s="12">
        <v>4500</v>
      </c>
      <c r="AC94" s="12">
        <v>0</v>
      </c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  <c r="AP94" s="43"/>
      <c r="AQ94" s="43"/>
      <c r="AR94" s="43"/>
      <c r="AS94" s="43"/>
      <c r="AT94" s="43"/>
      <c r="AU94" s="43"/>
      <c r="AV94" s="43"/>
    </row>
    <row r="95" ht="15.75" spans="1:48">
      <c r="A95" s="12">
        <v>91</v>
      </c>
      <c r="B95" s="44">
        <v>1733</v>
      </c>
      <c r="C95" s="45" t="s">
        <v>153</v>
      </c>
      <c r="D95" s="46"/>
      <c r="E95" s="47" t="s">
        <v>113</v>
      </c>
      <c r="F95" s="48">
        <v>8.17</v>
      </c>
      <c r="G95" s="38">
        <v>1.33</v>
      </c>
      <c r="H95" s="39"/>
      <c r="I95" s="39"/>
      <c r="J95" s="39"/>
      <c r="K95" s="39"/>
      <c r="L95" s="39"/>
      <c r="M95" s="39"/>
      <c r="N95" s="39"/>
      <c r="O95" s="39"/>
      <c r="P95" s="39"/>
      <c r="Q95" s="39">
        <v>1.33</v>
      </c>
      <c r="R95" s="39"/>
      <c r="S95" s="39"/>
      <c r="T95" s="39"/>
      <c r="U95" s="39"/>
      <c r="V95" s="39"/>
      <c r="W95" s="39"/>
      <c r="X95" s="49" t="s">
        <v>105</v>
      </c>
      <c r="Y95" s="50">
        <v>5392.2</v>
      </c>
      <c r="Z95" s="51">
        <v>4135</v>
      </c>
      <c r="AA95" s="52">
        <f t="shared" si="2"/>
        <v>0.76684841066726</v>
      </c>
      <c r="AB95" s="12">
        <v>4135</v>
      </c>
      <c r="AC95" s="12">
        <v>0</v>
      </c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  <c r="AP95" s="43"/>
      <c r="AQ95" s="43"/>
      <c r="AR95" s="43"/>
      <c r="AS95" s="43"/>
      <c r="AT95" s="43"/>
      <c r="AU95" s="43"/>
      <c r="AV95" s="43"/>
    </row>
    <row r="96" ht="15.75" spans="1:48">
      <c r="A96" s="12">
        <v>92</v>
      </c>
      <c r="B96" s="44">
        <v>1733</v>
      </c>
      <c r="C96" s="45" t="s">
        <v>153</v>
      </c>
      <c r="D96" s="46"/>
      <c r="E96" s="47" t="s">
        <v>113</v>
      </c>
      <c r="F96" s="48">
        <v>2.5</v>
      </c>
      <c r="G96" s="38">
        <v>0</v>
      </c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49" t="s">
        <v>103</v>
      </c>
      <c r="Y96" s="50">
        <v>2100</v>
      </c>
      <c r="Z96" s="51">
        <v>1560</v>
      </c>
      <c r="AA96" s="52">
        <f t="shared" si="2"/>
        <v>0.742857142857143</v>
      </c>
      <c r="AB96" s="12">
        <v>1560</v>
      </c>
      <c r="AC96" s="12">
        <v>0</v>
      </c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  <c r="AP96" s="43"/>
      <c r="AQ96" s="43"/>
      <c r="AR96" s="43"/>
      <c r="AS96" s="43"/>
      <c r="AT96" s="43"/>
      <c r="AU96" s="43"/>
      <c r="AV96" s="43"/>
    </row>
    <row r="97" ht="15.75" spans="1:48">
      <c r="A97" s="12">
        <v>93</v>
      </c>
      <c r="B97" s="44">
        <v>4335</v>
      </c>
      <c r="C97" s="45" t="s">
        <v>154</v>
      </c>
      <c r="D97" s="46"/>
      <c r="E97" s="47" t="s">
        <v>113</v>
      </c>
      <c r="F97" s="48">
        <v>4.83</v>
      </c>
      <c r="G97" s="38">
        <v>1.33</v>
      </c>
      <c r="H97" s="39"/>
      <c r="I97" s="39"/>
      <c r="J97" s="39"/>
      <c r="K97" s="39"/>
      <c r="L97" s="39"/>
      <c r="M97" s="39"/>
      <c r="N97" s="39"/>
      <c r="O97" s="39"/>
      <c r="P97" s="39"/>
      <c r="Q97" s="39">
        <v>1.33</v>
      </c>
      <c r="R97" s="39"/>
      <c r="S97" s="39"/>
      <c r="T97" s="39"/>
      <c r="U97" s="39"/>
      <c r="V97" s="39"/>
      <c r="W97" s="39"/>
      <c r="X97" s="49" t="s">
        <v>105</v>
      </c>
      <c r="Y97" s="50">
        <v>3187.8</v>
      </c>
      <c r="Z97" s="51">
        <v>3200</v>
      </c>
      <c r="AA97" s="52">
        <f t="shared" si="2"/>
        <v>1.00382709078361</v>
      </c>
      <c r="AB97" s="12">
        <v>3200</v>
      </c>
      <c r="AC97" s="12">
        <v>0</v>
      </c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  <c r="AP97" s="43"/>
      <c r="AQ97" s="43"/>
      <c r="AR97" s="43"/>
      <c r="AS97" s="43"/>
      <c r="AT97" s="43"/>
      <c r="AU97" s="43"/>
      <c r="AV97" s="43"/>
    </row>
    <row r="98" ht="15.75" spans="1:48">
      <c r="A98" s="12">
        <v>94</v>
      </c>
      <c r="B98" s="44">
        <v>4335</v>
      </c>
      <c r="C98" s="45" t="s">
        <v>154</v>
      </c>
      <c r="D98" s="46"/>
      <c r="E98" s="47" t="s">
        <v>113</v>
      </c>
      <c r="F98" s="48">
        <v>2.17</v>
      </c>
      <c r="G98" s="38">
        <v>0</v>
      </c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49" t="s">
        <v>103</v>
      </c>
      <c r="Y98" s="50">
        <v>1822.8</v>
      </c>
      <c r="Z98" s="51">
        <v>1920</v>
      </c>
      <c r="AA98" s="52">
        <f t="shared" si="2"/>
        <v>1.0533245556287</v>
      </c>
      <c r="AB98" s="12">
        <v>1920</v>
      </c>
      <c r="AC98" s="12">
        <v>0</v>
      </c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  <c r="AO98" s="43"/>
      <c r="AP98" s="43"/>
      <c r="AQ98" s="43"/>
      <c r="AR98" s="43"/>
      <c r="AS98" s="43"/>
      <c r="AT98" s="43"/>
      <c r="AU98" s="43"/>
      <c r="AV98" s="43"/>
    </row>
    <row r="99" ht="15.75" spans="1:48">
      <c r="A99" s="12">
        <v>95</v>
      </c>
      <c r="B99" s="44">
        <v>4335</v>
      </c>
      <c r="C99" s="45" t="s">
        <v>154</v>
      </c>
      <c r="D99" s="46"/>
      <c r="E99" s="47" t="s">
        <v>113</v>
      </c>
      <c r="F99" s="48">
        <v>3.67</v>
      </c>
      <c r="G99" s="38">
        <v>0</v>
      </c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49" t="s">
        <v>155</v>
      </c>
      <c r="Y99" s="50">
        <v>0</v>
      </c>
      <c r="Z99" s="51"/>
      <c r="AA99" s="52">
        <f t="shared" si="2"/>
        <v>0</v>
      </c>
      <c r="AB99" s="12">
        <v>0</v>
      </c>
      <c r="AC99" s="12">
        <v>0</v>
      </c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  <c r="AO99" s="43"/>
      <c r="AP99" s="43"/>
      <c r="AQ99" s="43"/>
      <c r="AR99" s="43"/>
      <c r="AS99" s="43"/>
      <c r="AT99" s="43"/>
      <c r="AU99" s="43"/>
      <c r="AV99" s="43"/>
    </row>
    <row r="100" ht="15.75" spans="1:48">
      <c r="A100" s="12">
        <v>96</v>
      </c>
      <c r="B100" s="53">
        <v>551</v>
      </c>
      <c r="C100" s="55" t="s">
        <v>146</v>
      </c>
      <c r="D100" s="56"/>
      <c r="E100" s="47" t="s">
        <v>113</v>
      </c>
      <c r="F100" s="48">
        <v>1.33</v>
      </c>
      <c r="G100" s="38">
        <v>0</v>
      </c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49" t="s">
        <v>104</v>
      </c>
      <c r="Y100" s="50">
        <v>19950</v>
      </c>
      <c r="Z100" s="51">
        <v>20000</v>
      </c>
      <c r="AA100" s="52">
        <f t="shared" ref="AA100:AA107" si="3">IFERROR(Z100/Y100,0)</f>
        <v>1.00250626566416</v>
      </c>
      <c r="AB100" s="12">
        <v>20000</v>
      </c>
      <c r="AC100" s="12">
        <v>0</v>
      </c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  <c r="AO100" s="43"/>
      <c r="AP100" s="43"/>
      <c r="AQ100" s="43"/>
      <c r="AR100" s="43"/>
      <c r="AS100" s="43"/>
      <c r="AT100" s="43"/>
      <c r="AU100" s="43"/>
      <c r="AV100" s="43"/>
    </row>
    <row r="101" ht="15.75" spans="1:48">
      <c r="A101" s="12">
        <v>97</v>
      </c>
      <c r="B101" s="44">
        <v>4384</v>
      </c>
      <c r="C101" s="45" t="s">
        <v>145</v>
      </c>
      <c r="D101" s="46"/>
      <c r="E101" s="47" t="s">
        <v>113</v>
      </c>
      <c r="F101" s="48">
        <v>4</v>
      </c>
      <c r="G101" s="38">
        <v>0</v>
      </c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49" t="s">
        <v>103</v>
      </c>
      <c r="Y101" s="50">
        <v>3360</v>
      </c>
      <c r="Z101" s="51">
        <v>2865</v>
      </c>
      <c r="AA101" s="52">
        <f t="shared" si="3"/>
        <v>0.852678571428571</v>
      </c>
      <c r="AB101" s="12">
        <v>2865</v>
      </c>
      <c r="AC101" s="12">
        <v>0</v>
      </c>
      <c r="AD101" s="43"/>
      <c r="AE101" s="43"/>
      <c r="AF101" s="43"/>
      <c r="AG101" s="43"/>
      <c r="AH101" s="43"/>
      <c r="AI101" s="43"/>
      <c r="AJ101" s="43"/>
      <c r="AK101" s="43"/>
      <c r="AL101" s="43"/>
      <c r="AM101" s="43"/>
      <c r="AN101" s="43"/>
      <c r="AO101" s="43"/>
      <c r="AP101" s="43"/>
      <c r="AQ101" s="43"/>
      <c r="AR101" s="43"/>
      <c r="AS101" s="43"/>
      <c r="AT101" s="43"/>
      <c r="AU101" s="43"/>
      <c r="AV101" s="43"/>
    </row>
    <row r="102" ht="15.75" spans="1:48">
      <c r="A102" s="12">
        <v>98</v>
      </c>
      <c r="B102" s="44">
        <v>4017</v>
      </c>
      <c r="C102" s="45" t="s">
        <v>148</v>
      </c>
      <c r="D102" s="46"/>
      <c r="E102" s="47" t="s">
        <v>113</v>
      </c>
      <c r="F102" s="48">
        <v>0.89</v>
      </c>
      <c r="G102" s="38">
        <v>0</v>
      </c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49" t="s">
        <v>105</v>
      </c>
      <c r="Y102" s="50">
        <v>587.4</v>
      </c>
      <c r="Z102" s="51">
        <v>667</v>
      </c>
      <c r="AA102" s="52">
        <f t="shared" si="3"/>
        <v>1.13551242764726</v>
      </c>
      <c r="AB102" s="12">
        <v>667</v>
      </c>
      <c r="AC102" s="12">
        <v>0</v>
      </c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43"/>
      <c r="AP102" s="43"/>
      <c r="AQ102" s="43"/>
      <c r="AR102" s="43"/>
      <c r="AS102" s="43"/>
      <c r="AT102" s="43"/>
      <c r="AU102" s="43"/>
      <c r="AV102" s="43"/>
    </row>
    <row r="103" ht="15.75" spans="1:48">
      <c r="A103" s="12">
        <v>99</v>
      </c>
      <c r="B103" s="44">
        <v>4017</v>
      </c>
      <c r="C103" s="45" t="s">
        <v>148</v>
      </c>
      <c r="D103" s="46"/>
      <c r="E103" s="47" t="s">
        <v>113</v>
      </c>
      <c r="F103" s="48">
        <v>0.28</v>
      </c>
      <c r="G103" s="38">
        <v>0</v>
      </c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49" t="s">
        <v>103</v>
      </c>
      <c r="Y103" s="50">
        <v>235.2</v>
      </c>
      <c r="Z103" s="51">
        <v>240</v>
      </c>
      <c r="AA103" s="52">
        <f t="shared" si="3"/>
        <v>1.02040816326531</v>
      </c>
      <c r="AB103" s="12">
        <v>240</v>
      </c>
      <c r="AC103" s="12">
        <v>0</v>
      </c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  <c r="AO103" s="43"/>
      <c r="AP103" s="43"/>
      <c r="AQ103" s="43"/>
      <c r="AR103" s="43"/>
      <c r="AS103" s="43"/>
      <c r="AT103" s="43"/>
      <c r="AU103" s="43"/>
      <c r="AV103" s="43"/>
    </row>
    <row r="104" ht="15.75" spans="1:48">
      <c r="A104" s="12">
        <v>100</v>
      </c>
      <c r="B104" s="44">
        <v>947</v>
      </c>
      <c r="C104" s="45" t="s">
        <v>143</v>
      </c>
      <c r="D104" s="46"/>
      <c r="E104" s="47" t="s">
        <v>113</v>
      </c>
      <c r="F104" s="48">
        <v>1.17</v>
      </c>
      <c r="G104" s="38">
        <v>0</v>
      </c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49" t="s">
        <v>103</v>
      </c>
      <c r="Y104" s="50">
        <v>982.8</v>
      </c>
      <c r="Z104" s="51">
        <v>960</v>
      </c>
      <c r="AA104" s="52">
        <f t="shared" si="3"/>
        <v>0.976800976800977</v>
      </c>
      <c r="AB104" s="12">
        <v>960</v>
      </c>
      <c r="AC104" s="12">
        <v>0</v>
      </c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  <c r="AO104" s="43"/>
      <c r="AP104" s="43"/>
      <c r="AQ104" s="43"/>
      <c r="AR104" s="43"/>
      <c r="AS104" s="43"/>
      <c r="AT104" s="43"/>
      <c r="AU104" s="43"/>
      <c r="AV104" s="43"/>
    </row>
    <row r="105" ht="15.75" spans="1:48">
      <c r="A105" s="12">
        <v>101</v>
      </c>
      <c r="B105" s="44">
        <v>4478</v>
      </c>
      <c r="C105" s="45" t="s">
        <v>128</v>
      </c>
      <c r="D105" s="46" t="s">
        <v>156</v>
      </c>
      <c r="E105" s="47" t="s">
        <v>130</v>
      </c>
      <c r="F105" s="48">
        <v>5</v>
      </c>
      <c r="G105" s="38">
        <v>3</v>
      </c>
      <c r="H105" s="39"/>
      <c r="I105" s="39"/>
      <c r="J105" s="39"/>
      <c r="K105" s="39">
        <v>2</v>
      </c>
      <c r="L105" s="39"/>
      <c r="M105" s="39"/>
      <c r="N105" s="39"/>
      <c r="O105" s="39"/>
      <c r="P105" s="39"/>
      <c r="Q105" s="39">
        <v>0.83</v>
      </c>
      <c r="R105" s="39"/>
      <c r="S105" s="39"/>
      <c r="T105" s="39"/>
      <c r="U105" s="39">
        <v>0.17</v>
      </c>
      <c r="V105" s="39"/>
      <c r="W105" s="39"/>
      <c r="X105" s="49" t="s">
        <v>131</v>
      </c>
      <c r="Y105" s="50">
        <v>9600</v>
      </c>
      <c r="Z105" s="51">
        <v>8000</v>
      </c>
      <c r="AA105" s="52">
        <f t="shared" si="3"/>
        <v>0.833333333333333</v>
      </c>
      <c r="AB105" s="12">
        <v>8000</v>
      </c>
      <c r="AC105" s="12">
        <v>0</v>
      </c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  <c r="AO105" s="43"/>
      <c r="AP105" s="43"/>
      <c r="AQ105" s="43"/>
      <c r="AR105" s="43"/>
      <c r="AS105" s="43"/>
      <c r="AT105" s="43"/>
      <c r="AU105" s="43"/>
      <c r="AV105" s="43"/>
    </row>
    <row r="106" ht="15.75" spans="1:48">
      <c r="A106" s="12">
        <v>102</v>
      </c>
      <c r="B106" s="44">
        <v>4173</v>
      </c>
      <c r="C106" s="45" t="s">
        <v>75</v>
      </c>
      <c r="D106" s="46" t="s">
        <v>157</v>
      </c>
      <c r="E106" s="47" t="s">
        <v>130</v>
      </c>
      <c r="F106" s="48">
        <v>10.67</v>
      </c>
      <c r="G106" s="38">
        <v>1.34</v>
      </c>
      <c r="H106" s="39"/>
      <c r="I106" s="39"/>
      <c r="J106" s="39"/>
      <c r="K106" s="39"/>
      <c r="L106" s="39"/>
      <c r="M106" s="39"/>
      <c r="N106" s="39"/>
      <c r="O106" s="39"/>
      <c r="P106" s="39"/>
      <c r="Q106" s="39">
        <v>1.17</v>
      </c>
      <c r="R106" s="39"/>
      <c r="S106" s="39"/>
      <c r="T106" s="39"/>
      <c r="U106" s="39">
        <v>0.17</v>
      </c>
      <c r="V106" s="39"/>
      <c r="W106" s="39"/>
      <c r="X106" s="49" t="s">
        <v>158</v>
      </c>
      <c r="Y106" s="50">
        <v>64020</v>
      </c>
      <c r="Z106" s="51">
        <v>57600</v>
      </c>
      <c r="AA106" s="52">
        <f t="shared" si="3"/>
        <v>0.899718837863168</v>
      </c>
      <c r="AB106" s="12">
        <v>57568</v>
      </c>
      <c r="AC106" s="12">
        <v>32</v>
      </c>
      <c r="AD106" s="43"/>
      <c r="AE106" s="43"/>
      <c r="AF106" s="43"/>
      <c r="AG106" s="19">
        <v>32</v>
      </c>
      <c r="AH106" s="43"/>
      <c r="AI106" s="43"/>
      <c r="AJ106" s="43"/>
      <c r="AK106" s="43"/>
      <c r="AL106" s="43"/>
      <c r="AM106" s="43"/>
      <c r="AN106" s="43"/>
      <c r="AO106" s="43"/>
      <c r="AP106" s="43"/>
      <c r="AQ106" s="43"/>
      <c r="AR106" s="43"/>
      <c r="AS106" s="43"/>
      <c r="AT106" s="43"/>
      <c r="AU106" s="43"/>
      <c r="AV106" s="43"/>
    </row>
    <row r="107" ht="15.75" spans="1:48">
      <c r="A107" s="12">
        <v>103</v>
      </c>
      <c r="B107" s="44">
        <v>4173</v>
      </c>
      <c r="C107" s="45" t="s">
        <v>75</v>
      </c>
      <c r="D107" s="46" t="s">
        <v>159</v>
      </c>
      <c r="E107" s="47" t="s">
        <v>130</v>
      </c>
      <c r="F107" s="48">
        <v>10.67</v>
      </c>
      <c r="G107" s="38">
        <v>1.34</v>
      </c>
      <c r="H107" s="39"/>
      <c r="I107" s="39"/>
      <c r="J107" s="39"/>
      <c r="K107" s="39"/>
      <c r="L107" s="39"/>
      <c r="M107" s="39"/>
      <c r="N107" s="39"/>
      <c r="O107" s="39"/>
      <c r="P107" s="39"/>
      <c r="Q107" s="39">
        <v>1.17</v>
      </c>
      <c r="R107" s="39"/>
      <c r="S107" s="39"/>
      <c r="T107" s="39"/>
      <c r="U107" s="39">
        <v>0.17</v>
      </c>
      <c r="V107" s="39"/>
      <c r="W107" s="39"/>
      <c r="X107" s="49" t="s">
        <v>160</v>
      </c>
      <c r="Y107" s="50">
        <v>71062.2</v>
      </c>
      <c r="Z107" s="51">
        <v>60000</v>
      </c>
      <c r="AA107" s="52">
        <f t="shared" si="3"/>
        <v>0.844330741237958</v>
      </c>
      <c r="AB107" s="12">
        <v>59928</v>
      </c>
      <c r="AC107" s="12">
        <v>72</v>
      </c>
      <c r="AD107" s="43"/>
      <c r="AE107" s="43"/>
      <c r="AF107" s="43"/>
      <c r="AG107" s="19">
        <v>72</v>
      </c>
      <c r="AH107" s="43"/>
      <c r="AI107" s="43"/>
      <c r="AJ107" s="43"/>
      <c r="AK107" s="43"/>
      <c r="AL107" s="43"/>
      <c r="AM107" s="43"/>
      <c r="AN107" s="43"/>
      <c r="AO107" s="43"/>
      <c r="AP107" s="43"/>
      <c r="AQ107" s="43"/>
      <c r="AR107" s="43"/>
      <c r="AS107" s="43"/>
      <c r="AT107" s="43"/>
      <c r="AU107" s="43"/>
      <c r="AV107" s="43"/>
    </row>
    <row r="108" ht="15.75" spans="1:48">
      <c r="A108" s="12">
        <v>104</v>
      </c>
      <c r="B108" s="44">
        <v>2959</v>
      </c>
      <c r="C108" s="45" t="s">
        <v>86</v>
      </c>
      <c r="D108" s="46"/>
      <c r="E108" s="47" t="s">
        <v>130</v>
      </c>
      <c r="F108" s="48">
        <v>10.83</v>
      </c>
      <c r="G108" s="38">
        <v>1.17</v>
      </c>
      <c r="H108" s="39"/>
      <c r="I108" s="39"/>
      <c r="J108" s="39"/>
      <c r="K108" s="39"/>
      <c r="L108" s="39"/>
      <c r="M108" s="39"/>
      <c r="N108" s="39"/>
      <c r="O108" s="39"/>
      <c r="P108" s="39"/>
      <c r="Q108" s="39">
        <v>1.17</v>
      </c>
      <c r="R108" s="39"/>
      <c r="S108" s="39"/>
      <c r="T108" s="39"/>
      <c r="U108" s="39"/>
      <c r="V108" s="39"/>
      <c r="W108" s="39"/>
      <c r="X108" s="49" t="s">
        <v>140</v>
      </c>
      <c r="Y108" s="50">
        <v>0</v>
      </c>
      <c r="Z108" s="51"/>
      <c r="AA108" s="52">
        <f>IFERROR(Z108/Y108,0)</f>
        <v>0</v>
      </c>
      <c r="AB108" s="12">
        <v>0</v>
      </c>
      <c r="AC108" s="12">
        <v>0</v>
      </c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  <c r="AO108" s="43"/>
      <c r="AP108" s="43"/>
      <c r="AQ108" s="43"/>
      <c r="AR108" s="43"/>
      <c r="AS108" s="43"/>
      <c r="AT108" s="43"/>
      <c r="AU108" s="43"/>
      <c r="AV108" s="43"/>
    </row>
    <row r="109" ht="15.75" spans="1:48">
      <c r="A109" s="12">
        <v>105</v>
      </c>
      <c r="B109" s="44">
        <v>4173</v>
      </c>
      <c r="C109" s="45" t="s">
        <v>75</v>
      </c>
      <c r="D109" s="46" t="s">
        <v>161</v>
      </c>
      <c r="E109" s="47" t="s">
        <v>130</v>
      </c>
      <c r="F109" s="48">
        <v>10</v>
      </c>
      <c r="G109" s="38">
        <v>2.01</v>
      </c>
      <c r="H109" s="39"/>
      <c r="I109" s="39"/>
      <c r="J109" s="39"/>
      <c r="K109" s="39">
        <v>0.67</v>
      </c>
      <c r="L109" s="39"/>
      <c r="M109" s="39"/>
      <c r="N109" s="39"/>
      <c r="O109" s="39"/>
      <c r="P109" s="39"/>
      <c r="Q109" s="39">
        <v>1.17</v>
      </c>
      <c r="R109" s="39"/>
      <c r="S109" s="39"/>
      <c r="T109" s="39"/>
      <c r="U109" s="39">
        <v>0.17</v>
      </c>
      <c r="V109" s="39"/>
      <c r="W109" s="39"/>
      <c r="X109" s="49" t="s">
        <v>160</v>
      </c>
      <c r="Y109" s="50">
        <v>66600</v>
      </c>
      <c r="Z109" s="51">
        <v>56000</v>
      </c>
      <c r="AA109" s="52">
        <f t="shared" ref="AA109:AA129" si="4">IFERROR(Z109/Y109,0)</f>
        <v>0.840840840840841</v>
      </c>
      <c r="AB109" s="12">
        <v>55904</v>
      </c>
      <c r="AC109" s="12">
        <v>96</v>
      </c>
      <c r="AD109" s="43"/>
      <c r="AE109" s="43"/>
      <c r="AF109" s="43"/>
      <c r="AG109" s="19">
        <v>96</v>
      </c>
      <c r="AH109" s="43"/>
      <c r="AI109" s="43"/>
      <c r="AJ109" s="43"/>
      <c r="AK109" s="43"/>
      <c r="AL109" s="43"/>
      <c r="AM109" s="43"/>
      <c r="AN109" s="43"/>
      <c r="AO109" s="43"/>
      <c r="AP109" s="43"/>
      <c r="AQ109" s="43"/>
      <c r="AR109" s="43"/>
      <c r="AS109" s="43"/>
      <c r="AT109" s="43"/>
      <c r="AU109" s="43"/>
      <c r="AV109" s="43"/>
    </row>
    <row r="110" ht="15.75" spans="1:48">
      <c r="A110" s="12">
        <v>106</v>
      </c>
      <c r="B110" s="44">
        <v>4185</v>
      </c>
      <c r="C110" s="45" t="s">
        <v>72</v>
      </c>
      <c r="D110" s="46" t="s">
        <v>162</v>
      </c>
      <c r="E110" s="47" t="s">
        <v>130</v>
      </c>
      <c r="F110" s="48">
        <v>10.5</v>
      </c>
      <c r="G110" s="38">
        <v>1.51</v>
      </c>
      <c r="H110" s="39"/>
      <c r="I110" s="39"/>
      <c r="J110" s="39"/>
      <c r="K110" s="39">
        <v>0.17</v>
      </c>
      <c r="L110" s="39"/>
      <c r="M110" s="39"/>
      <c r="N110" s="39"/>
      <c r="O110" s="39"/>
      <c r="P110" s="39"/>
      <c r="Q110" s="39">
        <v>1.17</v>
      </c>
      <c r="R110" s="39"/>
      <c r="S110" s="39"/>
      <c r="T110" s="39"/>
      <c r="U110" s="39">
        <v>0.17</v>
      </c>
      <c r="V110" s="39"/>
      <c r="W110" s="39"/>
      <c r="X110" s="49" t="s">
        <v>163</v>
      </c>
      <c r="Y110" s="50">
        <v>17062.5</v>
      </c>
      <c r="Z110" s="51">
        <v>17060</v>
      </c>
      <c r="AA110" s="52">
        <f t="shared" si="4"/>
        <v>0.99985347985348</v>
      </c>
      <c r="AB110" s="12">
        <v>17036</v>
      </c>
      <c r="AC110" s="12">
        <v>24</v>
      </c>
      <c r="AD110" s="43"/>
      <c r="AE110" s="43"/>
      <c r="AF110" s="43"/>
      <c r="AG110" s="19">
        <v>24</v>
      </c>
      <c r="AH110" s="43"/>
      <c r="AI110" s="43"/>
      <c r="AJ110" s="43"/>
      <c r="AK110" s="43"/>
      <c r="AL110" s="43"/>
      <c r="AM110" s="43"/>
      <c r="AN110" s="43"/>
      <c r="AO110" s="43"/>
      <c r="AP110" s="43"/>
      <c r="AQ110" s="43"/>
      <c r="AR110" s="43"/>
      <c r="AS110" s="43"/>
      <c r="AT110" s="43"/>
      <c r="AU110" s="43"/>
      <c r="AV110" s="43"/>
    </row>
    <row r="111" ht="15.75" spans="1:48">
      <c r="A111" s="12">
        <v>107</v>
      </c>
      <c r="B111" s="44">
        <v>3268</v>
      </c>
      <c r="C111" s="45" t="s">
        <v>80</v>
      </c>
      <c r="D111" s="46" t="s">
        <v>164</v>
      </c>
      <c r="E111" s="47" t="s">
        <v>130</v>
      </c>
      <c r="F111" s="48">
        <v>10.33</v>
      </c>
      <c r="G111" s="38">
        <v>1.67</v>
      </c>
      <c r="H111" s="39"/>
      <c r="I111" s="39"/>
      <c r="J111" s="39"/>
      <c r="K111" s="39">
        <v>0.33</v>
      </c>
      <c r="L111" s="39"/>
      <c r="M111" s="39"/>
      <c r="N111" s="39"/>
      <c r="O111" s="39"/>
      <c r="P111" s="39"/>
      <c r="Q111" s="39">
        <v>1.17</v>
      </c>
      <c r="R111" s="39"/>
      <c r="S111" s="39"/>
      <c r="T111" s="39"/>
      <c r="U111" s="39">
        <v>0.17</v>
      </c>
      <c r="V111" s="39"/>
      <c r="W111" s="39"/>
      <c r="X111" s="49" t="s">
        <v>165</v>
      </c>
      <c r="Y111" s="50">
        <v>16786.25</v>
      </c>
      <c r="Z111" s="51">
        <v>16800</v>
      </c>
      <c r="AA111" s="52">
        <f t="shared" si="4"/>
        <v>1.00081912279395</v>
      </c>
      <c r="AB111" s="12">
        <v>16760</v>
      </c>
      <c r="AC111" s="12">
        <v>40</v>
      </c>
      <c r="AD111" s="43"/>
      <c r="AE111" s="43"/>
      <c r="AF111" s="43"/>
      <c r="AG111" s="19">
        <v>40</v>
      </c>
      <c r="AH111" s="43"/>
      <c r="AI111" s="43"/>
      <c r="AJ111" s="43"/>
      <c r="AK111" s="43"/>
      <c r="AL111" s="43"/>
      <c r="AM111" s="43"/>
      <c r="AN111" s="43"/>
      <c r="AO111" s="43"/>
      <c r="AP111" s="43"/>
      <c r="AQ111" s="43"/>
      <c r="AR111" s="43"/>
      <c r="AS111" s="43"/>
      <c r="AT111" s="43"/>
      <c r="AU111" s="43"/>
      <c r="AV111" s="43"/>
    </row>
    <row r="112" ht="15.75" spans="1:48">
      <c r="A112" s="12">
        <v>108</v>
      </c>
      <c r="B112" s="44">
        <v>4344</v>
      </c>
      <c r="C112" s="45" t="s">
        <v>85</v>
      </c>
      <c r="D112" s="46" t="s">
        <v>166</v>
      </c>
      <c r="E112" s="47" t="s">
        <v>130</v>
      </c>
      <c r="F112" s="48">
        <v>10.5</v>
      </c>
      <c r="G112" s="38">
        <v>1.51</v>
      </c>
      <c r="H112" s="39"/>
      <c r="I112" s="39"/>
      <c r="J112" s="39"/>
      <c r="K112" s="39">
        <v>0.17</v>
      </c>
      <c r="L112" s="39"/>
      <c r="M112" s="39"/>
      <c r="N112" s="39"/>
      <c r="O112" s="39"/>
      <c r="P112" s="39"/>
      <c r="Q112" s="39">
        <v>1.17</v>
      </c>
      <c r="R112" s="39"/>
      <c r="S112" s="39"/>
      <c r="T112" s="39"/>
      <c r="U112" s="39">
        <v>0.17</v>
      </c>
      <c r="V112" s="39"/>
      <c r="W112" s="39"/>
      <c r="X112" s="49" t="s">
        <v>167</v>
      </c>
      <c r="Y112" s="50">
        <v>16012.5</v>
      </c>
      <c r="Z112" s="51">
        <v>14014</v>
      </c>
      <c r="AA112" s="52">
        <f t="shared" si="4"/>
        <v>0.875191256830601</v>
      </c>
      <c r="AB112" s="12">
        <v>14000</v>
      </c>
      <c r="AC112" s="12">
        <v>14</v>
      </c>
      <c r="AD112" s="43"/>
      <c r="AE112" s="43"/>
      <c r="AF112" s="43"/>
      <c r="AG112" s="43"/>
      <c r="AH112" s="19">
        <v>14</v>
      </c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3"/>
      <c r="AT112" s="43"/>
      <c r="AU112" s="43"/>
      <c r="AV112" s="43"/>
    </row>
    <row r="113" ht="15.75" spans="1:48">
      <c r="A113" s="12">
        <v>109</v>
      </c>
      <c r="B113" s="44">
        <v>3295</v>
      </c>
      <c r="C113" s="45" t="s">
        <v>92</v>
      </c>
      <c r="D113" s="46">
        <v>18</v>
      </c>
      <c r="E113" s="47" t="s">
        <v>130</v>
      </c>
      <c r="F113" s="48">
        <v>6.1</v>
      </c>
      <c r="G113" s="38">
        <v>0.84</v>
      </c>
      <c r="H113" s="39"/>
      <c r="I113" s="39"/>
      <c r="J113" s="39"/>
      <c r="K113" s="39"/>
      <c r="L113" s="39"/>
      <c r="M113" s="39"/>
      <c r="N113" s="39"/>
      <c r="O113" s="39"/>
      <c r="P113" s="39"/>
      <c r="Q113" s="39">
        <v>0.67</v>
      </c>
      <c r="R113" s="39"/>
      <c r="S113" s="39"/>
      <c r="T113" s="39">
        <v>0.17</v>
      </c>
      <c r="U113" s="39"/>
      <c r="V113" s="39"/>
      <c r="W113" s="39"/>
      <c r="X113" s="49">
        <v>9477</v>
      </c>
      <c r="Y113" s="50">
        <v>3690.5</v>
      </c>
      <c r="Z113" s="51">
        <v>3360</v>
      </c>
      <c r="AA113" s="52">
        <f t="shared" si="4"/>
        <v>0.910445739059748</v>
      </c>
      <c r="AB113" s="12">
        <v>3313</v>
      </c>
      <c r="AC113" s="12">
        <v>47</v>
      </c>
      <c r="AD113" s="19">
        <v>47</v>
      </c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  <c r="AO113" s="43"/>
      <c r="AP113" s="43"/>
      <c r="AQ113" s="43"/>
      <c r="AR113" s="43"/>
      <c r="AS113" s="43"/>
      <c r="AT113" s="43"/>
      <c r="AU113" s="43"/>
      <c r="AV113" s="43"/>
    </row>
    <row r="114" ht="15.75" spans="1:48">
      <c r="A114" s="12">
        <v>110</v>
      </c>
      <c r="B114" s="44">
        <v>4360</v>
      </c>
      <c r="C114" s="45" t="s">
        <v>97</v>
      </c>
      <c r="D114" s="46">
        <v>15</v>
      </c>
      <c r="E114" s="47" t="s">
        <v>130</v>
      </c>
      <c r="F114" s="48">
        <v>8.17</v>
      </c>
      <c r="G114" s="38">
        <v>2.84</v>
      </c>
      <c r="H114" s="39"/>
      <c r="I114" s="39"/>
      <c r="J114" s="39"/>
      <c r="K114" s="39"/>
      <c r="L114" s="39"/>
      <c r="M114" s="39"/>
      <c r="N114" s="39"/>
      <c r="O114" s="39"/>
      <c r="P114" s="39"/>
      <c r="Q114" s="39">
        <v>1.17</v>
      </c>
      <c r="R114" s="39"/>
      <c r="S114" s="39"/>
      <c r="T114" s="39">
        <v>1.5</v>
      </c>
      <c r="U114" s="39">
        <v>0.17</v>
      </c>
      <c r="V114" s="39"/>
      <c r="W114" s="39"/>
      <c r="X114" s="49">
        <v>9149</v>
      </c>
      <c r="Y114" s="50">
        <v>2941.2</v>
      </c>
      <c r="Z114" s="51">
        <v>2533</v>
      </c>
      <c r="AA114" s="52">
        <f t="shared" si="4"/>
        <v>0.861213110295118</v>
      </c>
      <c r="AB114" s="12">
        <v>2280</v>
      </c>
      <c r="AC114" s="12">
        <v>253</v>
      </c>
      <c r="AD114" s="19">
        <v>253</v>
      </c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  <c r="AO114" s="43"/>
      <c r="AP114" s="43"/>
      <c r="AQ114" s="43"/>
      <c r="AR114" s="43"/>
      <c r="AS114" s="43"/>
      <c r="AT114" s="43"/>
      <c r="AU114" s="43"/>
      <c r="AV114" s="43"/>
    </row>
    <row r="115" ht="15.75" spans="1:48">
      <c r="A115" s="12">
        <v>111</v>
      </c>
      <c r="B115" s="44">
        <v>959</v>
      </c>
      <c r="C115" s="45" t="s">
        <v>168</v>
      </c>
      <c r="D115" s="46">
        <v>6</v>
      </c>
      <c r="E115" s="47" t="s">
        <v>169</v>
      </c>
      <c r="F115" s="48">
        <v>7.17</v>
      </c>
      <c r="G115" s="38">
        <v>0.83</v>
      </c>
      <c r="H115" s="39"/>
      <c r="I115" s="39"/>
      <c r="J115" s="39"/>
      <c r="K115" s="39"/>
      <c r="L115" s="39"/>
      <c r="M115" s="39"/>
      <c r="N115" s="39"/>
      <c r="O115" s="39"/>
      <c r="P115" s="39"/>
      <c r="Q115" s="39">
        <v>0.83</v>
      </c>
      <c r="R115" s="39"/>
      <c r="S115" s="39"/>
      <c r="T115" s="39"/>
      <c r="U115" s="39"/>
      <c r="V115" s="39"/>
      <c r="W115" s="39"/>
      <c r="X115" s="49">
        <v>8235</v>
      </c>
      <c r="Y115" s="50">
        <v>3785.76</v>
      </c>
      <c r="Z115" s="51">
        <v>2020</v>
      </c>
      <c r="AA115" s="52">
        <f t="shared" si="4"/>
        <v>0.533578462448755</v>
      </c>
      <c r="AB115" s="12">
        <v>2020</v>
      </c>
      <c r="AC115" s="12">
        <v>0</v>
      </c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  <c r="AO115" s="43"/>
      <c r="AP115" s="43"/>
      <c r="AQ115" s="43"/>
      <c r="AR115" s="43"/>
      <c r="AS115" s="43"/>
      <c r="AT115" s="43"/>
      <c r="AU115" s="43"/>
      <c r="AV115" s="43"/>
    </row>
    <row r="116" ht="15.75" spans="1:48">
      <c r="A116" s="12">
        <v>112</v>
      </c>
      <c r="B116" s="44">
        <v>669</v>
      </c>
      <c r="C116" s="45" t="s">
        <v>94</v>
      </c>
      <c r="D116" s="46">
        <v>17</v>
      </c>
      <c r="E116" s="47" t="s">
        <v>50</v>
      </c>
      <c r="F116" s="48">
        <v>10.67</v>
      </c>
      <c r="G116" s="38">
        <v>1.34</v>
      </c>
      <c r="H116" s="39"/>
      <c r="I116" s="39"/>
      <c r="J116" s="39"/>
      <c r="K116" s="39"/>
      <c r="L116" s="39"/>
      <c r="M116" s="39"/>
      <c r="N116" s="39"/>
      <c r="O116" s="39"/>
      <c r="P116" s="39"/>
      <c r="Q116" s="39">
        <v>1.17</v>
      </c>
      <c r="R116" s="39"/>
      <c r="S116" s="39"/>
      <c r="T116" s="39"/>
      <c r="U116" s="39">
        <v>0.17</v>
      </c>
      <c r="V116" s="39"/>
      <c r="W116" s="39"/>
      <c r="X116" s="49" t="s">
        <v>170</v>
      </c>
      <c r="Y116" s="50">
        <v>15471.5</v>
      </c>
      <c r="Z116" s="51">
        <v>13280</v>
      </c>
      <c r="AA116" s="52">
        <f t="shared" si="4"/>
        <v>0.858352454513137</v>
      </c>
      <c r="AB116" s="12">
        <v>13280</v>
      </c>
      <c r="AC116" s="12">
        <v>0</v>
      </c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  <c r="AO116" s="43"/>
      <c r="AP116" s="43"/>
      <c r="AQ116" s="43"/>
      <c r="AR116" s="43"/>
      <c r="AS116" s="43"/>
      <c r="AT116" s="43"/>
      <c r="AU116" s="43"/>
      <c r="AV116" s="43"/>
    </row>
    <row r="117" ht="15.75" spans="1:48">
      <c r="A117" s="12">
        <v>113</v>
      </c>
      <c r="B117" s="44">
        <v>4489</v>
      </c>
      <c r="C117" s="45" t="s">
        <v>88</v>
      </c>
      <c r="D117" s="46">
        <v>8</v>
      </c>
      <c r="E117" s="47" t="s">
        <v>50</v>
      </c>
      <c r="F117" s="48">
        <v>5.17</v>
      </c>
      <c r="G117" s="38">
        <v>3.51</v>
      </c>
      <c r="H117" s="39"/>
      <c r="I117" s="39"/>
      <c r="J117" s="39"/>
      <c r="K117" s="39">
        <v>0.17</v>
      </c>
      <c r="L117" s="39"/>
      <c r="M117" s="39"/>
      <c r="N117" s="39"/>
      <c r="O117" s="39"/>
      <c r="P117" s="39"/>
      <c r="Q117" s="39">
        <v>1.17</v>
      </c>
      <c r="R117" s="39"/>
      <c r="S117" s="39"/>
      <c r="T117" s="39">
        <v>2</v>
      </c>
      <c r="U117" s="39">
        <v>0.17</v>
      </c>
      <c r="V117" s="39"/>
      <c r="W117" s="39"/>
      <c r="X117" s="49">
        <v>2801</v>
      </c>
      <c r="Y117" s="50">
        <v>3127.85</v>
      </c>
      <c r="Z117" s="51">
        <v>3096</v>
      </c>
      <c r="AA117" s="52">
        <f t="shared" si="4"/>
        <v>0.989817286634589</v>
      </c>
      <c r="AB117" s="12">
        <v>2400</v>
      </c>
      <c r="AC117" s="12">
        <v>696</v>
      </c>
      <c r="AD117" s="19">
        <v>696</v>
      </c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  <c r="AO117" s="43"/>
      <c r="AP117" s="43"/>
      <c r="AQ117" s="43"/>
      <c r="AR117" s="43"/>
      <c r="AS117" s="43"/>
      <c r="AT117" s="43"/>
      <c r="AU117" s="43"/>
      <c r="AV117" s="43"/>
    </row>
    <row r="118" ht="15.75" spans="1:48">
      <c r="A118" s="12">
        <v>114</v>
      </c>
      <c r="B118" s="44">
        <v>4490</v>
      </c>
      <c r="C118" s="45" t="s">
        <v>91</v>
      </c>
      <c r="D118" s="46">
        <v>3</v>
      </c>
      <c r="E118" s="47" t="s">
        <v>50</v>
      </c>
      <c r="F118" s="48">
        <v>8.33</v>
      </c>
      <c r="G118" s="38">
        <v>1.67</v>
      </c>
      <c r="H118" s="39"/>
      <c r="I118" s="39"/>
      <c r="J118" s="39"/>
      <c r="K118" s="39"/>
      <c r="L118" s="39"/>
      <c r="M118" s="39"/>
      <c r="N118" s="39"/>
      <c r="O118" s="39"/>
      <c r="P118" s="39"/>
      <c r="Q118" s="39">
        <v>1.17</v>
      </c>
      <c r="R118" s="39"/>
      <c r="S118" s="39"/>
      <c r="T118" s="39">
        <v>0.33</v>
      </c>
      <c r="U118" s="39">
        <v>0.17</v>
      </c>
      <c r="V118" s="39"/>
      <c r="W118" s="39"/>
      <c r="X118" s="49">
        <v>9740</v>
      </c>
      <c r="Y118" s="50">
        <v>3498.6</v>
      </c>
      <c r="Z118" s="51">
        <v>2982</v>
      </c>
      <c r="AA118" s="52">
        <f t="shared" si="4"/>
        <v>0.85234093637455</v>
      </c>
      <c r="AB118" s="12">
        <v>2940</v>
      </c>
      <c r="AC118" s="12">
        <v>42</v>
      </c>
      <c r="AD118" s="19">
        <v>42</v>
      </c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3"/>
      <c r="AT118" s="43"/>
      <c r="AU118" s="43"/>
      <c r="AV118" s="43"/>
    </row>
    <row r="119" ht="15.75" spans="1:48">
      <c r="A119" s="12">
        <v>115</v>
      </c>
      <c r="B119" s="44">
        <v>676</v>
      </c>
      <c r="C119" s="45" t="s">
        <v>171</v>
      </c>
      <c r="D119" s="46"/>
      <c r="E119" s="47" t="s">
        <v>50</v>
      </c>
      <c r="F119" s="48">
        <v>9.83</v>
      </c>
      <c r="G119" s="38">
        <v>2.17</v>
      </c>
      <c r="H119" s="39"/>
      <c r="I119" s="39"/>
      <c r="J119" s="39"/>
      <c r="K119" s="39"/>
      <c r="L119" s="39"/>
      <c r="M119" s="39"/>
      <c r="N119" s="39"/>
      <c r="O119" s="39"/>
      <c r="P119" s="39"/>
      <c r="Q119" s="39">
        <v>1.17</v>
      </c>
      <c r="R119" s="39"/>
      <c r="S119" s="39"/>
      <c r="T119" s="39">
        <v>1</v>
      </c>
      <c r="U119" s="39"/>
      <c r="V119" s="39"/>
      <c r="W119" s="39"/>
      <c r="X119" s="49" t="s">
        <v>172</v>
      </c>
      <c r="Y119" s="50">
        <v>4620.1</v>
      </c>
      <c r="Z119" s="51">
        <v>4500</v>
      </c>
      <c r="AA119" s="52">
        <f t="shared" si="4"/>
        <v>0.974004891669011</v>
      </c>
      <c r="AB119" s="12">
        <v>4500</v>
      </c>
      <c r="AC119" s="12">
        <v>0</v>
      </c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  <c r="AO119" s="43"/>
      <c r="AP119" s="43"/>
      <c r="AQ119" s="43"/>
      <c r="AR119" s="43"/>
      <c r="AS119" s="43"/>
      <c r="AT119" s="43"/>
      <c r="AU119" s="43"/>
      <c r="AV119" s="43"/>
    </row>
    <row r="120" ht="15.75" spans="1:48">
      <c r="A120" s="12">
        <v>116</v>
      </c>
      <c r="B120" s="44">
        <v>4382</v>
      </c>
      <c r="C120" s="45" t="s">
        <v>173</v>
      </c>
      <c r="D120" s="46"/>
      <c r="E120" s="47" t="s">
        <v>50</v>
      </c>
      <c r="F120" s="48">
        <v>9.83</v>
      </c>
      <c r="G120" s="38">
        <v>2.17</v>
      </c>
      <c r="H120" s="39"/>
      <c r="I120" s="39"/>
      <c r="J120" s="39"/>
      <c r="K120" s="39"/>
      <c r="L120" s="39"/>
      <c r="M120" s="39"/>
      <c r="N120" s="39"/>
      <c r="O120" s="39"/>
      <c r="P120" s="39"/>
      <c r="Q120" s="39">
        <v>1.17</v>
      </c>
      <c r="R120" s="39"/>
      <c r="S120" s="39"/>
      <c r="T120" s="39">
        <v>1</v>
      </c>
      <c r="U120" s="39"/>
      <c r="V120" s="39"/>
      <c r="W120" s="39"/>
      <c r="X120" s="49" t="s">
        <v>174</v>
      </c>
      <c r="Y120" s="50">
        <v>4620.1</v>
      </c>
      <c r="Z120" s="51">
        <v>4500</v>
      </c>
      <c r="AA120" s="52">
        <f t="shared" si="4"/>
        <v>0.974004891669011</v>
      </c>
      <c r="AB120" s="12">
        <v>4500</v>
      </c>
      <c r="AC120" s="12">
        <v>0</v>
      </c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  <c r="AO120" s="43"/>
      <c r="AP120" s="43"/>
      <c r="AQ120" s="43"/>
      <c r="AR120" s="43"/>
      <c r="AS120" s="43"/>
      <c r="AT120" s="43"/>
      <c r="AU120" s="43"/>
      <c r="AV120" s="43"/>
    </row>
    <row r="121" ht="15.75" spans="1:48">
      <c r="A121" s="12">
        <v>117</v>
      </c>
      <c r="B121" s="44" t="s">
        <v>175</v>
      </c>
      <c r="C121" s="45" t="s">
        <v>176</v>
      </c>
      <c r="D121" s="46">
        <v>18</v>
      </c>
      <c r="E121" s="47" t="s">
        <v>50</v>
      </c>
      <c r="F121" s="48">
        <v>1.5</v>
      </c>
      <c r="G121" s="38">
        <v>0</v>
      </c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49">
        <v>9477</v>
      </c>
      <c r="Y121" s="50">
        <v>907.5</v>
      </c>
      <c r="Z121" s="51">
        <v>840</v>
      </c>
      <c r="AA121" s="52">
        <f t="shared" si="4"/>
        <v>0.925619834710744</v>
      </c>
      <c r="AB121" s="12">
        <v>840</v>
      </c>
      <c r="AC121" s="12">
        <v>0</v>
      </c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  <c r="AO121" s="43"/>
      <c r="AP121" s="43"/>
      <c r="AQ121" s="43"/>
      <c r="AR121" s="43"/>
      <c r="AS121" s="43"/>
      <c r="AT121" s="43"/>
      <c r="AU121" s="43"/>
      <c r="AV121" s="43"/>
    </row>
    <row r="122" ht="15.75" spans="1:48">
      <c r="A122" s="12">
        <v>118</v>
      </c>
      <c r="B122" s="44" t="s">
        <v>175</v>
      </c>
      <c r="C122" s="45" t="s">
        <v>176</v>
      </c>
      <c r="D122" s="46">
        <v>18</v>
      </c>
      <c r="E122" s="47" t="s">
        <v>50</v>
      </c>
      <c r="F122" s="48">
        <v>3.5</v>
      </c>
      <c r="G122" s="38">
        <v>0</v>
      </c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49">
        <v>6270</v>
      </c>
      <c r="Y122" s="50">
        <v>2117.5</v>
      </c>
      <c r="Z122" s="51">
        <v>2040</v>
      </c>
      <c r="AA122" s="52">
        <f t="shared" si="4"/>
        <v>0.963400236127509</v>
      </c>
      <c r="AB122" s="12">
        <v>2040</v>
      </c>
      <c r="AC122" s="12">
        <v>0</v>
      </c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  <c r="AO122" s="43"/>
      <c r="AP122" s="43"/>
      <c r="AQ122" s="43"/>
      <c r="AR122" s="43"/>
      <c r="AS122" s="43"/>
      <c r="AT122" s="43"/>
      <c r="AU122" s="43"/>
      <c r="AV122" s="43"/>
    </row>
    <row r="123" ht="15.75" spans="1:48">
      <c r="A123" s="12">
        <v>119</v>
      </c>
      <c r="B123" s="44">
        <v>4412</v>
      </c>
      <c r="C123" s="45" t="s">
        <v>177</v>
      </c>
      <c r="D123" s="46">
        <v>16</v>
      </c>
      <c r="E123" s="47" t="s">
        <v>50</v>
      </c>
      <c r="F123" s="48">
        <v>4.33</v>
      </c>
      <c r="G123" s="38">
        <v>1.67</v>
      </c>
      <c r="H123" s="39"/>
      <c r="I123" s="39"/>
      <c r="J123" s="39"/>
      <c r="K123" s="39"/>
      <c r="L123" s="39"/>
      <c r="M123" s="39"/>
      <c r="N123" s="39"/>
      <c r="O123" s="39"/>
      <c r="P123" s="39"/>
      <c r="Q123" s="39">
        <v>0.83</v>
      </c>
      <c r="R123" s="39"/>
      <c r="S123" s="39"/>
      <c r="T123" s="39">
        <v>0.67</v>
      </c>
      <c r="U123" s="39">
        <v>0.17</v>
      </c>
      <c r="V123" s="39"/>
      <c r="W123" s="39"/>
      <c r="X123" s="49">
        <v>6773</v>
      </c>
      <c r="Y123" s="50">
        <v>519.6</v>
      </c>
      <c r="Z123" s="51">
        <v>440</v>
      </c>
      <c r="AA123" s="52">
        <f t="shared" si="4"/>
        <v>0.846805234795997</v>
      </c>
      <c r="AB123" s="12">
        <v>263</v>
      </c>
      <c r="AC123" s="12">
        <v>177</v>
      </c>
      <c r="AD123" s="19">
        <v>177</v>
      </c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  <c r="AO123" s="43"/>
      <c r="AP123" s="43"/>
      <c r="AQ123" s="43"/>
      <c r="AR123" s="43"/>
      <c r="AS123" s="43"/>
      <c r="AT123" s="43"/>
      <c r="AU123" s="43"/>
      <c r="AV123" s="43"/>
    </row>
    <row r="124" ht="15.75" spans="1:48">
      <c r="A124" s="12">
        <v>120</v>
      </c>
      <c r="B124" s="44">
        <v>4412</v>
      </c>
      <c r="C124" s="45" t="s">
        <v>177</v>
      </c>
      <c r="D124" s="46">
        <v>20</v>
      </c>
      <c r="E124" s="47" t="s">
        <v>50</v>
      </c>
      <c r="F124" s="48">
        <v>2.67</v>
      </c>
      <c r="G124" s="38">
        <v>0.5</v>
      </c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>
        <v>0.33</v>
      </c>
      <c r="U124" s="39">
        <v>0.17</v>
      </c>
      <c r="V124" s="39"/>
      <c r="W124" s="39"/>
      <c r="X124" s="49">
        <v>8052</v>
      </c>
      <c r="Y124" s="50">
        <v>91.314</v>
      </c>
      <c r="Z124" s="51">
        <v>74</v>
      </c>
      <c r="AA124" s="52">
        <f t="shared" si="4"/>
        <v>0.810390520621153</v>
      </c>
      <c r="AB124" s="12">
        <v>47</v>
      </c>
      <c r="AC124" s="12">
        <v>27</v>
      </c>
      <c r="AD124" s="19">
        <v>27</v>
      </c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  <c r="AO124" s="43"/>
      <c r="AP124" s="43"/>
      <c r="AQ124" s="43"/>
      <c r="AR124" s="43"/>
      <c r="AS124" s="43"/>
      <c r="AT124" s="43"/>
      <c r="AU124" s="43"/>
      <c r="AV124" s="43"/>
    </row>
    <row r="125" ht="15.75" spans="1:48">
      <c r="A125" s="12">
        <v>121</v>
      </c>
      <c r="B125" s="44" t="s">
        <v>178</v>
      </c>
      <c r="C125" s="45" t="s">
        <v>179</v>
      </c>
      <c r="D125" s="46">
        <v>7</v>
      </c>
      <c r="E125" s="47" t="s">
        <v>50</v>
      </c>
      <c r="F125" s="48">
        <v>8</v>
      </c>
      <c r="G125" s="38">
        <v>1.34</v>
      </c>
      <c r="H125" s="39"/>
      <c r="I125" s="39"/>
      <c r="J125" s="39"/>
      <c r="K125" s="39"/>
      <c r="L125" s="39"/>
      <c r="M125" s="39"/>
      <c r="N125" s="39"/>
      <c r="O125" s="39"/>
      <c r="P125" s="39"/>
      <c r="Q125" s="39">
        <v>1.17</v>
      </c>
      <c r="R125" s="39"/>
      <c r="S125" s="39"/>
      <c r="T125" s="39"/>
      <c r="U125" s="39">
        <v>0.17</v>
      </c>
      <c r="V125" s="39"/>
      <c r="W125" s="39"/>
      <c r="X125" s="49" t="s">
        <v>180</v>
      </c>
      <c r="Y125" s="50">
        <v>11200</v>
      </c>
      <c r="Z125" s="51">
        <v>9170</v>
      </c>
      <c r="AA125" s="52">
        <f t="shared" si="4"/>
        <v>0.81875</v>
      </c>
      <c r="AB125" s="12">
        <v>9170</v>
      </c>
      <c r="AC125" s="12">
        <v>0</v>
      </c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  <c r="AO125" s="43"/>
      <c r="AP125" s="43"/>
      <c r="AQ125" s="43"/>
      <c r="AR125" s="43"/>
      <c r="AS125" s="43"/>
      <c r="AT125" s="43"/>
      <c r="AU125" s="43"/>
      <c r="AV125" s="43"/>
    </row>
    <row r="126" ht="15.75" spans="1:48">
      <c r="A126" s="12">
        <v>122</v>
      </c>
      <c r="B126" s="44">
        <v>846</v>
      </c>
      <c r="C126" s="45" t="s">
        <v>87</v>
      </c>
      <c r="D126" s="46">
        <v>2</v>
      </c>
      <c r="E126" s="47" t="s">
        <v>50</v>
      </c>
      <c r="F126" s="48">
        <v>3.33</v>
      </c>
      <c r="G126" s="38">
        <v>1.84</v>
      </c>
      <c r="H126" s="39"/>
      <c r="I126" s="39"/>
      <c r="J126" s="39"/>
      <c r="K126" s="39"/>
      <c r="L126" s="39"/>
      <c r="M126" s="39"/>
      <c r="N126" s="39"/>
      <c r="O126" s="39"/>
      <c r="P126" s="39"/>
      <c r="Q126" s="39">
        <v>1.17</v>
      </c>
      <c r="R126" s="39"/>
      <c r="S126" s="39"/>
      <c r="T126" s="39">
        <v>0.5</v>
      </c>
      <c r="U126" s="39">
        <v>0.17</v>
      </c>
      <c r="V126" s="39"/>
      <c r="W126" s="39"/>
      <c r="X126" s="49">
        <v>1090</v>
      </c>
      <c r="Y126" s="50">
        <v>2197.8</v>
      </c>
      <c r="Z126" s="51">
        <v>2109</v>
      </c>
      <c r="AA126" s="52">
        <f t="shared" si="4"/>
        <v>0.95959595959596</v>
      </c>
      <c r="AB126" s="12">
        <v>2067</v>
      </c>
      <c r="AC126" s="12">
        <v>42</v>
      </c>
      <c r="AD126" s="19">
        <v>42</v>
      </c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  <c r="AO126" s="43"/>
      <c r="AP126" s="43"/>
      <c r="AQ126" s="43"/>
      <c r="AR126" s="43"/>
      <c r="AS126" s="43"/>
      <c r="AT126" s="43"/>
      <c r="AU126" s="43"/>
      <c r="AV126" s="43"/>
    </row>
    <row r="127" ht="15.75" spans="1:48">
      <c r="A127" s="12">
        <v>123</v>
      </c>
      <c r="B127" s="44">
        <v>846</v>
      </c>
      <c r="C127" s="45" t="s">
        <v>87</v>
      </c>
      <c r="D127" s="46">
        <v>14</v>
      </c>
      <c r="E127" s="47" t="s">
        <v>50</v>
      </c>
      <c r="F127" s="48">
        <v>0.83</v>
      </c>
      <c r="G127" s="38">
        <v>0</v>
      </c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49">
        <v>8485</v>
      </c>
      <c r="Y127" s="50">
        <v>473.1</v>
      </c>
      <c r="Z127" s="51">
        <v>400</v>
      </c>
      <c r="AA127" s="52">
        <f t="shared" si="4"/>
        <v>0.845487212005918</v>
      </c>
      <c r="AB127" s="12">
        <v>400</v>
      </c>
      <c r="AC127" s="12">
        <v>0</v>
      </c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  <c r="AO127" s="43"/>
      <c r="AP127" s="43"/>
      <c r="AQ127" s="43"/>
      <c r="AR127" s="43"/>
      <c r="AS127" s="43"/>
      <c r="AT127" s="43"/>
      <c r="AU127" s="43"/>
      <c r="AV127" s="43"/>
    </row>
    <row r="128" ht="15.75" spans="1:48">
      <c r="A128" s="12">
        <v>124</v>
      </c>
      <c r="B128" s="44">
        <v>4310</v>
      </c>
      <c r="C128" s="45" t="s">
        <v>99</v>
      </c>
      <c r="D128" s="46">
        <v>5</v>
      </c>
      <c r="E128" s="47" t="s">
        <v>50</v>
      </c>
      <c r="F128" s="48">
        <v>9</v>
      </c>
      <c r="G128" s="38">
        <v>1.67</v>
      </c>
      <c r="H128" s="39"/>
      <c r="I128" s="39"/>
      <c r="J128" s="39"/>
      <c r="K128" s="39"/>
      <c r="L128" s="39"/>
      <c r="M128" s="39"/>
      <c r="N128" s="39"/>
      <c r="O128" s="39"/>
      <c r="P128" s="39"/>
      <c r="Q128" s="39">
        <v>1.17</v>
      </c>
      <c r="R128" s="39"/>
      <c r="S128" s="39"/>
      <c r="T128" s="39">
        <v>0.33</v>
      </c>
      <c r="U128" s="39">
        <v>0.17</v>
      </c>
      <c r="V128" s="39"/>
      <c r="W128" s="39"/>
      <c r="X128" s="49">
        <v>5770</v>
      </c>
      <c r="Y128" s="50">
        <v>5445</v>
      </c>
      <c r="Z128" s="51">
        <v>5081</v>
      </c>
      <c r="AA128" s="52">
        <f t="shared" si="4"/>
        <v>0.933149678604224</v>
      </c>
      <c r="AB128" s="12">
        <v>5025</v>
      </c>
      <c r="AC128" s="12">
        <v>56</v>
      </c>
      <c r="AD128" s="19">
        <v>56</v>
      </c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  <c r="AO128" s="43"/>
      <c r="AP128" s="43"/>
      <c r="AQ128" s="43"/>
      <c r="AR128" s="43"/>
      <c r="AS128" s="43"/>
      <c r="AT128" s="43"/>
      <c r="AU128" s="43"/>
      <c r="AV128" s="43"/>
    </row>
    <row r="129" ht="15.75" spans="1:48">
      <c r="A129" s="12">
        <v>125</v>
      </c>
      <c r="B129" s="44" t="s">
        <v>181</v>
      </c>
      <c r="C129" s="45" t="s">
        <v>182</v>
      </c>
      <c r="D129" s="46"/>
      <c r="E129" s="47" t="s">
        <v>183</v>
      </c>
      <c r="F129" s="48">
        <v>5</v>
      </c>
      <c r="G129" s="38">
        <v>3</v>
      </c>
      <c r="H129" s="39"/>
      <c r="I129" s="39"/>
      <c r="J129" s="39"/>
      <c r="K129" s="39"/>
      <c r="L129" s="39"/>
      <c r="M129" s="39"/>
      <c r="N129" s="39"/>
      <c r="O129" s="39"/>
      <c r="P129" s="39"/>
      <c r="Q129" s="39">
        <v>0.83</v>
      </c>
      <c r="R129" s="39"/>
      <c r="S129" s="39">
        <v>1.17</v>
      </c>
      <c r="T129" s="39"/>
      <c r="U129" s="39"/>
      <c r="V129" s="39">
        <v>1</v>
      </c>
      <c r="W129" s="39"/>
      <c r="X129" s="49" t="s">
        <v>103</v>
      </c>
      <c r="Y129" s="50">
        <v>2940</v>
      </c>
      <c r="Z129" s="51">
        <v>2640</v>
      </c>
      <c r="AA129" s="52">
        <f t="shared" si="4"/>
        <v>0.897959183673469</v>
      </c>
      <c r="AB129" s="12">
        <v>2640</v>
      </c>
      <c r="AC129" s="12">
        <v>0</v>
      </c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  <c r="AO129" s="43"/>
      <c r="AP129" s="43"/>
      <c r="AQ129" s="43"/>
      <c r="AR129" s="43"/>
      <c r="AS129" s="43"/>
      <c r="AT129" s="43"/>
      <c r="AU129" s="43"/>
      <c r="AV129" s="43"/>
    </row>
    <row r="130" ht="15.75" spans="1:48">
      <c r="A130" s="12">
        <v>126</v>
      </c>
      <c r="B130" s="44">
        <v>3277</v>
      </c>
      <c r="C130" s="45" t="s">
        <v>106</v>
      </c>
      <c r="D130" s="46"/>
      <c r="E130" s="47" t="s">
        <v>50</v>
      </c>
      <c r="F130" s="48">
        <v>7.17</v>
      </c>
      <c r="G130" s="38">
        <v>0.83</v>
      </c>
      <c r="H130" s="39"/>
      <c r="I130" s="39"/>
      <c r="J130" s="39"/>
      <c r="K130" s="39"/>
      <c r="L130" s="39"/>
      <c r="M130" s="39"/>
      <c r="N130" s="39"/>
      <c r="O130" s="39"/>
      <c r="P130" s="39"/>
      <c r="Q130" s="39">
        <v>0.83</v>
      </c>
      <c r="R130" s="39"/>
      <c r="S130" s="39"/>
      <c r="T130" s="39"/>
      <c r="U130" s="39"/>
      <c r="V130" s="39"/>
      <c r="W130" s="39"/>
      <c r="X130" s="49" t="s">
        <v>184</v>
      </c>
      <c r="Y130" s="50">
        <v>0</v>
      </c>
      <c r="Z130" s="51"/>
      <c r="AA130" s="52">
        <f t="shared" ref="AA130:AA139" si="5">IFERROR(Z130/Y130,0)</f>
        <v>0</v>
      </c>
      <c r="AB130" s="12">
        <v>0</v>
      </c>
      <c r="AC130" s="12">
        <v>0</v>
      </c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  <c r="AO130" s="43"/>
      <c r="AP130" s="43"/>
      <c r="AQ130" s="43"/>
      <c r="AR130" s="43"/>
      <c r="AS130" s="43"/>
      <c r="AT130" s="43"/>
      <c r="AU130" s="43"/>
      <c r="AV130" s="43"/>
    </row>
    <row r="131" ht="15.75" spans="1:48">
      <c r="A131" s="12">
        <v>127</v>
      </c>
      <c r="B131" s="44">
        <v>850</v>
      </c>
      <c r="C131" s="45" t="s">
        <v>109</v>
      </c>
      <c r="D131" s="46"/>
      <c r="E131" s="47" t="s">
        <v>50</v>
      </c>
      <c r="F131" s="48">
        <v>7.17</v>
      </c>
      <c r="G131" s="38">
        <v>0.83</v>
      </c>
      <c r="H131" s="39"/>
      <c r="I131" s="39"/>
      <c r="J131" s="39"/>
      <c r="K131" s="39"/>
      <c r="L131" s="39"/>
      <c r="M131" s="39"/>
      <c r="N131" s="39"/>
      <c r="O131" s="39"/>
      <c r="P131" s="39"/>
      <c r="Q131" s="39">
        <v>0.83</v>
      </c>
      <c r="R131" s="39"/>
      <c r="S131" s="39"/>
      <c r="T131" s="39"/>
      <c r="U131" s="39"/>
      <c r="V131" s="39"/>
      <c r="W131" s="39"/>
      <c r="X131" s="49" t="s">
        <v>103</v>
      </c>
      <c r="Y131" s="50">
        <v>4818.24</v>
      </c>
      <c r="Z131" s="51">
        <v>4080</v>
      </c>
      <c r="AA131" s="52">
        <f t="shared" si="5"/>
        <v>0.846782227535365</v>
      </c>
      <c r="AB131" s="12">
        <v>4080</v>
      </c>
      <c r="AC131" s="12">
        <v>0</v>
      </c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  <c r="AO131" s="43"/>
      <c r="AP131" s="43"/>
      <c r="AQ131" s="43"/>
      <c r="AR131" s="43"/>
      <c r="AS131" s="43"/>
      <c r="AT131" s="43"/>
      <c r="AU131" s="43"/>
      <c r="AV131" s="43"/>
    </row>
    <row r="132" ht="15.75" spans="1:48">
      <c r="A132" s="12">
        <v>128</v>
      </c>
      <c r="B132" s="44">
        <v>849</v>
      </c>
      <c r="C132" s="45" t="s">
        <v>108</v>
      </c>
      <c r="D132" s="46"/>
      <c r="E132" s="47" t="s">
        <v>50</v>
      </c>
      <c r="F132" s="48">
        <v>7.17</v>
      </c>
      <c r="G132" s="38">
        <v>0.83</v>
      </c>
      <c r="H132" s="39"/>
      <c r="I132" s="39"/>
      <c r="J132" s="39"/>
      <c r="K132" s="39"/>
      <c r="L132" s="39"/>
      <c r="M132" s="39"/>
      <c r="N132" s="39"/>
      <c r="O132" s="39"/>
      <c r="P132" s="39"/>
      <c r="Q132" s="39">
        <v>0.83</v>
      </c>
      <c r="R132" s="39"/>
      <c r="S132" s="39"/>
      <c r="T132" s="39"/>
      <c r="U132" s="39"/>
      <c r="V132" s="39"/>
      <c r="W132" s="39"/>
      <c r="X132" s="49" t="s">
        <v>103</v>
      </c>
      <c r="Y132" s="50">
        <v>4818.24</v>
      </c>
      <c r="Z132" s="51">
        <v>3000</v>
      </c>
      <c r="AA132" s="52">
        <f t="shared" si="5"/>
        <v>0.622633990834828</v>
      </c>
      <c r="AB132" s="12">
        <v>3000</v>
      </c>
      <c r="AC132" s="12">
        <v>0</v>
      </c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  <c r="AO132" s="43"/>
      <c r="AP132" s="43"/>
      <c r="AQ132" s="43"/>
      <c r="AR132" s="43"/>
      <c r="AS132" s="43"/>
      <c r="AT132" s="43"/>
      <c r="AU132" s="43"/>
      <c r="AV132" s="43"/>
    </row>
    <row r="133" ht="15.75" spans="1:48">
      <c r="A133" s="12">
        <v>129</v>
      </c>
      <c r="B133" s="44">
        <v>3295</v>
      </c>
      <c r="C133" s="45" t="s">
        <v>92</v>
      </c>
      <c r="D133" s="46"/>
      <c r="E133" s="47" t="s">
        <v>50</v>
      </c>
      <c r="F133" s="48">
        <v>0.9</v>
      </c>
      <c r="G133" s="38">
        <v>0</v>
      </c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49" t="s">
        <v>103</v>
      </c>
      <c r="Y133" s="50">
        <v>756</v>
      </c>
      <c r="Z133" s="51">
        <v>720</v>
      </c>
      <c r="AA133" s="52">
        <f t="shared" si="5"/>
        <v>0.952380952380952</v>
      </c>
      <c r="AB133" s="12">
        <v>720</v>
      </c>
      <c r="AC133" s="12">
        <v>0</v>
      </c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  <c r="AO133" s="43"/>
      <c r="AP133" s="43"/>
      <c r="AQ133" s="43"/>
      <c r="AR133" s="43"/>
      <c r="AS133" s="43"/>
      <c r="AT133" s="43"/>
      <c r="AU133" s="43"/>
      <c r="AV133" s="43"/>
    </row>
    <row r="134" ht="15.75" spans="1:48">
      <c r="A134" s="12">
        <v>130</v>
      </c>
      <c r="B134" s="44">
        <v>3295</v>
      </c>
      <c r="C134" s="45" t="s">
        <v>92</v>
      </c>
      <c r="D134" s="46"/>
      <c r="E134" s="47" t="s">
        <v>50</v>
      </c>
      <c r="F134" s="48">
        <v>0.6</v>
      </c>
      <c r="G134" s="38">
        <v>0</v>
      </c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49" t="s">
        <v>105</v>
      </c>
      <c r="Y134" s="50">
        <v>396</v>
      </c>
      <c r="Z134" s="51">
        <v>400</v>
      </c>
      <c r="AA134" s="52">
        <f t="shared" si="5"/>
        <v>1.01010101010101</v>
      </c>
      <c r="AB134" s="12">
        <v>400</v>
      </c>
      <c r="AC134" s="12">
        <v>0</v>
      </c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  <c r="AO134" s="43"/>
      <c r="AP134" s="43"/>
      <c r="AQ134" s="43"/>
      <c r="AR134" s="43"/>
      <c r="AS134" s="43"/>
      <c r="AT134" s="43"/>
      <c r="AU134" s="43"/>
      <c r="AV134" s="43"/>
    </row>
    <row r="135" ht="15.75" spans="1:48">
      <c r="A135" s="12">
        <v>131</v>
      </c>
      <c r="B135" s="44">
        <v>761</v>
      </c>
      <c r="C135" s="45" t="s">
        <v>89</v>
      </c>
      <c r="D135" s="46"/>
      <c r="E135" s="47" t="s">
        <v>50</v>
      </c>
      <c r="F135" s="48">
        <v>3.5</v>
      </c>
      <c r="G135" s="38">
        <v>1.84</v>
      </c>
      <c r="H135" s="39"/>
      <c r="I135" s="39"/>
      <c r="J135" s="39"/>
      <c r="K135" s="39"/>
      <c r="L135" s="39"/>
      <c r="M135" s="39"/>
      <c r="N135" s="39"/>
      <c r="O135" s="39"/>
      <c r="P135" s="39"/>
      <c r="Q135" s="39">
        <v>1.17</v>
      </c>
      <c r="R135" s="39"/>
      <c r="S135" s="39">
        <v>0.5</v>
      </c>
      <c r="T135" s="39"/>
      <c r="U135" s="39">
        <v>0.17</v>
      </c>
      <c r="V135" s="39"/>
      <c r="W135" s="39"/>
      <c r="X135" s="49" t="s">
        <v>101</v>
      </c>
      <c r="Y135" s="50">
        <v>6720</v>
      </c>
      <c r="Z135" s="51">
        <v>5940</v>
      </c>
      <c r="AA135" s="52">
        <f t="shared" si="5"/>
        <v>0.883928571428571</v>
      </c>
      <c r="AB135" s="12">
        <v>5940</v>
      </c>
      <c r="AC135" s="12">
        <v>0</v>
      </c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  <c r="AO135" s="43"/>
      <c r="AP135" s="43"/>
      <c r="AQ135" s="43"/>
      <c r="AR135" s="43"/>
      <c r="AS135" s="43"/>
      <c r="AT135" s="43"/>
      <c r="AU135" s="43"/>
      <c r="AV135" s="43"/>
    </row>
    <row r="136" ht="15.75" spans="1:48">
      <c r="A136" s="12">
        <v>132</v>
      </c>
      <c r="B136" s="44">
        <v>761</v>
      </c>
      <c r="C136" s="45" t="s">
        <v>89</v>
      </c>
      <c r="D136" s="46"/>
      <c r="E136" s="47" t="s">
        <v>50</v>
      </c>
      <c r="F136" s="48">
        <v>2.5</v>
      </c>
      <c r="G136" s="38">
        <v>0</v>
      </c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49" t="s">
        <v>102</v>
      </c>
      <c r="Y136" s="50">
        <v>11250</v>
      </c>
      <c r="Z136" s="51">
        <v>10500</v>
      </c>
      <c r="AA136" s="52">
        <f t="shared" si="5"/>
        <v>0.933333333333333</v>
      </c>
      <c r="AB136" s="12">
        <v>10500</v>
      </c>
      <c r="AC136" s="12">
        <v>0</v>
      </c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  <c r="AO136" s="43"/>
      <c r="AP136" s="43"/>
      <c r="AQ136" s="43"/>
      <c r="AR136" s="43"/>
      <c r="AS136" s="43"/>
      <c r="AT136" s="43"/>
      <c r="AU136" s="43"/>
      <c r="AV136" s="43"/>
    </row>
    <row r="137" ht="15.75" spans="1:48">
      <c r="A137" s="12">
        <v>133</v>
      </c>
      <c r="B137" s="44">
        <v>761</v>
      </c>
      <c r="C137" s="45" t="s">
        <v>89</v>
      </c>
      <c r="D137" s="46"/>
      <c r="E137" s="47" t="s">
        <v>50</v>
      </c>
      <c r="F137" s="48">
        <v>2</v>
      </c>
      <c r="G137" s="38">
        <v>0</v>
      </c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49" t="s">
        <v>152</v>
      </c>
      <c r="Y137" s="50">
        <v>8700</v>
      </c>
      <c r="Z137" s="51">
        <v>8400</v>
      </c>
      <c r="AA137" s="52">
        <f t="shared" si="5"/>
        <v>0.96551724137931</v>
      </c>
      <c r="AB137" s="12">
        <v>8400</v>
      </c>
      <c r="AC137" s="12">
        <v>0</v>
      </c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  <c r="AO137" s="43"/>
      <c r="AP137" s="43"/>
      <c r="AQ137" s="43"/>
      <c r="AR137" s="43"/>
      <c r="AS137" s="43"/>
      <c r="AT137" s="43"/>
      <c r="AU137" s="43"/>
      <c r="AV137" s="43"/>
    </row>
    <row r="138" ht="15.75" spans="1:48">
      <c r="A138" s="12">
        <v>134</v>
      </c>
      <c r="B138" s="44">
        <v>761</v>
      </c>
      <c r="C138" s="45" t="s">
        <v>89</v>
      </c>
      <c r="D138" s="46"/>
      <c r="E138" s="47" t="s">
        <v>50</v>
      </c>
      <c r="F138" s="48">
        <v>2.17</v>
      </c>
      <c r="G138" s="38">
        <v>0</v>
      </c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49" t="s">
        <v>100</v>
      </c>
      <c r="Y138" s="50">
        <v>4166.4</v>
      </c>
      <c r="Z138" s="51">
        <v>4140</v>
      </c>
      <c r="AA138" s="52">
        <f t="shared" si="5"/>
        <v>0.993663594470046</v>
      </c>
      <c r="AB138" s="12">
        <v>4140</v>
      </c>
      <c r="AC138" s="12">
        <v>0</v>
      </c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  <c r="AO138" s="43"/>
      <c r="AP138" s="43"/>
      <c r="AQ138" s="43"/>
      <c r="AR138" s="43"/>
      <c r="AS138" s="43"/>
      <c r="AT138" s="43"/>
      <c r="AU138" s="43"/>
      <c r="AV138" s="43"/>
    </row>
    <row r="139" ht="15.75" spans="1:48">
      <c r="A139" s="12">
        <v>135</v>
      </c>
      <c r="B139" s="44">
        <v>4310</v>
      </c>
      <c r="C139" s="45" t="s">
        <v>99</v>
      </c>
      <c r="D139" s="46"/>
      <c r="E139" s="47" t="s">
        <v>50</v>
      </c>
      <c r="F139" s="48">
        <v>1.33</v>
      </c>
      <c r="G139" s="38">
        <v>0</v>
      </c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49" t="s">
        <v>103</v>
      </c>
      <c r="Y139" s="50">
        <v>1117.2</v>
      </c>
      <c r="Z139" s="51">
        <v>945</v>
      </c>
      <c r="AA139" s="52">
        <f t="shared" si="5"/>
        <v>0.845864661654135</v>
      </c>
      <c r="AB139" s="12">
        <v>945</v>
      </c>
      <c r="AC139" s="12">
        <v>0</v>
      </c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  <c r="AO139" s="43"/>
      <c r="AP139" s="43"/>
      <c r="AQ139" s="43"/>
      <c r="AR139" s="43"/>
      <c r="AS139" s="43"/>
      <c r="AT139" s="43"/>
      <c r="AU139" s="43"/>
      <c r="AV139" s="43"/>
    </row>
    <row r="140" ht="15.75" spans="1:48">
      <c r="A140" s="12">
        <v>136</v>
      </c>
      <c r="B140" s="44">
        <v>846</v>
      </c>
      <c r="C140" s="45" t="s">
        <v>87</v>
      </c>
      <c r="D140" s="46"/>
      <c r="E140" s="47" t="s">
        <v>50</v>
      </c>
      <c r="F140" s="48">
        <v>6</v>
      </c>
      <c r="G140" s="38">
        <v>0</v>
      </c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49" t="s">
        <v>105</v>
      </c>
      <c r="Y140" s="50">
        <v>3960</v>
      </c>
      <c r="Z140" s="51">
        <v>3217</v>
      </c>
      <c r="AA140" s="52">
        <f t="shared" ref="AA140:AA151" si="6">IFERROR(Z140/Y140,0)</f>
        <v>0.812373737373737</v>
      </c>
      <c r="AB140" s="12">
        <v>3217</v>
      </c>
      <c r="AC140" s="12">
        <v>0</v>
      </c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  <c r="AO140" s="43"/>
      <c r="AP140" s="43"/>
      <c r="AQ140" s="43"/>
      <c r="AR140" s="43"/>
      <c r="AS140" s="43"/>
      <c r="AT140" s="43"/>
      <c r="AU140" s="43"/>
      <c r="AV140" s="43"/>
    </row>
    <row r="141" ht="15.75" spans="1:48">
      <c r="A141" s="12">
        <v>137</v>
      </c>
      <c r="B141" s="44">
        <v>4360</v>
      </c>
      <c r="C141" s="45" t="s">
        <v>97</v>
      </c>
      <c r="D141" s="46"/>
      <c r="E141" s="47" t="s">
        <v>50</v>
      </c>
      <c r="F141" s="48">
        <v>1</v>
      </c>
      <c r="G141" s="38">
        <v>0</v>
      </c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49" t="s">
        <v>103</v>
      </c>
      <c r="Y141" s="50">
        <v>840</v>
      </c>
      <c r="Z141" s="51">
        <v>720</v>
      </c>
      <c r="AA141" s="52">
        <f t="shared" si="6"/>
        <v>0.857142857142857</v>
      </c>
      <c r="AB141" s="12">
        <v>720</v>
      </c>
      <c r="AC141" s="12">
        <v>0</v>
      </c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  <c r="AO141" s="43"/>
      <c r="AP141" s="43"/>
      <c r="AQ141" s="43"/>
      <c r="AR141" s="43"/>
      <c r="AS141" s="43"/>
      <c r="AT141" s="43"/>
      <c r="AU141" s="43"/>
      <c r="AV141" s="43"/>
    </row>
    <row r="142" ht="15.75" spans="1:48">
      <c r="A142" s="12">
        <v>138</v>
      </c>
      <c r="B142" s="44" t="s">
        <v>185</v>
      </c>
      <c r="C142" s="45" t="s">
        <v>179</v>
      </c>
      <c r="D142" s="46"/>
      <c r="E142" s="47" t="s">
        <v>50</v>
      </c>
      <c r="F142" s="48">
        <v>1.17</v>
      </c>
      <c r="G142" s="38">
        <v>0</v>
      </c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49" t="s">
        <v>103</v>
      </c>
      <c r="Y142" s="50">
        <v>982.8</v>
      </c>
      <c r="Z142" s="51">
        <v>840</v>
      </c>
      <c r="AA142" s="52">
        <f t="shared" si="6"/>
        <v>0.854700854700855</v>
      </c>
      <c r="AB142" s="12">
        <v>840</v>
      </c>
      <c r="AC142" s="12">
        <v>0</v>
      </c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  <c r="AO142" s="43"/>
      <c r="AP142" s="43"/>
      <c r="AQ142" s="43"/>
      <c r="AR142" s="43"/>
      <c r="AS142" s="43"/>
      <c r="AT142" s="43"/>
      <c r="AU142" s="43"/>
      <c r="AV142" s="43"/>
    </row>
    <row r="143" ht="15.75" spans="1:48">
      <c r="A143" s="12">
        <v>139</v>
      </c>
      <c r="B143" s="44" t="s">
        <v>185</v>
      </c>
      <c r="C143" s="45" t="s">
        <v>179</v>
      </c>
      <c r="D143" s="46"/>
      <c r="E143" s="47" t="s">
        <v>50</v>
      </c>
      <c r="F143" s="48">
        <v>1.5</v>
      </c>
      <c r="G143" s="38">
        <v>0</v>
      </c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49" t="s">
        <v>104</v>
      </c>
      <c r="Y143" s="50">
        <v>22500</v>
      </c>
      <c r="Z143" s="51">
        <v>20000</v>
      </c>
      <c r="AA143" s="52">
        <f t="shared" si="6"/>
        <v>0.888888888888889</v>
      </c>
      <c r="AB143" s="12">
        <v>20000</v>
      </c>
      <c r="AC143" s="12">
        <v>0</v>
      </c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  <c r="AO143" s="43"/>
      <c r="AP143" s="43"/>
      <c r="AQ143" s="43"/>
      <c r="AR143" s="43"/>
      <c r="AS143" s="43"/>
      <c r="AT143" s="43"/>
      <c r="AU143" s="43"/>
      <c r="AV143" s="43"/>
    </row>
    <row r="144" ht="15.75" spans="1:48">
      <c r="A144" s="12">
        <v>140</v>
      </c>
      <c r="B144" s="44">
        <v>4489</v>
      </c>
      <c r="C144" s="45" t="s">
        <v>88</v>
      </c>
      <c r="D144" s="46"/>
      <c r="E144" s="47" t="s">
        <v>50</v>
      </c>
      <c r="F144" s="48">
        <v>3.33</v>
      </c>
      <c r="G144" s="38">
        <v>0</v>
      </c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49" t="s">
        <v>103</v>
      </c>
      <c r="Y144" s="50">
        <v>2797.2</v>
      </c>
      <c r="Z144" s="51">
        <v>2256</v>
      </c>
      <c r="AA144" s="52">
        <f t="shared" si="6"/>
        <v>0.806520806520807</v>
      </c>
      <c r="AB144" s="12">
        <v>2256</v>
      </c>
      <c r="AC144" s="12">
        <v>0</v>
      </c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  <c r="AO144" s="43"/>
      <c r="AP144" s="43"/>
      <c r="AQ144" s="43"/>
      <c r="AR144" s="43"/>
      <c r="AS144" s="43"/>
      <c r="AT144" s="43"/>
      <c r="AU144" s="43"/>
      <c r="AV144" s="43"/>
    </row>
    <row r="145" ht="15.75" spans="1:48">
      <c r="A145" s="12">
        <v>141</v>
      </c>
      <c r="B145" s="44">
        <v>4490</v>
      </c>
      <c r="C145" s="45" t="s">
        <v>91</v>
      </c>
      <c r="D145" s="46"/>
      <c r="E145" s="47" t="s">
        <v>50</v>
      </c>
      <c r="F145" s="48">
        <v>2</v>
      </c>
      <c r="G145" s="38">
        <v>0</v>
      </c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49" t="s">
        <v>103</v>
      </c>
      <c r="Y145" s="50">
        <v>1680</v>
      </c>
      <c r="Z145" s="51">
        <v>1380</v>
      </c>
      <c r="AA145" s="52">
        <f t="shared" si="6"/>
        <v>0.821428571428571</v>
      </c>
      <c r="AB145" s="12">
        <v>1380</v>
      </c>
      <c r="AC145" s="12">
        <v>0</v>
      </c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  <c r="AO145" s="43"/>
      <c r="AP145" s="43"/>
      <c r="AQ145" s="43"/>
      <c r="AR145" s="43"/>
      <c r="AS145" s="43"/>
      <c r="AT145" s="43"/>
      <c r="AU145" s="43"/>
      <c r="AV145" s="43"/>
    </row>
    <row r="146" ht="15.75" spans="1:48">
      <c r="A146" s="12">
        <v>142</v>
      </c>
      <c r="B146" s="44">
        <v>4412</v>
      </c>
      <c r="C146" s="45" t="s">
        <v>177</v>
      </c>
      <c r="D146" s="46"/>
      <c r="E146" s="47" t="s">
        <v>50</v>
      </c>
      <c r="F146" s="48">
        <v>1.67</v>
      </c>
      <c r="G146" s="38">
        <v>0.33</v>
      </c>
      <c r="H146" s="39"/>
      <c r="I146" s="39"/>
      <c r="J146" s="39"/>
      <c r="K146" s="39"/>
      <c r="L146" s="39"/>
      <c r="M146" s="39"/>
      <c r="N146" s="39"/>
      <c r="O146" s="39"/>
      <c r="P146" s="39"/>
      <c r="Q146" s="39">
        <v>0.33</v>
      </c>
      <c r="R146" s="39"/>
      <c r="S146" s="39"/>
      <c r="T146" s="39"/>
      <c r="U146" s="39"/>
      <c r="V146" s="39"/>
      <c r="W146" s="39"/>
      <c r="X146" s="49" t="s">
        <v>186</v>
      </c>
      <c r="Y146" s="50">
        <v>501</v>
      </c>
      <c r="Z146" s="51">
        <v>440</v>
      </c>
      <c r="AA146" s="52">
        <f t="shared" si="6"/>
        <v>0.878243512974052</v>
      </c>
      <c r="AB146" s="12">
        <v>440</v>
      </c>
      <c r="AC146" s="12">
        <v>0</v>
      </c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  <c r="AO146" s="43"/>
      <c r="AP146" s="43"/>
      <c r="AQ146" s="43"/>
      <c r="AR146" s="43"/>
      <c r="AS146" s="43"/>
      <c r="AT146" s="43"/>
      <c r="AU146" s="43"/>
      <c r="AV146" s="43"/>
    </row>
    <row r="147" ht="15.75" spans="1:48">
      <c r="A147" s="12">
        <v>143</v>
      </c>
      <c r="B147" s="57">
        <v>4412</v>
      </c>
      <c r="C147" s="58" t="s">
        <v>177</v>
      </c>
      <c r="D147" s="59"/>
      <c r="E147" s="47" t="s">
        <v>50</v>
      </c>
      <c r="F147" s="48">
        <v>0.83</v>
      </c>
      <c r="G147" s="38">
        <v>0</v>
      </c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49" t="s">
        <v>105</v>
      </c>
      <c r="Y147" s="50">
        <v>547.8</v>
      </c>
      <c r="Z147" s="51">
        <v>750</v>
      </c>
      <c r="AA147" s="52">
        <f t="shared" si="6"/>
        <v>1.36911281489595</v>
      </c>
      <c r="AB147" s="12">
        <v>750</v>
      </c>
      <c r="AC147" s="12">
        <v>0</v>
      </c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  <c r="AO147" s="43"/>
      <c r="AP147" s="43"/>
      <c r="AQ147" s="43"/>
      <c r="AR147" s="43"/>
      <c r="AS147" s="43"/>
      <c r="AT147" s="43"/>
      <c r="AU147" s="43"/>
      <c r="AV147" s="43"/>
    </row>
    <row r="148" ht="15.75" spans="1:48">
      <c r="A148" s="12">
        <v>144</v>
      </c>
      <c r="B148" s="44" t="s">
        <v>187</v>
      </c>
      <c r="C148" s="45" t="s">
        <v>188</v>
      </c>
      <c r="D148" s="46"/>
      <c r="E148" s="47" t="s">
        <v>50</v>
      </c>
      <c r="F148" s="48">
        <v>4</v>
      </c>
      <c r="G148" s="38">
        <v>0</v>
      </c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49" t="s">
        <v>103</v>
      </c>
      <c r="Y148" s="50">
        <v>3360</v>
      </c>
      <c r="Z148" s="51">
        <v>2400</v>
      </c>
      <c r="AA148" s="52">
        <f t="shared" ref="AA148:AA179" si="7">IFERROR(Z148/Y148,0)</f>
        <v>0.714285714285714</v>
      </c>
      <c r="AB148" s="12">
        <v>2400</v>
      </c>
      <c r="AC148" s="12">
        <v>0</v>
      </c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  <c r="AO148" s="43"/>
      <c r="AP148" s="43"/>
      <c r="AQ148" s="43"/>
      <c r="AR148" s="43"/>
      <c r="AS148" s="43"/>
      <c r="AT148" s="43"/>
      <c r="AU148" s="43"/>
      <c r="AV148" s="43"/>
    </row>
    <row r="149" ht="15.75" spans="1:48">
      <c r="A149" s="12">
        <v>145</v>
      </c>
      <c r="B149" s="44">
        <v>2516</v>
      </c>
      <c r="C149" s="45" t="s">
        <v>189</v>
      </c>
      <c r="D149" s="46" t="s">
        <v>112</v>
      </c>
      <c r="E149" s="47" t="s">
        <v>50</v>
      </c>
      <c r="F149" s="48">
        <v>10.17</v>
      </c>
      <c r="G149" s="38">
        <v>1.84</v>
      </c>
      <c r="H149" s="39"/>
      <c r="I149" s="39"/>
      <c r="J149" s="39"/>
      <c r="K149" s="39">
        <v>0.17</v>
      </c>
      <c r="L149" s="39"/>
      <c r="M149" s="39"/>
      <c r="N149" s="39"/>
      <c r="O149" s="39"/>
      <c r="P149" s="39"/>
      <c r="Q149" s="39">
        <v>1.17</v>
      </c>
      <c r="R149" s="39"/>
      <c r="S149" s="39">
        <v>0.33</v>
      </c>
      <c r="T149" s="39"/>
      <c r="U149" s="39">
        <v>0.17</v>
      </c>
      <c r="V149" s="39"/>
      <c r="W149" s="39"/>
      <c r="X149" s="49" t="s">
        <v>190</v>
      </c>
      <c r="Y149" s="50">
        <v>9153</v>
      </c>
      <c r="Z149" s="51">
        <v>8555</v>
      </c>
      <c r="AA149" s="52">
        <f t="shared" si="7"/>
        <v>0.93466622965148</v>
      </c>
      <c r="AB149" s="12">
        <v>8540</v>
      </c>
      <c r="AC149" s="12">
        <v>15</v>
      </c>
      <c r="AD149" s="43"/>
      <c r="AE149" s="43"/>
      <c r="AF149" s="43"/>
      <c r="AG149" s="43"/>
      <c r="AH149" s="43"/>
      <c r="AI149" s="43"/>
      <c r="AJ149" s="43"/>
      <c r="AK149" s="19">
        <v>3</v>
      </c>
      <c r="AL149" s="43"/>
      <c r="AM149" s="43"/>
      <c r="AN149" s="19">
        <v>12</v>
      </c>
      <c r="AO149" s="43"/>
      <c r="AP149" s="43"/>
      <c r="AQ149" s="43"/>
      <c r="AR149" s="43"/>
      <c r="AS149" s="43"/>
      <c r="AT149" s="43"/>
      <c r="AU149" s="43"/>
      <c r="AV149" s="43"/>
    </row>
    <row r="150" ht="15.75" spans="1:48">
      <c r="A150" s="12">
        <v>146</v>
      </c>
      <c r="B150" s="44">
        <v>3353</v>
      </c>
      <c r="C150" s="45" t="s">
        <v>48</v>
      </c>
      <c r="D150" s="46" t="s">
        <v>53</v>
      </c>
      <c r="E150" s="47" t="s">
        <v>50</v>
      </c>
      <c r="F150" s="48">
        <v>4.83</v>
      </c>
      <c r="G150" s="38">
        <v>5.01</v>
      </c>
      <c r="H150" s="39"/>
      <c r="I150" s="39"/>
      <c r="J150" s="39"/>
      <c r="K150" s="39"/>
      <c r="L150" s="39"/>
      <c r="M150" s="39"/>
      <c r="N150" s="39"/>
      <c r="O150" s="39"/>
      <c r="P150" s="39"/>
      <c r="Q150" s="39">
        <v>1.17</v>
      </c>
      <c r="R150" s="39"/>
      <c r="S150" s="39">
        <v>3.67</v>
      </c>
      <c r="T150" s="39"/>
      <c r="U150" s="39">
        <v>0.17</v>
      </c>
      <c r="V150" s="39"/>
      <c r="W150" s="39"/>
      <c r="X150" s="49" t="s">
        <v>55</v>
      </c>
      <c r="Y150" s="50">
        <v>11664.45</v>
      </c>
      <c r="Z150" s="51">
        <v>12240</v>
      </c>
      <c r="AA150" s="52">
        <f t="shared" si="7"/>
        <v>1.04934223216697</v>
      </c>
      <c r="AB150" s="12">
        <v>12240</v>
      </c>
      <c r="AC150" s="12">
        <v>0</v>
      </c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  <c r="AO150" s="43"/>
      <c r="AP150" s="43"/>
      <c r="AQ150" s="43"/>
      <c r="AR150" s="43"/>
      <c r="AS150" s="43"/>
      <c r="AT150" s="43"/>
      <c r="AU150" s="43"/>
      <c r="AV150" s="43"/>
    </row>
    <row r="151" ht="15.75" spans="1:48">
      <c r="A151" s="12">
        <v>147</v>
      </c>
      <c r="B151" s="44">
        <v>3353</v>
      </c>
      <c r="C151" s="45" t="s">
        <v>48</v>
      </c>
      <c r="D151" s="46" t="s">
        <v>49</v>
      </c>
      <c r="E151" s="47" t="s">
        <v>50</v>
      </c>
      <c r="F151" s="48">
        <v>2.17</v>
      </c>
      <c r="G151" s="38">
        <v>0</v>
      </c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49" t="s">
        <v>51</v>
      </c>
      <c r="Y151" s="50">
        <v>6737.85</v>
      </c>
      <c r="Z151" s="51">
        <v>6900</v>
      </c>
      <c r="AA151" s="52">
        <f t="shared" si="7"/>
        <v>1.02406554019457</v>
      </c>
      <c r="AB151" s="12">
        <v>6900</v>
      </c>
      <c r="AC151" s="12">
        <v>0</v>
      </c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  <c r="AO151" s="43"/>
      <c r="AP151" s="43"/>
      <c r="AQ151" s="43"/>
      <c r="AR151" s="43"/>
      <c r="AS151" s="43"/>
      <c r="AT151" s="43"/>
      <c r="AU151" s="43"/>
      <c r="AV151" s="43"/>
    </row>
    <row r="152" ht="15.75" spans="1:48">
      <c r="A152" s="12">
        <v>148</v>
      </c>
      <c r="B152" s="44">
        <v>2284</v>
      </c>
      <c r="C152" s="45" t="s">
        <v>59</v>
      </c>
      <c r="D152" s="46"/>
      <c r="E152" s="47" t="s">
        <v>50</v>
      </c>
      <c r="F152" s="48">
        <v>10.83</v>
      </c>
      <c r="G152" s="38">
        <v>1.17</v>
      </c>
      <c r="H152" s="39"/>
      <c r="I152" s="39"/>
      <c r="J152" s="39"/>
      <c r="K152" s="39"/>
      <c r="L152" s="39"/>
      <c r="M152" s="39"/>
      <c r="N152" s="39"/>
      <c r="O152" s="39"/>
      <c r="P152" s="39"/>
      <c r="Q152" s="39">
        <v>1.17</v>
      </c>
      <c r="R152" s="39"/>
      <c r="S152" s="39"/>
      <c r="T152" s="39"/>
      <c r="U152" s="39"/>
      <c r="V152" s="39"/>
      <c r="W152" s="39"/>
      <c r="X152" s="49" t="s">
        <v>60</v>
      </c>
      <c r="Y152" s="50">
        <v>0</v>
      </c>
      <c r="Z152" s="51"/>
      <c r="AA152" s="52">
        <f t="shared" si="7"/>
        <v>0</v>
      </c>
      <c r="AB152" s="12">
        <v>0</v>
      </c>
      <c r="AC152" s="12">
        <v>0</v>
      </c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  <c r="AO152" s="43"/>
      <c r="AP152" s="43"/>
      <c r="AQ152" s="43"/>
      <c r="AR152" s="43"/>
      <c r="AS152" s="43"/>
      <c r="AT152" s="43"/>
      <c r="AU152" s="43"/>
      <c r="AV152" s="43"/>
    </row>
    <row r="153" ht="15.75" spans="1:48">
      <c r="A153" s="12">
        <v>149</v>
      </c>
      <c r="B153" s="44">
        <v>3352</v>
      </c>
      <c r="C153" s="45" t="s">
        <v>66</v>
      </c>
      <c r="D153" s="46"/>
      <c r="E153" s="47" t="s">
        <v>50</v>
      </c>
      <c r="F153" s="48">
        <v>10.83</v>
      </c>
      <c r="G153" s="38">
        <v>1.17</v>
      </c>
      <c r="H153" s="39"/>
      <c r="I153" s="39"/>
      <c r="J153" s="39"/>
      <c r="K153" s="39"/>
      <c r="L153" s="39"/>
      <c r="M153" s="39"/>
      <c r="N153" s="39"/>
      <c r="O153" s="39"/>
      <c r="P153" s="39"/>
      <c r="Q153" s="39">
        <v>1.17</v>
      </c>
      <c r="R153" s="39"/>
      <c r="S153" s="39"/>
      <c r="T153" s="39"/>
      <c r="U153" s="39"/>
      <c r="V153" s="39"/>
      <c r="W153" s="39"/>
      <c r="X153" s="49" t="s">
        <v>67</v>
      </c>
      <c r="Y153" s="50">
        <v>2707.5</v>
      </c>
      <c r="Z153" s="51">
        <v>2600</v>
      </c>
      <c r="AA153" s="52">
        <f t="shared" si="7"/>
        <v>0.960295475530933</v>
      </c>
      <c r="AB153" s="12">
        <v>2600</v>
      </c>
      <c r="AC153" s="12">
        <v>0</v>
      </c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  <c r="AO153" s="43"/>
      <c r="AP153" s="43"/>
      <c r="AQ153" s="43"/>
      <c r="AR153" s="43"/>
      <c r="AS153" s="43"/>
      <c r="AT153" s="43"/>
      <c r="AU153" s="43"/>
      <c r="AV153" s="43"/>
    </row>
    <row r="154" ht="15.75" spans="1:48">
      <c r="A154" s="12">
        <v>150</v>
      </c>
      <c r="B154" s="44">
        <v>3526</v>
      </c>
      <c r="C154" s="45" t="s">
        <v>65</v>
      </c>
      <c r="D154" s="46"/>
      <c r="E154" s="47" t="s">
        <v>50</v>
      </c>
      <c r="F154" s="48">
        <v>10.83</v>
      </c>
      <c r="G154" s="38">
        <v>1.17</v>
      </c>
      <c r="H154" s="39"/>
      <c r="I154" s="39"/>
      <c r="J154" s="39"/>
      <c r="K154" s="39"/>
      <c r="L154" s="39"/>
      <c r="M154" s="39"/>
      <c r="N154" s="39"/>
      <c r="O154" s="39"/>
      <c r="P154" s="39"/>
      <c r="Q154" s="39">
        <v>1.17</v>
      </c>
      <c r="R154" s="39"/>
      <c r="S154" s="39"/>
      <c r="T154" s="39"/>
      <c r="U154" s="39"/>
      <c r="V154" s="39"/>
      <c r="W154" s="39"/>
      <c r="X154" s="49" t="s">
        <v>191</v>
      </c>
      <c r="Y154" s="50">
        <v>3628.05</v>
      </c>
      <c r="Z154" s="51">
        <v>3400</v>
      </c>
      <c r="AA154" s="52">
        <f t="shared" si="7"/>
        <v>0.937142542136961</v>
      </c>
      <c r="AB154" s="12">
        <v>3400</v>
      </c>
      <c r="AC154" s="12">
        <v>0</v>
      </c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  <c r="AO154" s="43"/>
      <c r="AP154" s="43"/>
      <c r="AQ154" s="43"/>
      <c r="AR154" s="43"/>
      <c r="AS154" s="43"/>
      <c r="AT154" s="43"/>
      <c r="AU154" s="43"/>
      <c r="AV154" s="43"/>
    </row>
    <row r="155" ht="15.75" spans="1:48">
      <c r="A155" s="12">
        <v>151</v>
      </c>
      <c r="B155" s="44">
        <v>3187</v>
      </c>
      <c r="C155" s="45" t="s">
        <v>52</v>
      </c>
      <c r="D155" s="46">
        <v>4</v>
      </c>
      <c r="E155" s="47" t="s">
        <v>50</v>
      </c>
      <c r="F155" s="48">
        <v>10.67</v>
      </c>
      <c r="G155" s="38">
        <v>1.34</v>
      </c>
      <c r="H155" s="39"/>
      <c r="I155" s="39"/>
      <c r="J155" s="39"/>
      <c r="K155" s="39"/>
      <c r="L155" s="39"/>
      <c r="M155" s="39"/>
      <c r="N155" s="39"/>
      <c r="O155" s="39"/>
      <c r="P155" s="39"/>
      <c r="Q155" s="39">
        <v>1.17</v>
      </c>
      <c r="R155" s="39"/>
      <c r="S155" s="39"/>
      <c r="T155" s="39"/>
      <c r="U155" s="39">
        <v>0.17</v>
      </c>
      <c r="V155" s="39"/>
      <c r="W155" s="39"/>
      <c r="X155" s="49">
        <v>9116</v>
      </c>
      <c r="Y155" s="50">
        <v>3201</v>
      </c>
      <c r="Z155" s="51">
        <v>3200</v>
      </c>
      <c r="AA155" s="52">
        <f t="shared" si="7"/>
        <v>0.999687597625742</v>
      </c>
      <c r="AB155" s="12">
        <v>3200</v>
      </c>
      <c r="AC155" s="12">
        <v>0</v>
      </c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  <c r="AO155" s="43"/>
      <c r="AP155" s="43"/>
      <c r="AQ155" s="43"/>
      <c r="AR155" s="43"/>
      <c r="AS155" s="43"/>
      <c r="AT155" s="43"/>
      <c r="AU155" s="43"/>
      <c r="AV155" s="43"/>
    </row>
    <row r="156" ht="15.75" spans="1:48">
      <c r="A156" s="12">
        <v>152</v>
      </c>
      <c r="B156" s="44">
        <v>4031</v>
      </c>
      <c r="C156" s="45" t="s">
        <v>64</v>
      </c>
      <c r="D156" s="46"/>
      <c r="E156" s="47" t="s">
        <v>50</v>
      </c>
      <c r="F156" s="48">
        <v>10.83</v>
      </c>
      <c r="G156" s="38">
        <v>1.17</v>
      </c>
      <c r="H156" s="39"/>
      <c r="I156" s="39"/>
      <c r="J156" s="39"/>
      <c r="K156" s="39"/>
      <c r="L156" s="39"/>
      <c r="M156" s="39"/>
      <c r="N156" s="39"/>
      <c r="O156" s="39"/>
      <c r="P156" s="39"/>
      <c r="Q156" s="39">
        <v>1.17</v>
      </c>
      <c r="R156" s="39"/>
      <c r="S156" s="39"/>
      <c r="T156" s="39"/>
      <c r="U156" s="39"/>
      <c r="V156" s="39"/>
      <c r="W156" s="39"/>
      <c r="X156" s="49">
        <v>2168</v>
      </c>
      <c r="Y156" s="50">
        <v>6498</v>
      </c>
      <c r="Z156" s="51">
        <v>6500</v>
      </c>
      <c r="AA156" s="52">
        <f t="shared" si="7"/>
        <v>1.00030778701139</v>
      </c>
      <c r="AB156" s="12">
        <v>6500</v>
      </c>
      <c r="AC156" s="12">
        <v>0</v>
      </c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  <c r="AO156" s="43"/>
      <c r="AP156" s="43"/>
      <c r="AQ156" s="43"/>
      <c r="AR156" s="43"/>
      <c r="AS156" s="43"/>
      <c r="AT156" s="43"/>
      <c r="AU156" s="43"/>
      <c r="AV156" s="43"/>
    </row>
    <row r="157" ht="15.75" spans="1:48">
      <c r="A157" s="12">
        <v>153</v>
      </c>
      <c r="B157" s="44">
        <v>698</v>
      </c>
      <c r="C157" s="45" t="s">
        <v>68</v>
      </c>
      <c r="D157" s="46">
        <v>19</v>
      </c>
      <c r="E157" s="47" t="s">
        <v>50</v>
      </c>
      <c r="F157" s="48">
        <v>1.5</v>
      </c>
      <c r="G157" s="38">
        <v>1.67</v>
      </c>
      <c r="H157" s="39"/>
      <c r="I157" s="39"/>
      <c r="J157" s="39"/>
      <c r="K157" s="39"/>
      <c r="L157" s="39"/>
      <c r="M157" s="39"/>
      <c r="N157" s="39"/>
      <c r="O157" s="39"/>
      <c r="P157" s="39"/>
      <c r="Q157" s="39">
        <v>1.17</v>
      </c>
      <c r="R157" s="39"/>
      <c r="S157" s="39"/>
      <c r="T157" s="39">
        <v>0.33</v>
      </c>
      <c r="U157" s="39">
        <v>0.17</v>
      </c>
      <c r="V157" s="39"/>
      <c r="W157" s="39"/>
      <c r="X157" s="49">
        <v>123</v>
      </c>
      <c r="Y157" s="50">
        <v>480</v>
      </c>
      <c r="Z157" s="51">
        <v>438</v>
      </c>
      <c r="AA157" s="52">
        <f t="shared" si="7"/>
        <v>0.9125</v>
      </c>
      <c r="AB157" s="12">
        <v>438</v>
      </c>
      <c r="AC157" s="12">
        <v>0</v>
      </c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  <c r="AQ157" s="43"/>
      <c r="AR157" s="43"/>
      <c r="AS157" s="43"/>
      <c r="AT157" s="43"/>
      <c r="AU157" s="43"/>
      <c r="AV157" s="43"/>
    </row>
    <row r="158" ht="15.75" spans="1:48">
      <c r="A158" s="12">
        <v>154</v>
      </c>
      <c r="B158" s="44">
        <v>698</v>
      </c>
      <c r="C158" s="45" t="s">
        <v>68</v>
      </c>
      <c r="D158" s="46">
        <v>19</v>
      </c>
      <c r="E158" s="47" t="s">
        <v>50</v>
      </c>
      <c r="F158" s="48">
        <v>8.83</v>
      </c>
      <c r="G158" s="38">
        <v>0</v>
      </c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49">
        <v>125</v>
      </c>
      <c r="Y158" s="50">
        <v>2472.4</v>
      </c>
      <c r="Z158" s="51">
        <v>2400</v>
      </c>
      <c r="AA158" s="52">
        <f t="shared" si="7"/>
        <v>0.970716712506067</v>
      </c>
      <c r="AB158" s="12">
        <v>2400</v>
      </c>
      <c r="AC158" s="12">
        <v>0</v>
      </c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  <c r="AO158" s="43"/>
      <c r="AP158" s="43"/>
      <c r="AQ158" s="43"/>
      <c r="AR158" s="43"/>
      <c r="AS158" s="43"/>
      <c r="AT158" s="43"/>
      <c r="AU158" s="43"/>
      <c r="AV158" s="43"/>
    </row>
    <row r="159" ht="15.75" spans="1:48">
      <c r="A159" s="12">
        <v>155</v>
      </c>
      <c r="B159" s="44">
        <v>834</v>
      </c>
      <c r="C159" s="45" t="s">
        <v>61</v>
      </c>
      <c r="D159" s="46"/>
      <c r="E159" s="47" t="s">
        <v>50</v>
      </c>
      <c r="F159" s="48">
        <v>1.085</v>
      </c>
      <c r="G159" s="38">
        <v>0</v>
      </c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49" t="s">
        <v>63</v>
      </c>
      <c r="Y159" s="50">
        <v>195.3</v>
      </c>
      <c r="Z159" s="51">
        <v>200</v>
      </c>
      <c r="AA159" s="52">
        <f t="shared" si="7"/>
        <v>1.02406554019457</v>
      </c>
      <c r="AB159" s="12">
        <v>200</v>
      </c>
      <c r="AC159" s="12">
        <v>0</v>
      </c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  <c r="AO159" s="43"/>
      <c r="AP159" s="43"/>
      <c r="AQ159" s="43"/>
      <c r="AR159" s="43"/>
      <c r="AS159" s="43"/>
      <c r="AT159" s="43"/>
      <c r="AU159" s="43"/>
      <c r="AV159" s="43"/>
    </row>
    <row r="160" ht="15.75" spans="1:48">
      <c r="A160" s="12">
        <v>156</v>
      </c>
      <c r="B160" s="44">
        <v>834</v>
      </c>
      <c r="C160" s="45" t="s">
        <v>61</v>
      </c>
      <c r="D160" s="46"/>
      <c r="E160" s="47" t="s">
        <v>50</v>
      </c>
      <c r="F160" s="48">
        <v>1.085</v>
      </c>
      <c r="G160" s="38">
        <v>0</v>
      </c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49" t="s">
        <v>62</v>
      </c>
      <c r="Y160" s="50">
        <v>195.3</v>
      </c>
      <c r="Z160" s="51">
        <v>200</v>
      </c>
      <c r="AA160" s="52">
        <f t="shared" si="7"/>
        <v>1.02406554019457</v>
      </c>
      <c r="AB160" s="12">
        <v>200</v>
      </c>
      <c r="AC160" s="12">
        <v>0</v>
      </c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  <c r="AO160" s="43"/>
      <c r="AP160" s="43"/>
      <c r="AQ160" s="43"/>
      <c r="AR160" s="43"/>
      <c r="AS160" s="43"/>
      <c r="AT160" s="43"/>
      <c r="AU160" s="43"/>
      <c r="AV160" s="43"/>
    </row>
    <row r="161" ht="15.75" spans="1:48">
      <c r="A161" s="12">
        <v>157</v>
      </c>
      <c r="B161" s="44">
        <v>834</v>
      </c>
      <c r="C161" s="45" t="s">
        <v>61</v>
      </c>
      <c r="D161" s="46"/>
      <c r="E161" s="47" t="s">
        <v>50</v>
      </c>
      <c r="F161" s="48">
        <v>3.585</v>
      </c>
      <c r="G161" s="38">
        <v>2.67</v>
      </c>
      <c r="H161" s="39"/>
      <c r="I161" s="39"/>
      <c r="J161" s="39"/>
      <c r="K161" s="39"/>
      <c r="L161" s="39"/>
      <c r="M161" s="39"/>
      <c r="N161" s="39"/>
      <c r="O161" s="39"/>
      <c r="P161" s="39"/>
      <c r="Q161" s="39">
        <v>1.17</v>
      </c>
      <c r="R161" s="39"/>
      <c r="S161" s="39">
        <v>1.5</v>
      </c>
      <c r="T161" s="39"/>
      <c r="U161" s="39"/>
      <c r="V161" s="39"/>
      <c r="W161" s="39"/>
      <c r="X161" s="49" t="s">
        <v>192</v>
      </c>
      <c r="Y161" s="50">
        <v>645.3</v>
      </c>
      <c r="Z161" s="51">
        <v>650</v>
      </c>
      <c r="AA161" s="52">
        <f t="shared" si="7"/>
        <v>1.00728343406168</v>
      </c>
      <c r="AB161" s="12">
        <v>650</v>
      </c>
      <c r="AC161" s="12">
        <v>0</v>
      </c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  <c r="AO161" s="43"/>
      <c r="AP161" s="43"/>
      <c r="AQ161" s="43"/>
      <c r="AR161" s="43"/>
      <c r="AS161" s="43"/>
      <c r="AT161" s="43"/>
      <c r="AU161" s="43"/>
      <c r="AV161" s="43"/>
    </row>
    <row r="162" ht="15.75" spans="1:48">
      <c r="A162" s="12">
        <v>158</v>
      </c>
      <c r="B162" s="44">
        <v>834</v>
      </c>
      <c r="C162" s="45" t="s">
        <v>61</v>
      </c>
      <c r="D162" s="46"/>
      <c r="E162" s="47" t="s">
        <v>50</v>
      </c>
      <c r="F162" s="48">
        <v>3.585</v>
      </c>
      <c r="G162" s="38">
        <v>0</v>
      </c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49" t="s">
        <v>193</v>
      </c>
      <c r="Y162" s="50">
        <v>645.3</v>
      </c>
      <c r="Z162" s="51">
        <v>650</v>
      </c>
      <c r="AA162" s="52">
        <f t="shared" si="7"/>
        <v>1.00728343406168</v>
      </c>
      <c r="AB162" s="12">
        <v>650</v>
      </c>
      <c r="AC162" s="12">
        <v>0</v>
      </c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  <c r="AO162" s="43"/>
      <c r="AP162" s="43"/>
      <c r="AQ162" s="43"/>
      <c r="AR162" s="43"/>
      <c r="AS162" s="43"/>
      <c r="AT162" s="43"/>
      <c r="AU162" s="43"/>
      <c r="AV162" s="43"/>
    </row>
    <row r="163" ht="15.75" spans="1:48">
      <c r="A163" s="12">
        <v>159</v>
      </c>
      <c r="B163" s="44">
        <v>845</v>
      </c>
      <c r="C163" s="45" t="s">
        <v>70</v>
      </c>
      <c r="D163" s="46"/>
      <c r="E163" s="47" t="s">
        <v>50</v>
      </c>
      <c r="F163" s="48">
        <v>2.25</v>
      </c>
      <c r="G163" s="38">
        <v>0</v>
      </c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49" t="s">
        <v>192</v>
      </c>
      <c r="Y163" s="50">
        <v>405</v>
      </c>
      <c r="Z163" s="51">
        <v>400</v>
      </c>
      <c r="AA163" s="52">
        <f t="shared" si="7"/>
        <v>0.987654320987654</v>
      </c>
      <c r="AB163" s="12">
        <v>400</v>
      </c>
      <c r="AC163" s="12">
        <v>0</v>
      </c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  <c r="AO163" s="43"/>
      <c r="AP163" s="43"/>
      <c r="AQ163" s="43"/>
      <c r="AR163" s="43"/>
      <c r="AS163" s="43"/>
      <c r="AT163" s="43"/>
      <c r="AU163" s="43"/>
      <c r="AV163" s="43"/>
    </row>
    <row r="164" ht="15.75" spans="1:48">
      <c r="A164" s="12">
        <v>160</v>
      </c>
      <c r="B164" s="44">
        <v>845</v>
      </c>
      <c r="C164" s="45" t="s">
        <v>70</v>
      </c>
      <c r="D164" s="46"/>
      <c r="E164" s="47" t="s">
        <v>50</v>
      </c>
      <c r="F164" s="48">
        <v>2.25</v>
      </c>
      <c r="G164" s="38">
        <v>0</v>
      </c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49" t="s">
        <v>193</v>
      </c>
      <c r="Y164" s="50">
        <v>405</v>
      </c>
      <c r="Z164" s="51">
        <v>400</v>
      </c>
      <c r="AA164" s="52">
        <f t="shared" si="7"/>
        <v>0.987654320987654</v>
      </c>
      <c r="AB164" s="12">
        <v>400</v>
      </c>
      <c r="AC164" s="12">
        <v>0</v>
      </c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  <c r="AO164" s="43"/>
      <c r="AP164" s="43"/>
      <c r="AQ164" s="43"/>
      <c r="AR164" s="43"/>
      <c r="AS164" s="43"/>
      <c r="AT164" s="43"/>
      <c r="AU164" s="43"/>
      <c r="AV164" s="43"/>
    </row>
    <row r="165" ht="15.75" spans="1:48">
      <c r="A165" s="12">
        <v>161</v>
      </c>
      <c r="B165" s="44">
        <v>845</v>
      </c>
      <c r="C165" s="45" t="s">
        <v>70</v>
      </c>
      <c r="D165" s="46">
        <v>12</v>
      </c>
      <c r="E165" s="47" t="s">
        <v>50</v>
      </c>
      <c r="F165" s="48">
        <v>5.83</v>
      </c>
      <c r="G165" s="38">
        <v>1.67</v>
      </c>
      <c r="H165" s="39"/>
      <c r="I165" s="39"/>
      <c r="J165" s="39"/>
      <c r="K165" s="39"/>
      <c r="L165" s="39"/>
      <c r="M165" s="39"/>
      <c r="N165" s="39"/>
      <c r="O165" s="39"/>
      <c r="P165" s="39"/>
      <c r="Q165" s="39">
        <v>1.17</v>
      </c>
      <c r="R165" s="39"/>
      <c r="S165" s="39"/>
      <c r="T165" s="39">
        <v>0.33</v>
      </c>
      <c r="U165" s="39">
        <v>0.17</v>
      </c>
      <c r="V165" s="39"/>
      <c r="W165" s="39"/>
      <c r="X165" s="49" t="s">
        <v>194</v>
      </c>
      <c r="Y165" s="50">
        <v>1953.05</v>
      </c>
      <c r="Z165" s="51">
        <v>1920</v>
      </c>
      <c r="AA165" s="52">
        <f t="shared" si="7"/>
        <v>0.983077750185607</v>
      </c>
      <c r="AB165" s="12">
        <v>1686</v>
      </c>
      <c r="AC165" s="12">
        <v>234</v>
      </c>
      <c r="AD165" s="19">
        <v>234</v>
      </c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  <c r="AO165" s="43"/>
      <c r="AP165" s="43"/>
      <c r="AQ165" s="43"/>
      <c r="AR165" s="43"/>
      <c r="AS165" s="43"/>
      <c r="AT165" s="43"/>
      <c r="AU165" s="43"/>
      <c r="AV165" s="43"/>
    </row>
    <row r="166" ht="15.75" spans="1:48">
      <c r="A166" s="12">
        <v>162</v>
      </c>
      <c r="B166" s="44">
        <v>2890</v>
      </c>
      <c r="C166" s="45" t="s">
        <v>111</v>
      </c>
      <c r="D166" s="46" t="s">
        <v>112</v>
      </c>
      <c r="E166" s="47" t="s">
        <v>113</v>
      </c>
      <c r="F166" s="48">
        <v>10.5</v>
      </c>
      <c r="G166" s="38">
        <v>1.5</v>
      </c>
      <c r="H166" s="39"/>
      <c r="I166" s="39"/>
      <c r="J166" s="39"/>
      <c r="K166" s="39"/>
      <c r="L166" s="39"/>
      <c r="M166" s="39"/>
      <c r="N166" s="39"/>
      <c r="O166" s="39"/>
      <c r="P166" s="39"/>
      <c r="Q166" s="39">
        <v>1.33</v>
      </c>
      <c r="R166" s="39"/>
      <c r="S166" s="39"/>
      <c r="T166" s="39"/>
      <c r="U166" s="39">
        <v>0.17</v>
      </c>
      <c r="V166" s="39"/>
      <c r="W166" s="39"/>
      <c r="X166" s="49" t="s">
        <v>114</v>
      </c>
      <c r="Y166" s="50">
        <v>9450</v>
      </c>
      <c r="Z166" s="51">
        <v>8800</v>
      </c>
      <c r="AA166" s="52">
        <f t="shared" si="7"/>
        <v>0.931216931216931</v>
      </c>
      <c r="AB166" s="12">
        <v>8778</v>
      </c>
      <c r="AC166" s="12">
        <v>22</v>
      </c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19">
        <v>22</v>
      </c>
      <c r="AO166" s="43"/>
      <c r="AP166" s="43"/>
      <c r="AQ166" s="43"/>
      <c r="AR166" s="43"/>
      <c r="AS166" s="43"/>
      <c r="AT166" s="43"/>
      <c r="AU166" s="43"/>
      <c r="AV166" s="43"/>
    </row>
    <row r="167" ht="15.75" spans="1:48">
      <c r="A167" s="12">
        <v>163</v>
      </c>
      <c r="B167" s="44">
        <v>3111</v>
      </c>
      <c r="C167" s="45" t="s">
        <v>124</v>
      </c>
      <c r="D167" s="46" t="s">
        <v>116</v>
      </c>
      <c r="E167" s="47" t="s">
        <v>113</v>
      </c>
      <c r="F167" s="48">
        <v>10.17</v>
      </c>
      <c r="G167" s="38">
        <v>1.83</v>
      </c>
      <c r="H167" s="39"/>
      <c r="I167" s="39"/>
      <c r="J167" s="39"/>
      <c r="K167" s="39"/>
      <c r="L167" s="39"/>
      <c r="M167" s="39"/>
      <c r="N167" s="39"/>
      <c r="O167" s="39"/>
      <c r="P167" s="39"/>
      <c r="Q167" s="39">
        <v>1.33</v>
      </c>
      <c r="R167" s="39"/>
      <c r="S167" s="39"/>
      <c r="T167" s="39"/>
      <c r="U167" s="39">
        <v>0.5</v>
      </c>
      <c r="V167" s="39"/>
      <c r="W167" s="39"/>
      <c r="X167" s="49" t="s">
        <v>117</v>
      </c>
      <c r="Y167" s="50">
        <v>31577.85</v>
      </c>
      <c r="Z167" s="51">
        <v>31920</v>
      </c>
      <c r="AA167" s="52">
        <f t="shared" si="7"/>
        <v>1.01083512652065</v>
      </c>
      <c r="AB167" s="12">
        <v>31920</v>
      </c>
      <c r="AC167" s="12">
        <v>0</v>
      </c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  <c r="AQ167" s="43"/>
      <c r="AR167" s="43"/>
      <c r="AS167" s="43"/>
      <c r="AT167" s="43"/>
      <c r="AU167" s="43"/>
      <c r="AV167" s="43"/>
    </row>
    <row r="168" ht="15.75" spans="1:48">
      <c r="A168" s="12">
        <v>164</v>
      </c>
      <c r="B168" s="44">
        <v>656</v>
      </c>
      <c r="C168" s="45" t="s">
        <v>195</v>
      </c>
      <c r="D168" s="46"/>
      <c r="E168" s="47" t="s">
        <v>113</v>
      </c>
      <c r="F168" s="48">
        <v>4.585</v>
      </c>
      <c r="G168" s="38">
        <v>0</v>
      </c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49" t="s">
        <v>196</v>
      </c>
      <c r="Y168" s="50">
        <v>825.3</v>
      </c>
      <c r="Z168" s="51">
        <v>850</v>
      </c>
      <c r="AA168" s="52">
        <f t="shared" si="7"/>
        <v>1.02992851084454</v>
      </c>
      <c r="AB168" s="12">
        <v>850</v>
      </c>
      <c r="AC168" s="12">
        <v>0</v>
      </c>
      <c r="AD168" s="43"/>
      <c r="AE168" s="43"/>
      <c r="AF168" s="43"/>
      <c r="AG168" s="43"/>
      <c r="AH168" s="43"/>
      <c r="AI168" s="43"/>
      <c r="AJ168" s="43"/>
      <c r="AK168" s="43"/>
      <c r="AL168" s="43"/>
      <c r="AM168" s="43"/>
      <c r="AN168" s="43"/>
      <c r="AO168" s="43"/>
      <c r="AP168" s="43"/>
      <c r="AQ168" s="43"/>
      <c r="AR168" s="43"/>
      <c r="AS168" s="43"/>
      <c r="AT168" s="43"/>
      <c r="AU168" s="43"/>
      <c r="AV168" s="43"/>
    </row>
    <row r="169" ht="15.75" spans="1:48">
      <c r="A169" s="12">
        <v>165</v>
      </c>
      <c r="B169" s="44">
        <v>656</v>
      </c>
      <c r="C169" s="45" t="s">
        <v>195</v>
      </c>
      <c r="D169" s="46"/>
      <c r="E169" s="47" t="s">
        <v>113</v>
      </c>
      <c r="F169" s="48">
        <v>4.58</v>
      </c>
      <c r="G169" s="38">
        <v>2.83</v>
      </c>
      <c r="H169" s="39"/>
      <c r="I169" s="39"/>
      <c r="J169" s="39"/>
      <c r="K169" s="39"/>
      <c r="L169" s="39"/>
      <c r="M169" s="39"/>
      <c r="N169" s="39"/>
      <c r="O169" s="39"/>
      <c r="P169" s="39"/>
      <c r="Q169" s="39">
        <v>1.33</v>
      </c>
      <c r="R169" s="39"/>
      <c r="S169" s="39"/>
      <c r="T169" s="39">
        <v>1.5</v>
      </c>
      <c r="U169" s="39"/>
      <c r="V169" s="39"/>
      <c r="W169" s="39"/>
      <c r="X169" s="49" t="s">
        <v>197</v>
      </c>
      <c r="Y169" s="50">
        <v>824.4</v>
      </c>
      <c r="Z169" s="51">
        <v>850</v>
      </c>
      <c r="AA169" s="52">
        <f t="shared" si="7"/>
        <v>1.03105288694808</v>
      </c>
      <c r="AB169" s="12">
        <v>850</v>
      </c>
      <c r="AC169" s="12">
        <v>0</v>
      </c>
      <c r="AD169" s="43"/>
      <c r="AE169" s="43"/>
      <c r="AF169" s="43"/>
      <c r="AG169" s="43"/>
      <c r="AH169" s="43"/>
      <c r="AI169" s="43"/>
      <c r="AJ169" s="43"/>
      <c r="AK169" s="43"/>
      <c r="AL169" s="43"/>
      <c r="AM169" s="43"/>
      <c r="AN169" s="43"/>
      <c r="AO169" s="43"/>
      <c r="AP169" s="43"/>
      <c r="AQ169" s="43"/>
      <c r="AR169" s="43"/>
      <c r="AS169" s="43"/>
      <c r="AT169" s="43"/>
      <c r="AU169" s="43"/>
      <c r="AV169" s="43"/>
    </row>
    <row r="170" ht="15.75" spans="1:48">
      <c r="A170" s="12">
        <v>166</v>
      </c>
      <c r="B170" s="44">
        <v>4456</v>
      </c>
      <c r="C170" s="45" t="s">
        <v>119</v>
      </c>
      <c r="D170" s="46"/>
      <c r="E170" s="47" t="s">
        <v>113</v>
      </c>
      <c r="F170" s="48">
        <v>10</v>
      </c>
      <c r="G170" s="38">
        <v>1.99</v>
      </c>
      <c r="H170" s="39"/>
      <c r="I170" s="39"/>
      <c r="J170" s="39"/>
      <c r="K170" s="39">
        <v>0.66</v>
      </c>
      <c r="L170" s="39"/>
      <c r="M170" s="39"/>
      <c r="N170" s="39"/>
      <c r="O170" s="39"/>
      <c r="P170" s="39"/>
      <c r="Q170" s="39">
        <v>1.33</v>
      </c>
      <c r="R170" s="39"/>
      <c r="S170" s="39"/>
      <c r="T170" s="39"/>
      <c r="U170" s="39"/>
      <c r="V170" s="39"/>
      <c r="W170" s="39"/>
      <c r="X170" s="49" t="s">
        <v>120</v>
      </c>
      <c r="Y170" s="50">
        <v>2500</v>
      </c>
      <c r="Z170" s="51">
        <v>2400</v>
      </c>
      <c r="AA170" s="52">
        <f t="shared" si="7"/>
        <v>0.96</v>
      </c>
      <c r="AB170" s="12">
        <v>2400</v>
      </c>
      <c r="AC170" s="12">
        <v>0</v>
      </c>
      <c r="AD170" s="43"/>
      <c r="AE170" s="43"/>
      <c r="AF170" s="43"/>
      <c r="AG170" s="43"/>
      <c r="AH170" s="43"/>
      <c r="AI170" s="43"/>
      <c r="AJ170" s="43"/>
      <c r="AK170" s="43"/>
      <c r="AL170" s="43"/>
      <c r="AM170" s="43"/>
      <c r="AN170" s="43"/>
      <c r="AO170" s="43"/>
      <c r="AP170" s="43"/>
      <c r="AQ170" s="43"/>
      <c r="AR170" s="43"/>
      <c r="AS170" s="43"/>
      <c r="AT170" s="43"/>
      <c r="AU170" s="43"/>
      <c r="AV170" s="43"/>
    </row>
    <row r="171" ht="15.75" spans="1:48">
      <c r="A171" s="12">
        <v>167</v>
      </c>
      <c r="B171" s="44">
        <v>655</v>
      </c>
      <c r="C171" s="45" t="s">
        <v>198</v>
      </c>
      <c r="D171" s="46">
        <v>1</v>
      </c>
      <c r="E171" s="47" t="s">
        <v>113</v>
      </c>
      <c r="F171" s="48">
        <v>10.5</v>
      </c>
      <c r="G171" s="38">
        <v>1.5</v>
      </c>
      <c r="H171" s="39"/>
      <c r="I171" s="39"/>
      <c r="J171" s="39"/>
      <c r="K171" s="39"/>
      <c r="L171" s="39"/>
      <c r="M171" s="39"/>
      <c r="N171" s="39"/>
      <c r="O171" s="39"/>
      <c r="P171" s="39"/>
      <c r="Q171" s="39">
        <v>1.33</v>
      </c>
      <c r="R171" s="39"/>
      <c r="S171" s="39"/>
      <c r="T171" s="39"/>
      <c r="U171" s="39">
        <v>0.17</v>
      </c>
      <c r="V171" s="39"/>
      <c r="W171" s="39"/>
      <c r="X171" s="49" t="s">
        <v>199</v>
      </c>
      <c r="Y171" s="50">
        <v>3675</v>
      </c>
      <c r="Z171" s="51">
        <v>3600</v>
      </c>
      <c r="AA171" s="52">
        <f t="shared" si="7"/>
        <v>0.979591836734694</v>
      </c>
      <c r="AB171" s="12">
        <v>3600</v>
      </c>
      <c r="AC171" s="12">
        <v>0</v>
      </c>
      <c r="AD171" s="43"/>
      <c r="AE171" s="43"/>
      <c r="AF171" s="43"/>
      <c r="AG171" s="43"/>
      <c r="AH171" s="43"/>
      <c r="AI171" s="43"/>
      <c r="AJ171" s="43"/>
      <c r="AK171" s="43"/>
      <c r="AL171" s="43"/>
      <c r="AM171" s="43"/>
      <c r="AN171" s="43"/>
      <c r="AO171" s="43"/>
      <c r="AP171" s="43"/>
      <c r="AQ171" s="43"/>
      <c r="AR171" s="43"/>
      <c r="AS171" s="43"/>
      <c r="AT171" s="43"/>
      <c r="AU171" s="43"/>
      <c r="AV171" s="43"/>
    </row>
    <row r="172" ht="15.75" spans="1:48">
      <c r="A172" s="12">
        <v>168</v>
      </c>
      <c r="B172" s="44">
        <v>2649</v>
      </c>
      <c r="C172" s="45" t="s">
        <v>121</v>
      </c>
      <c r="D172" s="46"/>
      <c r="E172" s="47" t="s">
        <v>113</v>
      </c>
      <c r="F172" s="48">
        <v>8</v>
      </c>
      <c r="G172" s="38">
        <v>1.33</v>
      </c>
      <c r="H172" s="39"/>
      <c r="I172" s="39"/>
      <c r="J172" s="39"/>
      <c r="K172" s="39"/>
      <c r="L172" s="39"/>
      <c r="M172" s="39"/>
      <c r="N172" s="39"/>
      <c r="O172" s="39"/>
      <c r="P172" s="39"/>
      <c r="Q172" s="39">
        <v>1.33</v>
      </c>
      <c r="R172" s="39"/>
      <c r="S172" s="39"/>
      <c r="T172" s="39"/>
      <c r="U172" s="39"/>
      <c r="V172" s="39"/>
      <c r="W172" s="39"/>
      <c r="X172" s="49" t="s">
        <v>120</v>
      </c>
      <c r="Y172" s="50">
        <v>2000</v>
      </c>
      <c r="Z172" s="51">
        <v>1950</v>
      </c>
      <c r="AA172" s="52">
        <f t="shared" si="7"/>
        <v>0.975</v>
      </c>
      <c r="AB172" s="12">
        <v>1950</v>
      </c>
      <c r="AC172" s="12">
        <v>0</v>
      </c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  <c r="AO172" s="43"/>
      <c r="AP172" s="43"/>
      <c r="AQ172" s="43"/>
      <c r="AR172" s="43"/>
      <c r="AS172" s="43"/>
      <c r="AT172" s="43"/>
      <c r="AU172" s="43"/>
      <c r="AV172" s="43"/>
    </row>
    <row r="173" ht="15.75" spans="1:48">
      <c r="A173" s="12">
        <v>169</v>
      </c>
      <c r="B173" s="44">
        <v>4325</v>
      </c>
      <c r="C173" s="45" t="s">
        <v>118</v>
      </c>
      <c r="D173" s="46">
        <v>4</v>
      </c>
      <c r="E173" s="47" t="s">
        <v>113</v>
      </c>
      <c r="F173" s="48">
        <v>10.33</v>
      </c>
      <c r="G173" s="38">
        <v>1.67</v>
      </c>
      <c r="H173" s="39"/>
      <c r="I173" s="39"/>
      <c r="J173" s="39"/>
      <c r="K173" s="39">
        <v>0.17</v>
      </c>
      <c r="L173" s="39"/>
      <c r="M173" s="39"/>
      <c r="N173" s="39"/>
      <c r="O173" s="39"/>
      <c r="P173" s="39"/>
      <c r="Q173" s="39">
        <v>1.33</v>
      </c>
      <c r="R173" s="39"/>
      <c r="S173" s="39"/>
      <c r="T173" s="39"/>
      <c r="U173" s="39">
        <v>0.17</v>
      </c>
      <c r="V173" s="39"/>
      <c r="W173" s="39"/>
      <c r="X173" s="49">
        <v>9116</v>
      </c>
      <c r="Y173" s="50">
        <v>3099</v>
      </c>
      <c r="Z173" s="51">
        <v>3120</v>
      </c>
      <c r="AA173" s="52">
        <f t="shared" si="7"/>
        <v>1.00677637947725</v>
      </c>
      <c r="AB173" s="12">
        <v>3120</v>
      </c>
      <c r="AC173" s="12">
        <v>0</v>
      </c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  <c r="AO173" s="43"/>
      <c r="AP173" s="43"/>
      <c r="AQ173" s="43"/>
      <c r="AR173" s="43"/>
      <c r="AS173" s="43"/>
      <c r="AT173" s="43"/>
      <c r="AU173" s="43"/>
      <c r="AV173" s="43"/>
    </row>
    <row r="174" ht="15.75" spans="1:48">
      <c r="A174" s="12">
        <v>170</v>
      </c>
      <c r="B174" s="44">
        <v>4418</v>
      </c>
      <c r="C174" s="45" t="s">
        <v>125</v>
      </c>
      <c r="D174" s="46">
        <v>19</v>
      </c>
      <c r="E174" s="47" t="s">
        <v>113</v>
      </c>
      <c r="F174" s="48">
        <v>10.5</v>
      </c>
      <c r="G174" s="38">
        <v>1.5</v>
      </c>
      <c r="H174" s="39"/>
      <c r="I174" s="39"/>
      <c r="J174" s="39"/>
      <c r="K174" s="39"/>
      <c r="L174" s="39"/>
      <c r="M174" s="39"/>
      <c r="N174" s="39"/>
      <c r="O174" s="39"/>
      <c r="P174" s="39"/>
      <c r="Q174" s="39">
        <v>1.33</v>
      </c>
      <c r="R174" s="39"/>
      <c r="S174" s="39"/>
      <c r="T174" s="39"/>
      <c r="U174" s="39">
        <v>0.17</v>
      </c>
      <c r="V174" s="39"/>
      <c r="W174" s="39"/>
      <c r="X174" s="49">
        <v>125</v>
      </c>
      <c r="Y174" s="50">
        <v>2940</v>
      </c>
      <c r="Z174" s="51">
        <v>3000</v>
      </c>
      <c r="AA174" s="52">
        <f t="shared" si="7"/>
        <v>1.02040816326531</v>
      </c>
      <c r="AB174" s="12">
        <v>3000</v>
      </c>
      <c r="AC174" s="12">
        <v>0</v>
      </c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  <c r="AO174" s="43"/>
      <c r="AP174" s="43"/>
      <c r="AQ174" s="43"/>
      <c r="AR174" s="43"/>
      <c r="AS174" s="43"/>
      <c r="AT174" s="43"/>
      <c r="AU174" s="43"/>
      <c r="AV174" s="43"/>
    </row>
    <row r="175" ht="15.75" spans="1:48">
      <c r="A175" s="12">
        <v>171</v>
      </c>
      <c r="B175" s="44">
        <v>4424</v>
      </c>
      <c r="C175" s="45" t="s">
        <v>115</v>
      </c>
      <c r="D175" s="46"/>
      <c r="E175" s="47" t="s">
        <v>113</v>
      </c>
      <c r="F175" s="48">
        <v>1.915</v>
      </c>
      <c r="G175" s="38">
        <v>0</v>
      </c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49" t="s">
        <v>196</v>
      </c>
      <c r="Y175" s="50">
        <v>344.7</v>
      </c>
      <c r="Z175" s="51">
        <v>300</v>
      </c>
      <c r="AA175" s="52">
        <f t="shared" si="7"/>
        <v>0.870322019147084</v>
      </c>
      <c r="AB175" s="12">
        <v>300</v>
      </c>
      <c r="AC175" s="12">
        <v>0</v>
      </c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  <c r="AO175" s="43"/>
      <c r="AP175" s="43"/>
      <c r="AQ175" s="43"/>
      <c r="AR175" s="43"/>
      <c r="AS175" s="43"/>
      <c r="AT175" s="43"/>
      <c r="AU175" s="43"/>
      <c r="AV175" s="43"/>
    </row>
    <row r="176" ht="15.75" spans="1:48">
      <c r="A176" s="12">
        <v>172</v>
      </c>
      <c r="B176" s="44">
        <v>4424</v>
      </c>
      <c r="C176" s="45" t="s">
        <v>115</v>
      </c>
      <c r="D176" s="46"/>
      <c r="E176" s="47" t="s">
        <v>113</v>
      </c>
      <c r="F176" s="48">
        <v>1.91</v>
      </c>
      <c r="G176" s="38">
        <v>0.66</v>
      </c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>
        <v>0.66</v>
      </c>
      <c r="U176" s="39"/>
      <c r="V176" s="39"/>
      <c r="W176" s="39"/>
      <c r="X176" s="49" t="s">
        <v>197</v>
      </c>
      <c r="Y176" s="50">
        <v>343.8</v>
      </c>
      <c r="Z176" s="51">
        <v>300</v>
      </c>
      <c r="AA176" s="52">
        <f t="shared" si="7"/>
        <v>0.87260034904014</v>
      </c>
      <c r="AB176" s="12">
        <v>300</v>
      </c>
      <c r="AC176" s="12">
        <v>0</v>
      </c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  <c r="AO176" s="43"/>
      <c r="AP176" s="43"/>
      <c r="AQ176" s="43"/>
      <c r="AR176" s="43"/>
      <c r="AS176" s="43"/>
      <c r="AT176" s="43"/>
      <c r="AU176" s="43"/>
      <c r="AV176" s="43"/>
    </row>
    <row r="177" ht="15.75" spans="1:48">
      <c r="A177" s="12">
        <v>173</v>
      </c>
      <c r="B177" s="44">
        <v>3959</v>
      </c>
      <c r="C177" s="45" t="s">
        <v>123</v>
      </c>
      <c r="D177" s="46"/>
      <c r="E177" s="47" t="s">
        <v>113</v>
      </c>
      <c r="F177" s="48">
        <v>10</v>
      </c>
      <c r="G177" s="38">
        <v>1.33</v>
      </c>
      <c r="H177" s="39"/>
      <c r="I177" s="39"/>
      <c r="J177" s="39"/>
      <c r="K177" s="39"/>
      <c r="L177" s="39"/>
      <c r="M177" s="39"/>
      <c r="N177" s="39"/>
      <c r="O177" s="39"/>
      <c r="P177" s="39"/>
      <c r="Q177" s="39">
        <v>1.33</v>
      </c>
      <c r="R177" s="39"/>
      <c r="S177" s="39"/>
      <c r="T177" s="39"/>
      <c r="U177" s="39"/>
      <c r="V177" s="39"/>
      <c r="W177" s="39"/>
      <c r="X177" s="49" t="s">
        <v>200</v>
      </c>
      <c r="Y177" s="50">
        <v>4000</v>
      </c>
      <c r="Z177" s="51">
        <v>4000</v>
      </c>
      <c r="AA177" s="52">
        <f t="shared" si="7"/>
        <v>1</v>
      </c>
      <c r="AB177" s="12">
        <v>4000</v>
      </c>
      <c r="AC177" s="12">
        <v>0</v>
      </c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  <c r="AQ177" s="43"/>
      <c r="AR177" s="43"/>
      <c r="AS177" s="43"/>
      <c r="AT177" s="43"/>
      <c r="AU177" s="43"/>
      <c r="AV177" s="43"/>
    </row>
    <row r="178" ht="15.75" spans="1:48">
      <c r="A178" s="12">
        <v>174</v>
      </c>
      <c r="B178" s="44">
        <v>3959</v>
      </c>
      <c r="C178" s="45" t="s">
        <v>123</v>
      </c>
      <c r="D178" s="46"/>
      <c r="E178" s="47" t="s">
        <v>113</v>
      </c>
      <c r="F178" s="48">
        <v>0.66</v>
      </c>
      <c r="G178" s="38">
        <v>0</v>
      </c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49" t="s">
        <v>127</v>
      </c>
      <c r="Y178" s="50">
        <v>858</v>
      </c>
      <c r="Z178" s="51">
        <v>1080</v>
      </c>
      <c r="AA178" s="52">
        <f t="shared" si="7"/>
        <v>1.25874125874126</v>
      </c>
      <c r="AB178" s="12">
        <v>1080</v>
      </c>
      <c r="AC178" s="12">
        <v>0</v>
      </c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  <c r="AO178" s="43"/>
      <c r="AP178" s="43"/>
      <c r="AQ178" s="43"/>
      <c r="AR178" s="43"/>
      <c r="AS178" s="43"/>
      <c r="AT178" s="43"/>
      <c r="AU178" s="43"/>
      <c r="AV178" s="43"/>
    </row>
    <row r="179" ht="15.75" spans="1:48">
      <c r="A179" s="12">
        <v>175</v>
      </c>
      <c r="B179" s="44">
        <v>4019</v>
      </c>
      <c r="C179" s="45" t="s">
        <v>134</v>
      </c>
      <c r="D179" s="46" t="s">
        <v>83</v>
      </c>
      <c r="E179" s="47" t="s">
        <v>113</v>
      </c>
      <c r="F179" s="48">
        <v>10.17</v>
      </c>
      <c r="G179" s="38">
        <v>1.83</v>
      </c>
      <c r="H179" s="39"/>
      <c r="I179" s="39"/>
      <c r="J179" s="39"/>
      <c r="K179" s="39">
        <v>0.17</v>
      </c>
      <c r="L179" s="39"/>
      <c r="M179" s="39"/>
      <c r="N179" s="39"/>
      <c r="O179" s="39"/>
      <c r="P179" s="39"/>
      <c r="Q179" s="39">
        <v>1.33</v>
      </c>
      <c r="R179" s="39"/>
      <c r="S179" s="39"/>
      <c r="T179" s="39"/>
      <c r="U179" s="39">
        <v>0.33</v>
      </c>
      <c r="V179" s="39"/>
      <c r="W179" s="39"/>
      <c r="X179" s="49" t="s">
        <v>84</v>
      </c>
      <c r="Y179" s="50">
        <v>50850</v>
      </c>
      <c r="Z179" s="51">
        <v>46500</v>
      </c>
      <c r="AA179" s="52">
        <f t="shared" si="7"/>
        <v>0.914454277286136</v>
      </c>
      <c r="AB179" s="12">
        <v>46410</v>
      </c>
      <c r="AC179" s="12">
        <v>90</v>
      </c>
      <c r="AD179" s="43"/>
      <c r="AE179" s="43"/>
      <c r="AF179" s="43"/>
      <c r="AG179" s="19">
        <v>42</v>
      </c>
      <c r="AH179" s="43"/>
      <c r="AI179" s="43"/>
      <c r="AJ179" s="43"/>
      <c r="AK179" s="43"/>
      <c r="AL179" s="43"/>
      <c r="AM179" s="43"/>
      <c r="AN179" s="19">
        <v>48</v>
      </c>
      <c r="AO179" s="43"/>
      <c r="AP179" s="43"/>
      <c r="AQ179" s="43"/>
      <c r="AR179" s="43"/>
      <c r="AS179" s="43"/>
      <c r="AT179" s="43"/>
      <c r="AU179" s="43"/>
      <c r="AV179" s="43"/>
    </row>
    <row r="180" ht="15.75" spans="1:48">
      <c r="A180" s="12">
        <v>176</v>
      </c>
      <c r="B180" s="44">
        <v>4019</v>
      </c>
      <c r="C180" s="45" t="s">
        <v>134</v>
      </c>
      <c r="D180" s="46" t="s">
        <v>76</v>
      </c>
      <c r="E180" s="47" t="s">
        <v>113</v>
      </c>
      <c r="F180" s="48">
        <v>10.17</v>
      </c>
      <c r="G180" s="38">
        <v>1.83</v>
      </c>
      <c r="H180" s="39"/>
      <c r="I180" s="39"/>
      <c r="J180" s="39"/>
      <c r="K180" s="39">
        <v>0.17</v>
      </c>
      <c r="L180" s="39"/>
      <c r="M180" s="39"/>
      <c r="N180" s="39"/>
      <c r="O180" s="39"/>
      <c r="P180" s="39"/>
      <c r="Q180" s="39">
        <v>1.33</v>
      </c>
      <c r="R180" s="39"/>
      <c r="S180" s="39"/>
      <c r="T180" s="39"/>
      <c r="U180" s="39">
        <v>0.33</v>
      </c>
      <c r="V180" s="39"/>
      <c r="W180" s="39"/>
      <c r="X180" s="49" t="s">
        <v>77</v>
      </c>
      <c r="Y180" s="50">
        <v>61020</v>
      </c>
      <c r="Z180" s="51">
        <v>57920</v>
      </c>
      <c r="AA180" s="52">
        <f t="shared" ref="AA180:AA211" si="8">IFERROR(Z180/Y180,0)</f>
        <v>0.949196984595215</v>
      </c>
      <c r="AB180" s="12">
        <v>57816</v>
      </c>
      <c r="AC180" s="12">
        <v>104</v>
      </c>
      <c r="AD180" s="43"/>
      <c r="AE180" s="43"/>
      <c r="AF180" s="43"/>
      <c r="AG180" s="19">
        <v>56</v>
      </c>
      <c r="AH180" s="43"/>
      <c r="AI180" s="43"/>
      <c r="AJ180" s="43"/>
      <c r="AK180" s="43"/>
      <c r="AL180" s="43"/>
      <c r="AM180" s="43"/>
      <c r="AN180" s="19">
        <v>48</v>
      </c>
      <c r="AO180" s="43"/>
      <c r="AP180" s="43"/>
      <c r="AQ180" s="43"/>
      <c r="AR180" s="43"/>
      <c r="AS180" s="43"/>
      <c r="AT180" s="43"/>
      <c r="AU180" s="43"/>
      <c r="AV180" s="43"/>
    </row>
    <row r="181" ht="15.75" spans="1:48">
      <c r="A181" s="12">
        <v>177</v>
      </c>
      <c r="B181" s="44">
        <v>4019</v>
      </c>
      <c r="C181" s="45" t="s">
        <v>134</v>
      </c>
      <c r="D181" s="46" t="s">
        <v>78</v>
      </c>
      <c r="E181" s="47" t="s">
        <v>113</v>
      </c>
      <c r="F181" s="48">
        <v>10.17</v>
      </c>
      <c r="G181" s="38">
        <v>1.83</v>
      </c>
      <c r="H181" s="39"/>
      <c r="I181" s="39"/>
      <c r="J181" s="39"/>
      <c r="K181" s="39">
        <v>0.17</v>
      </c>
      <c r="L181" s="39"/>
      <c r="M181" s="39"/>
      <c r="N181" s="39"/>
      <c r="O181" s="39"/>
      <c r="P181" s="39"/>
      <c r="Q181" s="39">
        <v>1.33</v>
      </c>
      <c r="R181" s="39"/>
      <c r="S181" s="39"/>
      <c r="T181" s="39"/>
      <c r="U181" s="39">
        <v>0.33</v>
      </c>
      <c r="V181" s="39"/>
      <c r="W181" s="39"/>
      <c r="X181" s="49" t="s">
        <v>79</v>
      </c>
      <c r="Y181" s="50">
        <v>67732.2</v>
      </c>
      <c r="Z181" s="51">
        <v>61040</v>
      </c>
      <c r="AA181" s="52">
        <f t="shared" si="8"/>
        <v>0.90119618143217</v>
      </c>
      <c r="AB181" s="12">
        <v>60920</v>
      </c>
      <c r="AC181" s="12">
        <v>120</v>
      </c>
      <c r="AD181" s="43"/>
      <c r="AE181" s="43"/>
      <c r="AF181" s="43"/>
      <c r="AG181" s="19">
        <v>64</v>
      </c>
      <c r="AH181" s="43"/>
      <c r="AI181" s="43"/>
      <c r="AJ181" s="43"/>
      <c r="AK181" s="43"/>
      <c r="AL181" s="43"/>
      <c r="AM181" s="43"/>
      <c r="AN181" s="19">
        <v>56</v>
      </c>
      <c r="AO181" s="43"/>
      <c r="AP181" s="43"/>
      <c r="AQ181" s="43"/>
      <c r="AR181" s="43"/>
      <c r="AS181" s="43"/>
      <c r="AT181" s="43"/>
      <c r="AU181" s="43"/>
      <c r="AV181" s="43"/>
    </row>
    <row r="182" ht="15.75" spans="1:48">
      <c r="A182" s="12">
        <v>178</v>
      </c>
      <c r="B182" s="44">
        <v>3919</v>
      </c>
      <c r="C182" s="45" t="s">
        <v>137</v>
      </c>
      <c r="D182" s="46" t="s">
        <v>138</v>
      </c>
      <c r="E182" s="47" t="s">
        <v>113</v>
      </c>
      <c r="F182" s="48">
        <v>3.17</v>
      </c>
      <c r="G182" s="38">
        <v>8.83</v>
      </c>
      <c r="H182" s="39"/>
      <c r="I182" s="39"/>
      <c r="J182" s="39"/>
      <c r="K182" s="39"/>
      <c r="L182" s="39"/>
      <c r="M182" s="39"/>
      <c r="N182" s="39"/>
      <c r="O182" s="39"/>
      <c r="P182" s="39"/>
      <c r="Q182" s="39">
        <v>1.33</v>
      </c>
      <c r="R182" s="39"/>
      <c r="S182" s="39">
        <v>7.5</v>
      </c>
      <c r="T182" s="39"/>
      <c r="U182" s="39"/>
      <c r="V182" s="39"/>
      <c r="W182" s="39"/>
      <c r="X182" s="49" t="s">
        <v>139</v>
      </c>
      <c r="Y182" s="50">
        <v>4834.25</v>
      </c>
      <c r="Z182" s="51">
        <v>5000</v>
      </c>
      <c r="AA182" s="52">
        <f t="shared" si="8"/>
        <v>1.03428660081709</v>
      </c>
      <c r="AB182" s="12">
        <v>5000</v>
      </c>
      <c r="AC182" s="12">
        <v>0</v>
      </c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  <c r="AO182" s="43"/>
      <c r="AP182" s="43"/>
      <c r="AQ182" s="43"/>
      <c r="AR182" s="43"/>
      <c r="AS182" s="43"/>
      <c r="AT182" s="43"/>
      <c r="AU182" s="43"/>
      <c r="AV182" s="43"/>
    </row>
    <row r="183" ht="15.75" spans="1:48">
      <c r="A183" s="12">
        <v>179</v>
      </c>
      <c r="B183" s="44">
        <v>4496</v>
      </c>
      <c r="C183" s="45" t="s">
        <v>133</v>
      </c>
      <c r="D183" s="46" t="s">
        <v>73</v>
      </c>
      <c r="E183" s="47" t="s">
        <v>113</v>
      </c>
      <c r="F183" s="48">
        <v>10.5</v>
      </c>
      <c r="G183" s="38">
        <v>1.5</v>
      </c>
      <c r="H183" s="39"/>
      <c r="I183" s="39"/>
      <c r="J183" s="39"/>
      <c r="K183" s="39"/>
      <c r="L183" s="39"/>
      <c r="M183" s="39"/>
      <c r="N183" s="39"/>
      <c r="O183" s="39"/>
      <c r="P183" s="39"/>
      <c r="Q183" s="39">
        <v>1.33</v>
      </c>
      <c r="R183" s="39"/>
      <c r="S183" s="39"/>
      <c r="T183" s="39"/>
      <c r="U183" s="39">
        <v>0.17</v>
      </c>
      <c r="V183" s="39"/>
      <c r="W183" s="39"/>
      <c r="X183" s="49" t="s">
        <v>74</v>
      </c>
      <c r="Y183" s="50">
        <v>17062.5</v>
      </c>
      <c r="Z183" s="51">
        <v>16800</v>
      </c>
      <c r="AA183" s="52">
        <f t="shared" si="8"/>
        <v>0.984615384615385</v>
      </c>
      <c r="AB183" s="12">
        <v>16788</v>
      </c>
      <c r="AC183" s="12">
        <v>12</v>
      </c>
      <c r="AD183" s="43"/>
      <c r="AE183" s="43"/>
      <c r="AF183" s="43"/>
      <c r="AG183" s="19">
        <v>12</v>
      </c>
      <c r="AH183" s="43"/>
      <c r="AI183" s="43"/>
      <c r="AJ183" s="43"/>
      <c r="AK183" s="43"/>
      <c r="AL183" s="43"/>
      <c r="AM183" s="43"/>
      <c r="AN183" s="43"/>
      <c r="AO183" s="43"/>
      <c r="AP183" s="43"/>
      <c r="AQ183" s="43"/>
      <c r="AR183" s="43"/>
      <c r="AS183" s="43"/>
      <c r="AT183" s="43"/>
      <c r="AU183" s="43"/>
      <c r="AV183" s="43"/>
    </row>
    <row r="184" ht="15.75" spans="1:48">
      <c r="A184" s="12">
        <v>180</v>
      </c>
      <c r="B184" s="44">
        <v>4352</v>
      </c>
      <c r="C184" s="45" t="s">
        <v>132</v>
      </c>
      <c r="D184" s="46" t="s">
        <v>81</v>
      </c>
      <c r="E184" s="47" t="s">
        <v>113</v>
      </c>
      <c r="F184" s="48">
        <v>1.33</v>
      </c>
      <c r="G184" s="38">
        <v>1.5</v>
      </c>
      <c r="H184" s="39"/>
      <c r="I184" s="39"/>
      <c r="J184" s="39"/>
      <c r="K184" s="39"/>
      <c r="L184" s="39"/>
      <c r="M184" s="39"/>
      <c r="N184" s="39"/>
      <c r="O184" s="39"/>
      <c r="P184" s="39"/>
      <c r="Q184" s="39">
        <v>1.33</v>
      </c>
      <c r="R184" s="39"/>
      <c r="S184" s="39"/>
      <c r="T184" s="39"/>
      <c r="U184" s="39">
        <v>0.17</v>
      </c>
      <c r="V184" s="39"/>
      <c r="W184" s="39"/>
      <c r="X184" s="49" t="s">
        <v>82</v>
      </c>
      <c r="Y184" s="50">
        <v>2161.25</v>
      </c>
      <c r="Z184" s="51">
        <v>2200</v>
      </c>
      <c r="AA184" s="52">
        <f t="shared" si="8"/>
        <v>1.01792943898207</v>
      </c>
      <c r="AB184" s="12">
        <v>2200</v>
      </c>
      <c r="AC184" s="12">
        <v>0</v>
      </c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  <c r="AO184" s="43"/>
      <c r="AP184" s="43"/>
      <c r="AQ184" s="43"/>
      <c r="AR184" s="43"/>
      <c r="AS184" s="43"/>
      <c r="AT184" s="43"/>
      <c r="AU184" s="43"/>
      <c r="AV184" s="43"/>
    </row>
    <row r="185" ht="15.75" spans="1:48">
      <c r="A185" s="12">
        <v>181</v>
      </c>
      <c r="B185" s="44">
        <v>4352</v>
      </c>
      <c r="C185" s="45" t="s">
        <v>132</v>
      </c>
      <c r="D185" s="46" t="s">
        <v>81</v>
      </c>
      <c r="E185" s="47" t="s">
        <v>113</v>
      </c>
      <c r="F185" s="48">
        <v>8.83</v>
      </c>
      <c r="G185" s="38">
        <v>0.33</v>
      </c>
      <c r="H185" s="39"/>
      <c r="I185" s="39"/>
      <c r="J185" s="39">
        <v>0.33</v>
      </c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49" t="s">
        <v>201</v>
      </c>
      <c r="Y185" s="50">
        <v>14348.75</v>
      </c>
      <c r="Z185" s="51">
        <v>14436</v>
      </c>
      <c r="AA185" s="52">
        <f t="shared" si="8"/>
        <v>1.00608066904783</v>
      </c>
      <c r="AB185" s="12">
        <v>14416</v>
      </c>
      <c r="AC185" s="12">
        <v>20</v>
      </c>
      <c r="AD185" s="43"/>
      <c r="AE185" s="43"/>
      <c r="AF185" s="43"/>
      <c r="AG185" s="19">
        <v>20</v>
      </c>
      <c r="AH185" s="43"/>
      <c r="AI185" s="43"/>
      <c r="AJ185" s="43"/>
      <c r="AK185" s="43"/>
      <c r="AL185" s="43"/>
      <c r="AM185" s="43"/>
      <c r="AN185" s="43"/>
      <c r="AO185" s="43"/>
      <c r="AP185" s="43"/>
      <c r="AQ185" s="43"/>
      <c r="AR185" s="43"/>
      <c r="AS185" s="43"/>
      <c r="AT185" s="43"/>
      <c r="AU185" s="43"/>
      <c r="AV185" s="43"/>
    </row>
    <row r="186" ht="15.75" spans="1:48">
      <c r="A186" s="12">
        <v>182</v>
      </c>
      <c r="B186" s="57">
        <v>4017</v>
      </c>
      <c r="C186" s="58" t="s">
        <v>148</v>
      </c>
      <c r="D186" s="59" t="s">
        <v>202</v>
      </c>
      <c r="E186" s="47" t="s">
        <v>113</v>
      </c>
      <c r="F186" s="48">
        <v>10.5</v>
      </c>
      <c r="G186" s="38">
        <v>1.5</v>
      </c>
      <c r="H186" s="39"/>
      <c r="I186" s="39"/>
      <c r="J186" s="39"/>
      <c r="K186" s="39"/>
      <c r="L186" s="39"/>
      <c r="M186" s="39"/>
      <c r="N186" s="39"/>
      <c r="O186" s="39"/>
      <c r="P186" s="39"/>
      <c r="Q186" s="39">
        <v>1.33</v>
      </c>
      <c r="R186" s="39"/>
      <c r="S186" s="39"/>
      <c r="T186" s="39"/>
      <c r="U186" s="39">
        <v>0.17</v>
      </c>
      <c r="V186" s="39"/>
      <c r="W186" s="39"/>
      <c r="X186" s="49">
        <v>9740</v>
      </c>
      <c r="Y186" s="50">
        <v>4410</v>
      </c>
      <c r="Z186" s="51">
        <v>4320</v>
      </c>
      <c r="AA186" s="52">
        <f t="shared" si="8"/>
        <v>0.979591836734694</v>
      </c>
      <c r="AB186" s="12">
        <v>4311</v>
      </c>
      <c r="AC186" s="12">
        <v>9</v>
      </c>
      <c r="AD186" s="19">
        <v>9</v>
      </c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  <c r="AO186" s="43"/>
      <c r="AP186" s="43"/>
      <c r="AQ186" s="43"/>
      <c r="AR186" s="43"/>
      <c r="AS186" s="43"/>
      <c r="AT186" s="43"/>
      <c r="AU186" s="43"/>
      <c r="AV186" s="43"/>
    </row>
    <row r="187" ht="15.75" spans="1:48">
      <c r="A187" s="12">
        <v>183</v>
      </c>
      <c r="B187" s="44">
        <v>977</v>
      </c>
      <c r="C187" s="45" t="s">
        <v>141</v>
      </c>
      <c r="D187" s="46">
        <v>17</v>
      </c>
      <c r="E187" s="47" t="s">
        <v>113</v>
      </c>
      <c r="F187" s="48">
        <v>10.5</v>
      </c>
      <c r="G187" s="38">
        <v>1.5</v>
      </c>
      <c r="H187" s="39"/>
      <c r="I187" s="39"/>
      <c r="J187" s="39"/>
      <c r="K187" s="39"/>
      <c r="L187" s="39"/>
      <c r="M187" s="39"/>
      <c r="N187" s="39"/>
      <c r="O187" s="39"/>
      <c r="P187" s="39"/>
      <c r="Q187" s="39">
        <v>1.33</v>
      </c>
      <c r="R187" s="39"/>
      <c r="S187" s="39"/>
      <c r="T187" s="39"/>
      <c r="U187" s="39">
        <v>0.17</v>
      </c>
      <c r="V187" s="39"/>
      <c r="W187" s="39"/>
      <c r="X187" s="49" t="s">
        <v>96</v>
      </c>
      <c r="Y187" s="50">
        <v>12180</v>
      </c>
      <c r="Z187" s="51">
        <v>9000</v>
      </c>
      <c r="AA187" s="52">
        <f t="shared" si="8"/>
        <v>0.738916256157635</v>
      </c>
      <c r="AB187" s="12">
        <v>9000</v>
      </c>
      <c r="AC187" s="12">
        <v>0</v>
      </c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  <c r="AO187" s="43"/>
      <c r="AP187" s="43"/>
      <c r="AQ187" s="43"/>
      <c r="AR187" s="43"/>
      <c r="AS187" s="43"/>
      <c r="AT187" s="43"/>
      <c r="AU187" s="43"/>
      <c r="AV187" s="43"/>
    </row>
    <row r="188" ht="15.75" spans="1:48">
      <c r="A188" s="12">
        <v>184</v>
      </c>
      <c r="B188" s="44">
        <v>692</v>
      </c>
      <c r="C188" s="45" t="s">
        <v>142</v>
      </c>
      <c r="D188" s="46"/>
      <c r="E188" s="47" t="s">
        <v>113</v>
      </c>
      <c r="F188" s="48">
        <v>9.17</v>
      </c>
      <c r="G188" s="38">
        <v>2.83</v>
      </c>
      <c r="H188" s="39"/>
      <c r="I188" s="39"/>
      <c r="J188" s="39"/>
      <c r="K188" s="39"/>
      <c r="L188" s="39"/>
      <c r="M188" s="39"/>
      <c r="N188" s="39"/>
      <c r="O188" s="39"/>
      <c r="P188" s="39"/>
      <c r="Q188" s="39">
        <v>1.33</v>
      </c>
      <c r="R188" s="39"/>
      <c r="S188" s="39">
        <v>1</v>
      </c>
      <c r="T188" s="39">
        <v>0.5</v>
      </c>
      <c r="U188" s="39"/>
      <c r="V188" s="39"/>
      <c r="W188" s="39"/>
      <c r="X188" s="49" t="s">
        <v>98</v>
      </c>
      <c r="Y188" s="50">
        <v>4309.9</v>
      </c>
      <c r="Z188" s="51">
        <v>4140</v>
      </c>
      <c r="AA188" s="52">
        <f t="shared" si="8"/>
        <v>0.960579131766398</v>
      </c>
      <c r="AB188" s="12">
        <v>4140</v>
      </c>
      <c r="AC188" s="12">
        <v>0</v>
      </c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  <c r="AO188" s="43"/>
      <c r="AP188" s="43"/>
      <c r="AQ188" s="43"/>
      <c r="AR188" s="43"/>
      <c r="AS188" s="43"/>
      <c r="AT188" s="43"/>
      <c r="AU188" s="43"/>
      <c r="AV188" s="43"/>
    </row>
    <row r="189" ht="15.75" spans="1:48">
      <c r="A189" s="12">
        <v>185</v>
      </c>
      <c r="B189" s="44">
        <v>4335</v>
      </c>
      <c r="C189" s="45" t="s">
        <v>154</v>
      </c>
      <c r="D189" s="46">
        <v>2</v>
      </c>
      <c r="E189" s="47" t="s">
        <v>113</v>
      </c>
      <c r="F189" s="48">
        <v>8</v>
      </c>
      <c r="G189" s="38">
        <v>4</v>
      </c>
      <c r="H189" s="39"/>
      <c r="I189" s="39"/>
      <c r="J189" s="39"/>
      <c r="K189" s="39"/>
      <c r="L189" s="39"/>
      <c r="M189" s="39"/>
      <c r="N189" s="39"/>
      <c r="O189" s="39"/>
      <c r="P189" s="39"/>
      <c r="Q189" s="39">
        <v>1.33</v>
      </c>
      <c r="R189" s="39"/>
      <c r="S189" s="39">
        <v>2.5</v>
      </c>
      <c r="T189" s="39">
        <v>0.17</v>
      </c>
      <c r="U189" s="39"/>
      <c r="V189" s="39"/>
      <c r="W189" s="39"/>
      <c r="X189" s="49">
        <v>1090</v>
      </c>
      <c r="Y189" s="50">
        <v>5280</v>
      </c>
      <c r="Z189" s="51">
        <v>5000</v>
      </c>
      <c r="AA189" s="52">
        <f t="shared" si="8"/>
        <v>0.946969696969697</v>
      </c>
      <c r="AB189" s="12">
        <v>4961</v>
      </c>
      <c r="AC189" s="12">
        <v>39</v>
      </c>
      <c r="AD189" s="19">
        <v>39</v>
      </c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  <c r="AO189" s="43"/>
      <c r="AP189" s="43"/>
      <c r="AQ189" s="43"/>
      <c r="AR189" s="43"/>
      <c r="AS189" s="43"/>
      <c r="AT189" s="43"/>
      <c r="AU189" s="43"/>
      <c r="AV189" s="43"/>
    </row>
    <row r="190" ht="15.75" spans="1:48">
      <c r="A190" s="12">
        <v>186</v>
      </c>
      <c r="B190" s="44">
        <v>947</v>
      </c>
      <c r="C190" s="45" t="s">
        <v>143</v>
      </c>
      <c r="D190" s="46">
        <v>18</v>
      </c>
      <c r="E190" s="47" t="s">
        <v>113</v>
      </c>
      <c r="F190" s="48">
        <v>5.5</v>
      </c>
      <c r="G190" s="38">
        <v>1.83</v>
      </c>
      <c r="H190" s="39"/>
      <c r="I190" s="39"/>
      <c r="J190" s="39"/>
      <c r="K190" s="39"/>
      <c r="L190" s="39"/>
      <c r="M190" s="39"/>
      <c r="N190" s="39"/>
      <c r="O190" s="39"/>
      <c r="P190" s="39"/>
      <c r="Q190" s="39">
        <v>1.33</v>
      </c>
      <c r="R190" s="39"/>
      <c r="S190" s="39"/>
      <c r="T190" s="39">
        <v>0.33</v>
      </c>
      <c r="U190" s="39">
        <v>0.17</v>
      </c>
      <c r="V190" s="39"/>
      <c r="W190" s="39"/>
      <c r="X190" s="49">
        <v>6270</v>
      </c>
      <c r="Y190" s="50">
        <v>2994.75</v>
      </c>
      <c r="Z190" s="51">
        <v>2769</v>
      </c>
      <c r="AA190" s="52">
        <f t="shared" si="8"/>
        <v>0.924618081642875</v>
      </c>
      <c r="AB190" s="12">
        <v>2633</v>
      </c>
      <c r="AC190" s="12">
        <v>136</v>
      </c>
      <c r="AD190" s="19">
        <v>136</v>
      </c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43"/>
      <c r="AP190" s="43"/>
      <c r="AQ190" s="43"/>
      <c r="AR190" s="43"/>
      <c r="AS190" s="43"/>
      <c r="AT190" s="43"/>
      <c r="AU190" s="43"/>
      <c r="AV190" s="43"/>
    </row>
    <row r="191" ht="15.75" spans="1:48">
      <c r="A191" s="12">
        <v>187</v>
      </c>
      <c r="B191" s="44">
        <v>947</v>
      </c>
      <c r="C191" s="45" t="s">
        <v>143</v>
      </c>
      <c r="D191" s="46">
        <v>18</v>
      </c>
      <c r="E191" s="47" t="s">
        <v>203</v>
      </c>
      <c r="F191" s="48">
        <v>1.33</v>
      </c>
      <c r="G191" s="38">
        <v>0</v>
      </c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49" t="s">
        <v>204</v>
      </c>
      <c r="Y191" s="50">
        <v>518.7</v>
      </c>
      <c r="Z191" s="51">
        <v>480</v>
      </c>
      <c r="AA191" s="52">
        <f t="shared" si="8"/>
        <v>0.92539039907461</v>
      </c>
      <c r="AB191" s="12">
        <v>480</v>
      </c>
      <c r="AC191" s="12">
        <v>0</v>
      </c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  <c r="AO191" s="43"/>
      <c r="AP191" s="43"/>
      <c r="AQ191" s="43"/>
      <c r="AR191" s="43"/>
      <c r="AS191" s="43"/>
      <c r="AT191" s="43"/>
      <c r="AU191" s="43"/>
      <c r="AV191" s="43"/>
    </row>
    <row r="192" ht="15.75" spans="1:48">
      <c r="A192" s="12">
        <v>188</v>
      </c>
      <c r="B192" s="44">
        <v>4342</v>
      </c>
      <c r="C192" s="45" t="s">
        <v>147</v>
      </c>
      <c r="D192" s="46"/>
      <c r="E192" s="47" t="s">
        <v>113</v>
      </c>
      <c r="F192" s="48">
        <v>8</v>
      </c>
      <c r="G192" s="38">
        <v>2</v>
      </c>
      <c r="H192" s="39"/>
      <c r="I192" s="39"/>
      <c r="J192" s="39"/>
      <c r="K192" s="39"/>
      <c r="L192" s="39"/>
      <c r="M192" s="39"/>
      <c r="N192" s="39"/>
      <c r="O192" s="39"/>
      <c r="P192" s="39"/>
      <c r="Q192" s="39">
        <v>1.33</v>
      </c>
      <c r="R192" s="39"/>
      <c r="S192" s="39">
        <v>0.5</v>
      </c>
      <c r="T192" s="39"/>
      <c r="U192" s="39">
        <v>0.17</v>
      </c>
      <c r="V192" s="39"/>
      <c r="W192" s="39"/>
      <c r="X192" s="49" t="s">
        <v>98</v>
      </c>
      <c r="Y192" s="50">
        <v>3760</v>
      </c>
      <c r="Z192" s="51">
        <v>3600</v>
      </c>
      <c r="AA192" s="52">
        <f t="shared" si="8"/>
        <v>0.957446808510638</v>
      </c>
      <c r="AB192" s="12">
        <v>3600</v>
      </c>
      <c r="AC192" s="12">
        <v>0</v>
      </c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  <c r="AO192" s="43"/>
      <c r="AP192" s="43"/>
      <c r="AQ192" s="43"/>
      <c r="AR192" s="43"/>
      <c r="AS192" s="43"/>
      <c r="AT192" s="43"/>
      <c r="AU192" s="43"/>
      <c r="AV192" s="43"/>
    </row>
    <row r="193" ht="15.75" spans="1:48">
      <c r="A193" s="12">
        <v>189</v>
      </c>
      <c r="B193" s="44">
        <v>4342</v>
      </c>
      <c r="C193" s="45" t="s">
        <v>147</v>
      </c>
      <c r="D193" s="46"/>
      <c r="E193" s="47" t="s">
        <v>113</v>
      </c>
      <c r="F193" s="48">
        <v>2</v>
      </c>
      <c r="G193" s="38">
        <v>0</v>
      </c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49" t="s">
        <v>90</v>
      </c>
      <c r="Y193" s="50">
        <v>940</v>
      </c>
      <c r="Z193" s="51">
        <v>1080</v>
      </c>
      <c r="AA193" s="52">
        <f t="shared" si="8"/>
        <v>1.14893617021277</v>
      </c>
      <c r="AB193" s="12">
        <v>1080</v>
      </c>
      <c r="AC193" s="12">
        <v>0</v>
      </c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  <c r="AO193" s="43"/>
      <c r="AP193" s="43"/>
      <c r="AQ193" s="43"/>
      <c r="AR193" s="43"/>
      <c r="AS193" s="43"/>
      <c r="AT193" s="43"/>
      <c r="AU193" s="43"/>
      <c r="AV193" s="43"/>
    </row>
    <row r="194" ht="15.75" spans="1:48">
      <c r="A194" s="12">
        <v>190</v>
      </c>
      <c r="B194" s="44">
        <v>551</v>
      </c>
      <c r="C194" s="45" t="s">
        <v>146</v>
      </c>
      <c r="D194" s="46">
        <v>5</v>
      </c>
      <c r="E194" s="47" t="s">
        <v>113</v>
      </c>
      <c r="F194" s="48">
        <v>10</v>
      </c>
      <c r="G194" s="38">
        <v>2</v>
      </c>
      <c r="H194" s="39"/>
      <c r="I194" s="39"/>
      <c r="J194" s="39"/>
      <c r="K194" s="39">
        <v>0.33</v>
      </c>
      <c r="L194" s="39"/>
      <c r="M194" s="39"/>
      <c r="N194" s="39"/>
      <c r="O194" s="39"/>
      <c r="P194" s="39"/>
      <c r="Q194" s="39">
        <v>1.33</v>
      </c>
      <c r="R194" s="39"/>
      <c r="S194" s="39"/>
      <c r="T194" s="39">
        <v>0.17</v>
      </c>
      <c r="U194" s="39">
        <v>0.17</v>
      </c>
      <c r="V194" s="39"/>
      <c r="W194" s="39"/>
      <c r="X194" s="49">
        <v>5770</v>
      </c>
      <c r="Y194" s="50">
        <v>6050</v>
      </c>
      <c r="Z194" s="51">
        <v>5820</v>
      </c>
      <c r="AA194" s="52">
        <f t="shared" si="8"/>
        <v>0.96198347107438</v>
      </c>
      <c r="AB194" s="12">
        <v>5760</v>
      </c>
      <c r="AC194" s="12">
        <v>60</v>
      </c>
      <c r="AD194" s="19">
        <v>60</v>
      </c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  <c r="AO194" s="43"/>
      <c r="AP194" s="43"/>
      <c r="AQ194" s="43"/>
      <c r="AR194" s="43"/>
      <c r="AS194" s="43"/>
      <c r="AT194" s="43"/>
      <c r="AU194" s="43"/>
      <c r="AV194" s="43"/>
    </row>
    <row r="195" ht="15.75" spans="1:48">
      <c r="A195" s="12">
        <v>191</v>
      </c>
      <c r="B195" s="44">
        <v>4384</v>
      </c>
      <c r="C195" s="45" t="s">
        <v>145</v>
      </c>
      <c r="D195" s="46">
        <v>8</v>
      </c>
      <c r="E195" s="47" t="s">
        <v>113</v>
      </c>
      <c r="F195" s="48">
        <v>6.83</v>
      </c>
      <c r="G195" s="38">
        <v>2.33</v>
      </c>
      <c r="H195" s="39"/>
      <c r="I195" s="39"/>
      <c r="J195" s="39"/>
      <c r="K195" s="39">
        <v>0.33</v>
      </c>
      <c r="L195" s="39"/>
      <c r="M195" s="39"/>
      <c r="N195" s="39"/>
      <c r="O195" s="39"/>
      <c r="P195" s="39"/>
      <c r="Q195" s="39">
        <v>1.33</v>
      </c>
      <c r="R195" s="39"/>
      <c r="S195" s="39"/>
      <c r="T195" s="39">
        <v>0.5</v>
      </c>
      <c r="U195" s="39">
        <v>0.17</v>
      </c>
      <c r="V195" s="39"/>
      <c r="W195" s="39"/>
      <c r="X195" s="49">
        <v>7133</v>
      </c>
      <c r="Y195" s="50">
        <v>4132.15</v>
      </c>
      <c r="Z195" s="51">
        <v>3990</v>
      </c>
      <c r="AA195" s="52">
        <f t="shared" si="8"/>
        <v>0.965599022300739</v>
      </c>
      <c r="AB195" s="12">
        <v>3710</v>
      </c>
      <c r="AC195" s="12">
        <v>280</v>
      </c>
      <c r="AD195" s="19">
        <v>280</v>
      </c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  <c r="AO195" s="43"/>
      <c r="AP195" s="43"/>
      <c r="AQ195" s="43"/>
      <c r="AR195" s="43"/>
      <c r="AS195" s="43"/>
      <c r="AT195" s="43"/>
      <c r="AU195" s="43"/>
      <c r="AV195" s="43"/>
    </row>
    <row r="196" ht="15.75" spans="1:48">
      <c r="A196" s="12">
        <v>192</v>
      </c>
      <c r="B196" s="44">
        <v>4384</v>
      </c>
      <c r="C196" s="45" t="s">
        <v>145</v>
      </c>
      <c r="D196" s="46">
        <v>8</v>
      </c>
      <c r="E196" s="47" t="s">
        <v>203</v>
      </c>
      <c r="F196" s="48">
        <v>1.33</v>
      </c>
      <c r="G196" s="38">
        <v>0</v>
      </c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49">
        <v>7133</v>
      </c>
      <c r="Y196" s="50">
        <v>563.255</v>
      </c>
      <c r="Z196" s="51">
        <v>480</v>
      </c>
      <c r="AA196" s="52">
        <f t="shared" si="8"/>
        <v>0.852189505641317</v>
      </c>
      <c r="AB196" s="12">
        <v>480</v>
      </c>
      <c r="AC196" s="12">
        <v>0</v>
      </c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  <c r="AO196" s="43"/>
      <c r="AP196" s="43"/>
      <c r="AQ196" s="43"/>
      <c r="AR196" s="43"/>
      <c r="AS196" s="43"/>
      <c r="AT196" s="43"/>
      <c r="AU196" s="43"/>
      <c r="AV196" s="43"/>
    </row>
    <row r="197" ht="15.75" spans="1:48">
      <c r="A197" s="12">
        <v>193</v>
      </c>
      <c r="B197" s="44">
        <v>2865</v>
      </c>
      <c r="C197" s="45" t="s">
        <v>149</v>
      </c>
      <c r="D197" s="46">
        <v>14</v>
      </c>
      <c r="E197" s="47" t="s">
        <v>113</v>
      </c>
      <c r="F197" s="48">
        <v>2</v>
      </c>
      <c r="G197" s="38">
        <v>0.34</v>
      </c>
      <c r="H197" s="39"/>
      <c r="I197" s="39"/>
      <c r="J197" s="39"/>
      <c r="K197" s="39"/>
      <c r="L197" s="39"/>
      <c r="M197" s="39"/>
      <c r="N197" s="39"/>
      <c r="O197" s="39"/>
      <c r="P197" s="39"/>
      <c r="Q197" s="39">
        <v>0.17</v>
      </c>
      <c r="R197" s="39"/>
      <c r="S197" s="39"/>
      <c r="T197" s="39"/>
      <c r="U197" s="39">
        <v>0.17</v>
      </c>
      <c r="V197" s="39"/>
      <c r="W197" s="39"/>
      <c r="X197" s="49">
        <v>8485</v>
      </c>
      <c r="Y197" s="50">
        <v>1140</v>
      </c>
      <c r="Z197" s="51">
        <v>1116</v>
      </c>
      <c r="AA197" s="52">
        <f t="shared" si="8"/>
        <v>0.978947368421053</v>
      </c>
      <c r="AB197" s="12">
        <v>1116</v>
      </c>
      <c r="AC197" s="12">
        <v>0</v>
      </c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  <c r="AO197" s="43"/>
      <c r="AP197" s="43"/>
      <c r="AQ197" s="43"/>
      <c r="AR197" s="43"/>
      <c r="AS197" s="43"/>
      <c r="AT197" s="43"/>
      <c r="AU197" s="43"/>
      <c r="AV197" s="43"/>
    </row>
    <row r="198" ht="15.75" spans="1:48">
      <c r="A198" s="12">
        <v>194</v>
      </c>
      <c r="B198" s="44">
        <v>2865</v>
      </c>
      <c r="C198" s="45" t="s">
        <v>149</v>
      </c>
      <c r="D198" s="46">
        <v>15</v>
      </c>
      <c r="E198" s="47" t="s">
        <v>113</v>
      </c>
      <c r="F198" s="48">
        <v>5</v>
      </c>
      <c r="G198" s="38">
        <v>1.51</v>
      </c>
      <c r="H198" s="39"/>
      <c r="I198" s="39"/>
      <c r="J198" s="39"/>
      <c r="K198" s="39"/>
      <c r="L198" s="39"/>
      <c r="M198" s="39"/>
      <c r="N198" s="39"/>
      <c r="O198" s="39"/>
      <c r="P198" s="39"/>
      <c r="Q198" s="39">
        <v>1.17</v>
      </c>
      <c r="R198" s="39"/>
      <c r="S198" s="39"/>
      <c r="T198" s="39">
        <v>0.17</v>
      </c>
      <c r="U198" s="39">
        <v>0.17</v>
      </c>
      <c r="V198" s="39"/>
      <c r="W198" s="39"/>
      <c r="X198" s="49">
        <v>3880</v>
      </c>
      <c r="Y198" s="50">
        <v>2000</v>
      </c>
      <c r="Z198" s="51">
        <v>1764</v>
      </c>
      <c r="AA198" s="52">
        <f t="shared" si="8"/>
        <v>0.882</v>
      </c>
      <c r="AB198" s="12">
        <v>1675</v>
      </c>
      <c r="AC198" s="12">
        <v>89</v>
      </c>
      <c r="AD198" s="19">
        <v>89</v>
      </c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  <c r="AO198" s="43"/>
      <c r="AP198" s="43"/>
      <c r="AQ198" s="43"/>
      <c r="AR198" s="43"/>
      <c r="AS198" s="43"/>
      <c r="AT198" s="43"/>
      <c r="AU198" s="43"/>
      <c r="AV198" s="43"/>
    </row>
    <row r="199" ht="15.75" spans="1:48">
      <c r="A199" s="12">
        <v>195</v>
      </c>
      <c r="B199" s="44">
        <v>4110</v>
      </c>
      <c r="C199" s="45" t="s">
        <v>135</v>
      </c>
      <c r="D199" s="46">
        <v>6</v>
      </c>
      <c r="E199" s="47" t="s">
        <v>113</v>
      </c>
      <c r="F199" s="48">
        <v>5.17</v>
      </c>
      <c r="G199" s="38">
        <v>2</v>
      </c>
      <c r="H199" s="39"/>
      <c r="I199" s="39"/>
      <c r="J199" s="39"/>
      <c r="K199" s="39"/>
      <c r="L199" s="39"/>
      <c r="M199" s="39"/>
      <c r="N199" s="39"/>
      <c r="O199" s="39"/>
      <c r="P199" s="39"/>
      <c r="Q199" s="39">
        <v>1.33</v>
      </c>
      <c r="R199" s="39"/>
      <c r="S199" s="39"/>
      <c r="T199" s="39">
        <v>0.5</v>
      </c>
      <c r="U199" s="39">
        <v>0.17</v>
      </c>
      <c r="V199" s="39"/>
      <c r="W199" s="39"/>
      <c r="X199" s="49">
        <v>8235</v>
      </c>
      <c r="Y199" s="50">
        <v>3412.2</v>
      </c>
      <c r="Z199" s="51">
        <v>3243</v>
      </c>
      <c r="AA199" s="52">
        <f t="shared" si="8"/>
        <v>0.950413223140496</v>
      </c>
      <c r="AB199" s="12">
        <v>3243</v>
      </c>
      <c r="AC199" s="12">
        <v>0</v>
      </c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  <c r="AO199" s="43"/>
      <c r="AP199" s="43"/>
      <c r="AQ199" s="43"/>
      <c r="AR199" s="43"/>
      <c r="AS199" s="43"/>
      <c r="AT199" s="43"/>
      <c r="AU199" s="43"/>
      <c r="AV199" s="43"/>
    </row>
    <row r="200" ht="15.75" spans="1:48">
      <c r="A200" s="12">
        <v>196</v>
      </c>
      <c r="B200" s="44">
        <v>4110</v>
      </c>
      <c r="C200" s="45" t="s">
        <v>135</v>
      </c>
      <c r="D200" s="46">
        <v>7</v>
      </c>
      <c r="E200" s="47" t="s">
        <v>113</v>
      </c>
      <c r="F200" s="48">
        <v>2</v>
      </c>
      <c r="G200" s="38">
        <v>0.17</v>
      </c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>
        <v>0.17</v>
      </c>
      <c r="V200" s="39"/>
      <c r="W200" s="39"/>
      <c r="X200" s="49" t="s">
        <v>95</v>
      </c>
      <c r="Y200" s="50">
        <v>2800</v>
      </c>
      <c r="Z200" s="51">
        <v>2800</v>
      </c>
      <c r="AA200" s="52">
        <f t="shared" si="8"/>
        <v>1</v>
      </c>
      <c r="AB200" s="12">
        <v>2800</v>
      </c>
      <c r="AC200" s="12">
        <v>0</v>
      </c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  <c r="AO200" s="43"/>
      <c r="AP200" s="43"/>
      <c r="AQ200" s="43"/>
      <c r="AR200" s="43"/>
      <c r="AS200" s="43"/>
      <c r="AT200" s="43"/>
      <c r="AU200" s="43"/>
      <c r="AV200" s="43"/>
    </row>
    <row r="201" ht="15.75" spans="1:48">
      <c r="A201" s="12">
        <v>197</v>
      </c>
      <c r="B201" s="44">
        <v>1733</v>
      </c>
      <c r="C201" s="45" t="s">
        <v>153</v>
      </c>
      <c r="D201" s="46"/>
      <c r="E201" s="47" t="s">
        <v>113</v>
      </c>
      <c r="F201" s="48">
        <v>10.67</v>
      </c>
      <c r="G201" s="38">
        <v>1.33</v>
      </c>
      <c r="H201" s="39"/>
      <c r="I201" s="39"/>
      <c r="J201" s="39"/>
      <c r="K201" s="39"/>
      <c r="L201" s="39"/>
      <c r="M201" s="39"/>
      <c r="N201" s="39"/>
      <c r="O201" s="39"/>
      <c r="P201" s="39"/>
      <c r="Q201" s="39">
        <v>1.33</v>
      </c>
      <c r="R201" s="39"/>
      <c r="S201" s="39"/>
      <c r="T201" s="39"/>
      <c r="U201" s="39"/>
      <c r="V201" s="39"/>
      <c r="W201" s="39"/>
      <c r="X201" s="49" t="s">
        <v>105</v>
      </c>
      <c r="Y201" s="50">
        <v>7042.2</v>
      </c>
      <c r="Z201" s="51">
        <v>6760</v>
      </c>
      <c r="AA201" s="52">
        <f t="shared" si="8"/>
        <v>0.959927295447445</v>
      </c>
      <c r="AB201" s="12">
        <v>6760</v>
      </c>
      <c r="AC201" s="12">
        <v>0</v>
      </c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  <c r="AO201" s="43"/>
      <c r="AP201" s="43"/>
      <c r="AQ201" s="43"/>
      <c r="AR201" s="43"/>
      <c r="AS201" s="43"/>
      <c r="AT201" s="43"/>
      <c r="AU201" s="43"/>
      <c r="AV201" s="43"/>
    </row>
    <row r="202" ht="15.75" spans="1:48">
      <c r="A202" s="12">
        <v>198</v>
      </c>
      <c r="B202" s="44">
        <v>4110</v>
      </c>
      <c r="C202" s="45" t="s">
        <v>135</v>
      </c>
      <c r="D202" s="46"/>
      <c r="E202" s="47" t="s">
        <v>113</v>
      </c>
      <c r="F202" s="48">
        <v>2.66</v>
      </c>
      <c r="G202" s="38">
        <v>0</v>
      </c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49" t="s">
        <v>105</v>
      </c>
      <c r="Y202" s="50">
        <v>1755.6</v>
      </c>
      <c r="Z202" s="51">
        <v>1843</v>
      </c>
      <c r="AA202" s="52">
        <f t="shared" si="8"/>
        <v>1.04978354978355</v>
      </c>
      <c r="AB202" s="12">
        <v>1843</v>
      </c>
      <c r="AC202" s="12">
        <v>0</v>
      </c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  <c r="AO202" s="43"/>
      <c r="AP202" s="43"/>
      <c r="AQ202" s="43"/>
      <c r="AR202" s="43"/>
      <c r="AS202" s="43"/>
      <c r="AT202" s="43"/>
      <c r="AU202" s="43"/>
      <c r="AV202" s="43"/>
    </row>
    <row r="203" ht="15.75" spans="1:48">
      <c r="A203" s="12">
        <v>199</v>
      </c>
      <c r="B203" s="44">
        <v>666</v>
      </c>
      <c r="C203" s="45" t="s">
        <v>151</v>
      </c>
      <c r="D203" s="46"/>
      <c r="E203" s="47" t="s">
        <v>113</v>
      </c>
      <c r="F203" s="48">
        <v>4.3</v>
      </c>
      <c r="G203" s="38">
        <v>2.5</v>
      </c>
      <c r="H203" s="39"/>
      <c r="I203" s="39"/>
      <c r="J203" s="39"/>
      <c r="K203" s="39"/>
      <c r="L203" s="39"/>
      <c r="M203" s="39"/>
      <c r="N203" s="39"/>
      <c r="O203" s="39"/>
      <c r="P203" s="39"/>
      <c r="Q203" s="39">
        <v>1.33</v>
      </c>
      <c r="R203" s="39"/>
      <c r="S203" s="39">
        <v>1</v>
      </c>
      <c r="T203" s="39"/>
      <c r="U203" s="39">
        <v>0.17</v>
      </c>
      <c r="V203" s="39"/>
      <c r="W203" s="39"/>
      <c r="X203" s="49" t="s">
        <v>101</v>
      </c>
      <c r="Y203" s="50">
        <v>8256</v>
      </c>
      <c r="Z203" s="51">
        <v>6480</v>
      </c>
      <c r="AA203" s="52">
        <f t="shared" si="8"/>
        <v>0.784883720930233</v>
      </c>
      <c r="AB203" s="12">
        <v>6480</v>
      </c>
      <c r="AC203" s="12">
        <v>0</v>
      </c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  <c r="AO203" s="43"/>
      <c r="AP203" s="43"/>
      <c r="AQ203" s="43"/>
      <c r="AR203" s="43"/>
      <c r="AS203" s="43"/>
      <c r="AT203" s="43"/>
      <c r="AU203" s="43"/>
      <c r="AV203" s="43"/>
    </row>
    <row r="204" ht="15.75" spans="1:48">
      <c r="A204" s="12">
        <v>200</v>
      </c>
      <c r="B204" s="44">
        <v>666</v>
      </c>
      <c r="C204" s="45" t="s">
        <v>151</v>
      </c>
      <c r="D204" s="46"/>
      <c r="E204" s="47" t="s">
        <v>113</v>
      </c>
      <c r="F204" s="48">
        <v>1.67</v>
      </c>
      <c r="G204" s="38">
        <v>0</v>
      </c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49" t="s">
        <v>152</v>
      </c>
      <c r="Y204" s="50">
        <v>7264.5</v>
      </c>
      <c r="Z204" s="51">
        <v>5600</v>
      </c>
      <c r="AA204" s="52">
        <f t="shared" si="8"/>
        <v>0.770872049005437</v>
      </c>
      <c r="AB204" s="12">
        <v>5600</v>
      </c>
      <c r="AC204" s="12">
        <v>0</v>
      </c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  <c r="AO204" s="43"/>
      <c r="AP204" s="43"/>
      <c r="AQ204" s="43"/>
      <c r="AR204" s="43"/>
      <c r="AS204" s="43"/>
      <c r="AT204" s="43"/>
      <c r="AU204" s="43"/>
      <c r="AV204" s="43"/>
    </row>
    <row r="205" ht="15.75" spans="1:48">
      <c r="A205" s="12">
        <v>201</v>
      </c>
      <c r="B205" s="44">
        <v>666</v>
      </c>
      <c r="C205" s="45" t="s">
        <v>151</v>
      </c>
      <c r="D205" s="46"/>
      <c r="E205" s="47" t="s">
        <v>113</v>
      </c>
      <c r="F205" s="48">
        <v>1.2</v>
      </c>
      <c r="G205" s="38">
        <v>0</v>
      </c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49" t="s">
        <v>100</v>
      </c>
      <c r="Y205" s="50">
        <v>2304</v>
      </c>
      <c r="Z205" s="51">
        <v>1800</v>
      </c>
      <c r="AA205" s="52">
        <f t="shared" si="8"/>
        <v>0.78125</v>
      </c>
      <c r="AB205" s="12">
        <v>1800</v>
      </c>
      <c r="AC205" s="12">
        <v>0</v>
      </c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  <c r="AO205" s="43"/>
      <c r="AP205" s="43"/>
      <c r="AQ205" s="43"/>
      <c r="AR205" s="43"/>
      <c r="AS205" s="43"/>
      <c r="AT205" s="43"/>
      <c r="AU205" s="43"/>
      <c r="AV205" s="43"/>
    </row>
    <row r="206" ht="15.75" spans="1:48">
      <c r="A206" s="12">
        <v>202</v>
      </c>
      <c r="B206" s="44">
        <v>666</v>
      </c>
      <c r="C206" s="45" t="s">
        <v>151</v>
      </c>
      <c r="D206" s="46"/>
      <c r="E206" s="47" t="s">
        <v>113</v>
      </c>
      <c r="F206" s="48">
        <v>2.33</v>
      </c>
      <c r="G206" s="38">
        <v>0</v>
      </c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49" t="s">
        <v>102</v>
      </c>
      <c r="Y206" s="50">
        <v>10485</v>
      </c>
      <c r="Z206" s="51">
        <v>7000</v>
      </c>
      <c r="AA206" s="52">
        <f t="shared" si="8"/>
        <v>0.667620410109681</v>
      </c>
      <c r="AB206" s="12">
        <v>7000</v>
      </c>
      <c r="AC206" s="12">
        <v>0</v>
      </c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  <c r="AO206" s="43"/>
      <c r="AP206" s="43"/>
      <c r="AQ206" s="43"/>
      <c r="AR206" s="43"/>
      <c r="AS206" s="43"/>
      <c r="AT206" s="43"/>
      <c r="AU206" s="43"/>
      <c r="AV206" s="43"/>
    </row>
    <row r="207" ht="15.75" spans="1:48">
      <c r="A207" s="12">
        <v>203</v>
      </c>
      <c r="B207" s="44">
        <v>848</v>
      </c>
      <c r="C207" s="45" t="s">
        <v>150</v>
      </c>
      <c r="D207" s="46"/>
      <c r="E207" s="47" t="s">
        <v>113</v>
      </c>
      <c r="F207" s="48">
        <v>10.67</v>
      </c>
      <c r="G207" s="38">
        <v>1.33</v>
      </c>
      <c r="H207" s="39"/>
      <c r="I207" s="39"/>
      <c r="J207" s="39"/>
      <c r="K207" s="39"/>
      <c r="L207" s="39"/>
      <c r="M207" s="39"/>
      <c r="N207" s="39"/>
      <c r="O207" s="39"/>
      <c r="P207" s="39"/>
      <c r="Q207" s="39">
        <v>1.33</v>
      </c>
      <c r="R207" s="39"/>
      <c r="S207" s="39"/>
      <c r="T207" s="39"/>
      <c r="U207" s="39"/>
      <c r="V207" s="39"/>
      <c r="W207" s="39"/>
      <c r="X207" s="49" t="s">
        <v>103</v>
      </c>
      <c r="Y207" s="50">
        <v>8962.8</v>
      </c>
      <c r="Z207" s="51">
        <v>7800</v>
      </c>
      <c r="AA207" s="52">
        <f t="shared" si="8"/>
        <v>0.870263756861695</v>
      </c>
      <c r="AB207" s="12">
        <v>7800</v>
      </c>
      <c r="AC207" s="12">
        <v>0</v>
      </c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  <c r="AO207" s="43"/>
      <c r="AP207" s="43"/>
      <c r="AQ207" s="43"/>
      <c r="AR207" s="43"/>
      <c r="AS207" s="43"/>
      <c r="AT207" s="43"/>
      <c r="AU207" s="43"/>
      <c r="AV207" s="43"/>
    </row>
    <row r="208" ht="15.75" spans="1:48">
      <c r="A208" s="12">
        <v>204</v>
      </c>
      <c r="B208" s="44">
        <v>978</v>
      </c>
      <c r="C208" s="45" t="s">
        <v>144</v>
      </c>
      <c r="D208" s="46"/>
      <c r="E208" s="47" t="s">
        <v>113</v>
      </c>
      <c r="F208" s="48">
        <v>10.67</v>
      </c>
      <c r="G208" s="38">
        <v>1.33</v>
      </c>
      <c r="H208" s="39"/>
      <c r="I208" s="39"/>
      <c r="J208" s="39"/>
      <c r="K208" s="39"/>
      <c r="L208" s="39"/>
      <c r="M208" s="39"/>
      <c r="N208" s="39"/>
      <c r="O208" s="39"/>
      <c r="P208" s="39"/>
      <c r="Q208" s="39">
        <v>1.33</v>
      </c>
      <c r="R208" s="39"/>
      <c r="S208" s="39"/>
      <c r="T208" s="39"/>
      <c r="U208" s="39"/>
      <c r="V208" s="39"/>
      <c r="W208" s="39"/>
      <c r="X208" s="49" t="s">
        <v>103</v>
      </c>
      <c r="Y208" s="50">
        <v>7170.24</v>
      </c>
      <c r="Z208" s="51">
        <v>6000</v>
      </c>
      <c r="AA208" s="52">
        <f t="shared" si="8"/>
        <v>0.836792073905476</v>
      </c>
      <c r="AB208" s="12">
        <v>6000</v>
      </c>
      <c r="AC208" s="12">
        <v>0</v>
      </c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  <c r="AO208" s="43"/>
      <c r="AP208" s="43"/>
      <c r="AQ208" s="43"/>
      <c r="AR208" s="43"/>
      <c r="AS208" s="43"/>
      <c r="AT208" s="43"/>
      <c r="AU208" s="43"/>
      <c r="AV208" s="43"/>
    </row>
    <row r="209" ht="15.75" spans="1:48">
      <c r="A209" s="12">
        <v>205</v>
      </c>
      <c r="B209" s="44">
        <v>947</v>
      </c>
      <c r="C209" s="45" t="s">
        <v>143</v>
      </c>
      <c r="D209" s="46"/>
      <c r="E209" s="47" t="s">
        <v>113</v>
      </c>
      <c r="F209" s="48">
        <v>3.33</v>
      </c>
      <c r="G209" s="38">
        <v>0</v>
      </c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49" t="s">
        <v>103</v>
      </c>
      <c r="Y209" s="50">
        <v>2797.2</v>
      </c>
      <c r="Z209" s="51">
        <v>2889</v>
      </c>
      <c r="AA209" s="52">
        <f t="shared" si="8"/>
        <v>1.03281853281853</v>
      </c>
      <c r="AB209" s="12">
        <v>2889</v>
      </c>
      <c r="AC209" s="12">
        <v>0</v>
      </c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  <c r="AO209" s="43"/>
      <c r="AP209" s="43"/>
      <c r="AQ209" s="43"/>
      <c r="AR209" s="43"/>
      <c r="AS209" s="43"/>
      <c r="AT209" s="43"/>
      <c r="AU209" s="43"/>
      <c r="AV209" s="43"/>
    </row>
    <row r="210" ht="15.75" spans="1:48">
      <c r="A210" s="12">
        <v>206</v>
      </c>
      <c r="B210" s="44">
        <v>2865</v>
      </c>
      <c r="C210" s="45" t="s">
        <v>149</v>
      </c>
      <c r="D210" s="46"/>
      <c r="E210" s="47" t="s">
        <v>113</v>
      </c>
      <c r="F210" s="48">
        <v>1.33</v>
      </c>
      <c r="G210" s="38">
        <v>0</v>
      </c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49" t="s">
        <v>105</v>
      </c>
      <c r="Y210" s="50">
        <v>877.8</v>
      </c>
      <c r="Z210" s="51">
        <v>716</v>
      </c>
      <c r="AA210" s="52">
        <f t="shared" si="8"/>
        <v>0.815675552517658</v>
      </c>
      <c r="AB210" s="12">
        <v>716</v>
      </c>
      <c r="AC210" s="12">
        <v>0</v>
      </c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  <c r="AO210" s="43"/>
      <c r="AP210" s="43"/>
      <c r="AQ210" s="43"/>
      <c r="AR210" s="43"/>
      <c r="AS210" s="43"/>
      <c r="AT210" s="43"/>
      <c r="AU210" s="43"/>
      <c r="AV210" s="43"/>
    </row>
    <row r="211" ht="15.75" spans="1:48">
      <c r="A211" s="12">
        <v>207</v>
      </c>
      <c r="B211" s="44">
        <v>2865</v>
      </c>
      <c r="C211" s="45" t="s">
        <v>149</v>
      </c>
      <c r="D211" s="46"/>
      <c r="E211" s="47" t="s">
        <v>113</v>
      </c>
      <c r="F211" s="48">
        <v>1.84</v>
      </c>
      <c r="G211" s="38">
        <v>0</v>
      </c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49" t="s">
        <v>103</v>
      </c>
      <c r="Y211" s="50">
        <v>1545.6</v>
      </c>
      <c r="Z211" s="51">
        <v>1764</v>
      </c>
      <c r="AA211" s="52">
        <f t="shared" si="8"/>
        <v>1.14130434782609</v>
      </c>
      <c r="AB211" s="12">
        <v>1764</v>
      </c>
      <c r="AC211" s="12">
        <v>0</v>
      </c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  <c r="AO211" s="43"/>
      <c r="AP211" s="43"/>
      <c r="AQ211" s="43"/>
      <c r="AR211" s="43"/>
      <c r="AS211" s="43"/>
      <c r="AT211" s="43"/>
      <c r="AU211" s="43"/>
      <c r="AV211" s="43"/>
    </row>
    <row r="212" ht="15.75" spans="1:48">
      <c r="A212" s="12">
        <v>208</v>
      </c>
      <c r="B212" s="44">
        <v>4384</v>
      </c>
      <c r="C212" s="45" t="s">
        <v>145</v>
      </c>
      <c r="D212" s="46"/>
      <c r="E212" s="47" t="s">
        <v>113</v>
      </c>
      <c r="F212" s="48">
        <v>1.5</v>
      </c>
      <c r="G212" s="38">
        <v>0</v>
      </c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49" t="s">
        <v>103</v>
      </c>
      <c r="Y212" s="50">
        <v>1260</v>
      </c>
      <c r="Z212" s="51">
        <v>1200</v>
      </c>
      <c r="AA212" s="52">
        <f t="shared" ref="AA212:AA233" si="9">IFERROR(Z212/Y212,0)</f>
        <v>0.952380952380952</v>
      </c>
      <c r="AB212" s="12">
        <v>1200</v>
      </c>
      <c r="AC212" s="12">
        <v>0</v>
      </c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  <c r="AO212" s="43"/>
      <c r="AP212" s="43"/>
      <c r="AQ212" s="43"/>
      <c r="AR212" s="43"/>
      <c r="AS212" s="43"/>
      <c r="AT212" s="43"/>
      <c r="AU212" s="43"/>
      <c r="AV212" s="43"/>
    </row>
    <row r="213" ht="15.75" spans="1:48">
      <c r="A213" s="12">
        <v>209</v>
      </c>
      <c r="B213" s="44">
        <v>3353</v>
      </c>
      <c r="C213" s="45" t="s">
        <v>48</v>
      </c>
      <c r="D213" s="46" t="s">
        <v>53</v>
      </c>
      <c r="E213" s="47" t="s">
        <v>50</v>
      </c>
      <c r="F213" s="48">
        <v>6.67</v>
      </c>
      <c r="G213" s="38">
        <v>5.34</v>
      </c>
      <c r="H213" s="39"/>
      <c r="I213" s="39"/>
      <c r="J213" s="39"/>
      <c r="K213" s="39"/>
      <c r="L213" s="39"/>
      <c r="M213" s="39"/>
      <c r="N213" s="39"/>
      <c r="O213" s="39"/>
      <c r="P213" s="39"/>
      <c r="Q213" s="39">
        <v>1.17</v>
      </c>
      <c r="R213" s="39"/>
      <c r="S213" s="39">
        <v>4</v>
      </c>
      <c r="T213" s="39"/>
      <c r="U213" s="39">
        <v>0.17</v>
      </c>
      <c r="V213" s="39"/>
      <c r="W213" s="39"/>
      <c r="X213" s="49" t="s">
        <v>55</v>
      </c>
      <c r="Y213" s="50">
        <v>16108.05</v>
      </c>
      <c r="Z213" s="51">
        <v>16500</v>
      </c>
      <c r="AA213" s="52">
        <f t="shared" si="9"/>
        <v>1.02433255421978</v>
      </c>
      <c r="AB213" s="12">
        <v>16500</v>
      </c>
      <c r="AC213" s="12">
        <v>0</v>
      </c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  <c r="AO213" s="43"/>
      <c r="AP213" s="43"/>
      <c r="AQ213" s="43"/>
      <c r="AR213" s="43"/>
      <c r="AS213" s="43"/>
      <c r="AT213" s="43"/>
      <c r="AU213" s="43"/>
      <c r="AV213" s="43"/>
    </row>
    <row r="214" ht="15.75" spans="1:48">
      <c r="A214" s="12">
        <v>210</v>
      </c>
      <c r="B214" s="44">
        <v>2516</v>
      </c>
      <c r="C214" s="45" t="s">
        <v>189</v>
      </c>
      <c r="D214" s="46" t="s">
        <v>112</v>
      </c>
      <c r="E214" s="47" t="s">
        <v>50</v>
      </c>
      <c r="F214" s="48">
        <v>6.83</v>
      </c>
      <c r="G214" s="38">
        <v>1.17</v>
      </c>
      <c r="H214" s="39"/>
      <c r="I214" s="39"/>
      <c r="J214" s="39"/>
      <c r="K214" s="39">
        <v>0.17</v>
      </c>
      <c r="L214" s="39"/>
      <c r="M214" s="39"/>
      <c r="N214" s="39"/>
      <c r="O214" s="39"/>
      <c r="P214" s="39"/>
      <c r="Q214" s="39">
        <v>0.83</v>
      </c>
      <c r="R214" s="39"/>
      <c r="S214" s="39"/>
      <c r="T214" s="39"/>
      <c r="U214" s="39">
        <v>0.17</v>
      </c>
      <c r="V214" s="39"/>
      <c r="W214" s="39"/>
      <c r="X214" s="49" t="s">
        <v>190</v>
      </c>
      <c r="Y214" s="50">
        <v>6147</v>
      </c>
      <c r="Z214" s="51">
        <v>5760</v>
      </c>
      <c r="AA214" s="52">
        <f t="shared" si="9"/>
        <v>0.937042459736457</v>
      </c>
      <c r="AB214" s="12">
        <v>5739</v>
      </c>
      <c r="AC214" s="12">
        <v>21</v>
      </c>
      <c r="AD214" s="43"/>
      <c r="AE214" s="43"/>
      <c r="AF214" s="43"/>
      <c r="AG214" s="43"/>
      <c r="AH214" s="43"/>
      <c r="AI214" s="43"/>
      <c r="AJ214" s="43"/>
      <c r="AK214" s="19">
        <v>1</v>
      </c>
      <c r="AL214" s="43"/>
      <c r="AM214" s="43"/>
      <c r="AN214" s="19">
        <v>20</v>
      </c>
      <c r="AO214" s="43"/>
      <c r="AP214" s="43"/>
      <c r="AQ214" s="43"/>
      <c r="AR214" s="43"/>
      <c r="AS214" s="43"/>
      <c r="AT214" s="43"/>
      <c r="AU214" s="43"/>
      <c r="AV214" s="43"/>
    </row>
    <row r="215" ht="15.75" spans="1:48">
      <c r="A215" s="12">
        <v>211</v>
      </c>
      <c r="B215" s="44">
        <v>2284</v>
      </c>
      <c r="C215" s="45" t="s">
        <v>59</v>
      </c>
      <c r="D215" s="46">
        <v>11</v>
      </c>
      <c r="E215" s="47" t="s">
        <v>50</v>
      </c>
      <c r="F215" s="48">
        <v>4.5</v>
      </c>
      <c r="G215" s="38">
        <v>7.5</v>
      </c>
      <c r="H215" s="39"/>
      <c r="I215" s="39"/>
      <c r="J215" s="39"/>
      <c r="K215" s="39"/>
      <c r="L215" s="39"/>
      <c r="M215" s="39"/>
      <c r="N215" s="39"/>
      <c r="O215" s="39"/>
      <c r="P215" s="39"/>
      <c r="Q215" s="39">
        <v>1.17</v>
      </c>
      <c r="R215" s="39"/>
      <c r="S215" s="39">
        <v>6.33</v>
      </c>
      <c r="T215" s="39"/>
      <c r="U215" s="39"/>
      <c r="V215" s="39"/>
      <c r="W215" s="39"/>
      <c r="X215" s="49" t="s">
        <v>69</v>
      </c>
      <c r="Y215" s="50">
        <v>2295</v>
      </c>
      <c r="Z215" s="51">
        <v>2321</v>
      </c>
      <c r="AA215" s="52">
        <f t="shared" si="9"/>
        <v>1.01132897603486</v>
      </c>
      <c r="AB215" s="12">
        <v>2321</v>
      </c>
      <c r="AC215" s="12">
        <v>0</v>
      </c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  <c r="AO215" s="43"/>
      <c r="AP215" s="43"/>
      <c r="AQ215" s="43"/>
      <c r="AR215" s="43"/>
      <c r="AS215" s="43"/>
      <c r="AT215" s="43"/>
      <c r="AU215" s="43"/>
      <c r="AV215" s="43"/>
    </row>
    <row r="216" ht="15.75" spans="1:48">
      <c r="A216" s="12">
        <v>212</v>
      </c>
      <c r="B216" s="44">
        <v>4031</v>
      </c>
      <c r="C216" s="45" t="s">
        <v>64</v>
      </c>
      <c r="D216" s="46"/>
      <c r="E216" s="47" t="s">
        <v>50</v>
      </c>
      <c r="F216" s="48">
        <v>10.83</v>
      </c>
      <c r="G216" s="38">
        <v>1.17</v>
      </c>
      <c r="H216" s="39"/>
      <c r="I216" s="39"/>
      <c r="J216" s="39"/>
      <c r="K216" s="39"/>
      <c r="L216" s="39"/>
      <c r="M216" s="39"/>
      <c r="N216" s="39"/>
      <c r="O216" s="39"/>
      <c r="P216" s="39"/>
      <c r="Q216" s="39">
        <v>1.17</v>
      </c>
      <c r="R216" s="39"/>
      <c r="S216" s="39"/>
      <c r="T216" s="39"/>
      <c r="U216" s="39"/>
      <c r="V216" s="39"/>
      <c r="W216" s="39"/>
      <c r="X216" s="49">
        <v>2168</v>
      </c>
      <c r="Y216" s="50">
        <v>6498</v>
      </c>
      <c r="Z216" s="51">
        <v>6500</v>
      </c>
      <c r="AA216" s="52">
        <f t="shared" si="9"/>
        <v>1.00030778701139</v>
      </c>
      <c r="AB216" s="12">
        <v>6500</v>
      </c>
      <c r="AC216" s="12">
        <v>0</v>
      </c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  <c r="AO216" s="43"/>
      <c r="AP216" s="43"/>
      <c r="AQ216" s="43"/>
      <c r="AR216" s="43"/>
      <c r="AS216" s="43"/>
      <c r="AT216" s="43"/>
      <c r="AU216" s="43"/>
      <c r="AV216" s="43"/>
    </row>
    <row r="217" ht="15.75" spans="1:48">
      <c r="A217" s="12">
        <v>213</v>
      </c>
      <c r="B217" s="44">
        <v>3187</v>
      </c>
      <c r="C217" s="45" t="s">
        <v>52</v>
      </c>
      <c r="D217" s="46"/>
      <c r="E217" s="47" t="s">
        <v>50</v>
      </c>
      <c r="F217" s="48">
        <v>10.67</v>
      </c>
      <c r="G217" s="38">
        <v>1.34</v>
      </c>
      <c r="H217" s="39"/>
      <c r="I217" s="39"/>
      <c r="J217" s="39"/>
      <c r="K217" s="39"/>
      <c r="L217" s="39"/>
      <c r="M217" s="39"/>
      <c r="N217" s="39"/>
      <c r="O217" s="39"/>
      <c r="P217" s="39"/>
      <c r="Q217" s="39">
        <v>1.17</v>
      </c>
      <c r="R217" s="39"/>
      <c r="S217" s="39"/>
      <c r="T217" s="39"/>
      <c r="U217" s="39">
        <v>0.17</v>
      </c>
      <c r="V217" s="39"/>
      <c r="W217" s="39"/>
      <c r="X217" s="49">
        <v>9116</v>
      </c>
      <c r="Y217" s="50">
        <v>3201</v>
      </c>
      <c r="Z217" s="51">
        <v>3200</v>
      </c>
      <c r="AA217" s="52">
        <f t="shared" si="9"/>
        <v>0.999687597625742</v>
      </c>
      <c r="AB217" s="12">
        <v>3200</v>
      </c>
      <c r="AC217" s="12">
        <v>0</v>
      </c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  <c r="AO217" s="43"/>
      <c r="AP217" s="43"/>
      <c r="AQ217" s="43"/>
      <c r="AR217" s="43"/>
      <c r="AS217" s="43"/>
      <c r="AT217" s="43"/>
      <c r="AU217" s="43"/>
      <c r="AV217" s="43"/>
    </row>
    <row r="218" ht="15.75" spans="1:48">
      <c r="A218" s="12">
        <v>214</v>
      </c>
      <c r="B218" s="44">
        <v>3526</v>
      </c>
      <c r="C218" s="45" t="s">
        <v>65</v>
      </c>
      <c r="D218" s="46"/>
      <c r="E218" s="47" t="s">
        <v>50</v>
      </c>
      <c r="F218" s="48">
        <v>10.83</v>
      </c>
      <c r="G218" s="38">
        <v>1.17</v>
      </c>
      <c r="H218" s="39"/>
      <c r="I218" s="39"/>
      <c r="J218" s="39"/>
      <c r="K218" s="39"/>
      <c r="L218" s="39"/>
      <c r="M218" s="39"/>
      <c r="N218" s="39"/>
      <c r="O218" s="39"/>
      <c r="P218" s="39"/>
      <c r="Q218" s="39">
        <v>1.17</v>
      </c>
      <c r="R218" s="39"/>
      <c r="S218" s="39"/>
      <c r="T218" s="39"/>
      <c r="U218" s="39"/>
      <c r="V218" s="39"/>
      <c r="W218" s="39"/>
      <c r="X218" s="49" t="s">
        <v>191</v>
      </c>
      <c r="Y218" s="50">
        <v>3628.05</v>
      </c>
      <c r="Z218" s="51">
        <v>3400</v>
      </c>
      <c r="AA218" s="52">
        <f t="shared" si="9"/>
        <v>0.937142542136961</v>
      </c>
      <c r="AB218" s="12">
        <v>3400</v>
      </c>
      <c r="AC218" s="12">
        <v>0</v>
      </c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3"/>
      <c r="AP218" s="43"/>
      <c r="AQ218" s="43"/>
      <c r="AR218" s="43"/>
      <c r="AS218" s="43"/>
      <c r="AT218" s="43"/>
      <c r="AU218" s="43"/>
      <c r="AV218" s="43"/>
    </row>
    <row r="219" ht="15.75" spans="1:48">
      <c r="A219" s="12">
        <v>215</v>
      </c>
      <c r="B219" s="44">
        <v>3352</v>
      </c>
      <c r="C219" s="45" t="s">
        <v>66</v>
      </c>
      <c r="D219" s="46"/>
      <c r="E219" s="47" t="s">
        <v>50</v>
      </c>
      <c r="F219" s="48">
        <v>10.83</v>
      </c>
      <c r="G219" s="38">
        <v>1.17</v>
      </c>
      <c r="H219" s="39"/>
      <c r="I219" s="39"/>
      <c r="J219" s="39"/>
      <c r="K219" s="39"/>
      <c r="L219" s="39"/>
      <c r="M219" s="39"/>
      <c r="N219" s="39"/>
      <c r="O219" s="39"/>
      <c r="P219" s="39"/>
      <c r="Q219" s="39">
        <v>1.17</v>
      </c>
      <c r="R219" s="39"/>
      <c r="S219" s="39"/>
      <c r="T219" s="39"/>
      <c r="U219" s="39"/>
      <c r="V219" s="39"/>
      <c r="W219" s="39"/>
      <c r="X219" s="49" t="s">
        <v>67</v>
      </c>
      <c r="Y219" s="50">
        <v>2707.5</v>
      </c>
      <c r="Z219" s="51">
        <v>2600</v>
      </c>
      <c r="AA219" s="52">
        <f t="shared" si="9"/>
        <v>0.960295475530933</v>
      </c>
      <c r="AB219" s="12">
        <v>2600</v>
      </c>
      <c r="AC219" s="12">
        <v>0</v>
      </c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  <c r="AO219" s="43"/>
      <c r="AP219" s="43"/>
      <c r="AQ219" s="43"/>
      <c r="AR219" s="43"/>
      <c r="AS219" s="43"/>
      <c r="AT219" s="43"/>
      <c r="AU219" s="43"/>
      <c r="AV219" s="43"/>
    </row>
    <row r="220" ht="15.75" spans="1:48">
      <c r="A220" s="12">
        <v>216</v>
      </c>
      <c r="B220" s="44" t="s">
        <v>205</v>
      </c>
      <c r="C220" s="45" t="e">
        <v>#N/A</v>
      </c>
      <c r="D220" s="46">
        <v>1</v>
      </c>
      <c r="E220" s="47" t="s">
        <v>50</v>
      </c>
      <c r="F220" s="48">
        <v>7</v>
      </c>
      <c r="G220" s="38">
        <v>1</v>
      </c>
      <c r="H220" s="39"/>
      <c r="I220" s="39"/>
      <c r="J220" s="39"/>
      <c r="K220" s="39"/>
      <c r="L220" s="39"/>
      <c r="M220" s="39"/>
      <c r="N220" s="39"/>
      <c r="O220" s="39"/>
      <c r="P220" s="39"/>
      <c r="Q220" s="39">
        <v>0.83</v>
      </c>
      <c r="R220" s="39"/>
      <c r="S220" s="39"/>
      <c r="T220" s="39"/>
      <c r="U220" s="39">
        <v>0.17</v>
      </c>
      <c r="V220" s="39"/>
      <c r="W220" s="39"/>
      <c r="X220" s="49" t="s">
        <v>206</v>
      </c>
      <c r="Y220" s="50">
        <v>2345</v>
      </c>
      <c r="Z220" s="51">
        <v>2280</v>
      </c>
      <c r="AA220" s="52">
        <f t="shared" si="9"/>
        <v>0.97228144989339</v>
      </c>
      <c r="AB220" s="12">
        <v>2280</v>
      </c>
      <c r="AC220" s="12">
        <v>0</v>
      </c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  <c r="AO220" s="43"/>
      <c r="AP220" s="43"/>
      <c r="AQ220" s="43"/>
      <c r="AR220" s="43"/>
      <c r="AS220" s="43"/>
      <c r="AT220" s="43"/>
      <c r="AU220" s="43"/>
      <c r="AV220" s="43"/>
    </row>
    <row r="221" ht="15.75" spans="1:48">
      <c r="A221" s="12">
        <v>217</v>
      </c>
      <c r="B221" s="44">
        <v>698</v>
      </c>
      <c r="C221" s="45" t="s">
        <v>68</v>
      </c>
      <c r="D221" s="46">
        <v>19</v>
      </c>
      <c r="E221" s="47" t="s">
        <v>50</v>
      </c>
      <c r="F221" s="48">
        <v>2.17</v>
      </c>
      <c r="G221" s="38">
        <v>0</v>
      </c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49">
        <v>125</v>
      </c>
      <c r="Y221" s="50">
        <v>607.6</v>
      </c>
      <c r="Z221" s="51">
        <v>611</v>
      </c>
      <c r="AA221" s="52">
        <f t="shared" si="9"/>
        <v>1.00559578670178</v>
      </c>
      <c r="AB221" s="12">
        <v>611</v>
      </c>
      <c r="AC221" s="12">
        <v>0</v>
      </c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  <c r="AQ221" s="43"/>
      <c r="AR221" s="43"/>
      <c r="AS221" s="43"/>
      <c r="AT221" s="43"/>
      <c r="AU221" s="43"/>
      <c r="AV221" s="43"/>
    </row>
    <row r="222" ht="15.75" spans="1:48">
      <c r="A222" s="12">
        <v>218</v>
      </c>
      <c r="B222" s="44">
        <v>698</v>
      </c>
      <c r="C222" s="45" t="s">
        <v>68</v>
      </c>
      <c r="D222" s="46">
        <v>19</v>
      </c>
      <c r="E222" s="47" t="s">
        <v>50</v>
      </c>
      <c r="F222" s="48">
        <v>8.17</v>
      </c>
      <c r="G222" s="38">
        <v>1.67</v>
      </c>
      <c r="H222" s="39"/>
      <c r="I222" s="39"/>
      <c r="J222" s="39"/>
      <c r="K222" s="39">
        <v>0.33</v>
      </c>
      <c r="L222" s="39"/>
      <c r="M222" s="39"/>
      <c r="N222" s="39"/>
      <c r="O222" s="39"/>
      <c r="P222" s="39"/>
      <c r="Q222" s="39">
        <v>1.17</v>
      </c>
      <c r="R222" s="39"/>
      <c r="S222" s="39"/>
      <c r="T222" s="39"/>
      <c r="U222" s="39">
        <v>0.17</v>
      </c>
      <c r="V222" s="39"/>
      <c r="W222" s="39"/>
      <c r="X222" s="49">
        <v>8014</v>
      </c>
      <c r="Y222" s="50">
        <v>4493.5</v>
      </c>
      <c r="Z222" s="51">
        <v>4320</v>
      </c>
      <c r="AA222" s="52">
        <f t="shared" si="9"/>
        <v>0.961388672526983</v>
      </c>
      <c r="AB222" s="12">
        <v>4320</v>
      </c>
      <c r="AC222" s="12">
        <v>0</v>
      </c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  <c r="AQ222" s="43"/>
      <c r="AR222" s="43"/>
      <c r="AS222" s="43"/>
      <c r="AT222" s="43"/>
      <c r="AU222" s="43"/>
      <c r="AV222" s="43"/>
    </row>
    <row r="223" ht="15.75" spans="1:48">
      <c r="A223" s="12">
        <v>219</v>
      </c>
      <c r="B223" s="44">
        <v>834</v>
      </c>
      <c r="C223" s="45" t="s">
        <v>61</v>
      </c>
      <c r="D223" s="46"/>
      <c r="E223" s="47" t="s">
        <v>50</v>
      </c>
      <c r="F223" s="48">
        <v>0.585</v>
      </c>
      <c r="G223" s="38">
        <v>0</v>
      </c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49" t="s">
        <v>192</v>
      </c>
      <c r="Y223" s="50">
        <v>105.3</v>
      </c>
      <c r="Z223" s="51">
        <v>100</v>
      </c>
      <c r="AA223" s="52">
        <f t="shared" si="9"/>
        <v>0.949667616334283</v>
      </c>
      <c r="AB223" s="12">
        <v>100</v>
      </c>
      <c r="AC223" s="12">
        <v>0</v>
      </c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  <c r="AQ223" s="43"/>
      <c r="AR223" s="43"/>
      <c r="AS223" s="43"/>
      <c r="AT223" s="43"/>
      <c r="AU223" s="43"/>
      <c r="AV223" s="43"/>
    </row>
    <row r="224" ht="15.75" spans="1:48">
      <c r="A224" s="12">
        <v>220</v>
      </c>
      <c r="B224" s="44">
        <v>834</v>
      </c>
      <c r="C224" s="45" t="s">
        <v>61</v>
      </c>
      <c r="D224" s="46"/>
      <c r="E224" s="47" t="s">
        <v>50</v>
      </c>
      <c r="F224" s="48">
        <v>0.585</v>
      </c>
      <c r="G224" s="38">
        <v>0</v>
      </c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49" t="s">
        <v>193</v>
      </c>
      <c r="Y224" s="50">
        <v>105.3</v>
      </c>
      <c r="Z224" s="51">
        <v>100</v>
      </c>
      <c r="AA224" s="52">
        <f t="shared" si="9"/>
        <v>0.949667616334283</v>
      </c>
      <c r="AB224" s="12">
        <v>100</v>
      </c>
      <c r="AC224" s="12">
        <v>0</v>
      </c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  <c r="AQ224" s="43"/>
      <c r="AR224" s="43"/>
      <c r="AS224" s="43"/>
      <c r="AT224" s="43"/>
      <c r="AU224" s="43"/>
      <c r="AV224" s="43"/>
    </row>
    <row r="225" ht="15.75" spans="1:48">
      <c r="A225" s="12">
        <v>221</v>
      </c>
      <c r="B225" s="44">
        <v>834</v>
      </c>
      <c r="C225" s="45" t="s">
        <v>61</v>
      </c>
      <c r="D225" s="46"/>
      <c r="E225" s="47" t="s">
        <v>50</v>
      </c>
      <c r="F225" s="48">
        <v>4.085</v>
      </c>
      <c r="G225" s="38">
        <v>1.17</v>
      </c>
      <c r="H225" s="39"/>
      <c r="I225" s="39"/>
      <c r="J225" s="39"/>
      <c r="K225" s="39"/>
      <c r="L225" s="39"/>
      <c r="M225" s="39"/>
      <c r="N225" s="39"/>
      <c r="O225" s="39"/>
      <c r="P225" s="39"/>
      <c r="Q225" s="39">
        <v>1.17</v>
      </c>
      <c r="R225" s="39"/>
      <c r="S225" s="39"/>
      <c r="T225" s="39"/>
      <c r="U225" s="39"/>
      <c r="V225" s="39"/>
      <c r="W225" s="39"/>
      <c r="X225" s="49" t="s">
        <v>63</v>
      </c>
      <c r="Y225" s="50">
        <v>735.3</v>
      </c>
      <c r="Z225" s="51">
        <v>750</v>
      </c>
      <c r="AA225" s="52">
        <f t="shared" si="9"/>
        <v>1.01999184006528</v>
      </c>
      <c r="AB225" s="12">
        <v>750</v>
      </c>
      <c r="AC225" s="12">
        <v>0</v>
      </c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  <c r="AQ225" s="43"/>
      <c r="AR225" s="43"/>
      <c r="AS225" s="43"/>
      <c r="AT225" s="43"/>
      <c r="AU225" s="43"/>
      <c r="AV225" s="43"/>
    </row>
    <row r="226" ht="15.75" spans="1:48">
      <c r="A226" s="12">
        <v>222</v>
      </c>
      <c r="B226" s="44">
        <v>834</v>
      </c>
      <c r="C226" s="45" t="s">
        <v>61</v>
      </c>
      <c r="D226" s="46"/>
      <c r="E226" s="47" t="s">
        <v>50</v>
      </c>
      <c r="F226" s="48">
        <v>4.085</v>
      </c>
      <c r="G226" s="38">
        <v>1.5</v>
      </c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>
        <v>1.5</v>
      </c>
      <c r="T226" s="39"/>
      <c r="U226" s="39"/>
      <c r="V226" s="39"/>
      <c r="W226" s="39"/>
      <c r="X226" s="49" t="s">
        <v>62</v>
      </c>
      <c r="Y226" s="50">
        <v>735.3</v>
      </c>
      <c r="Z226" s="51">
        <v>750</v>
      </c>
      <c r="AA226" s="52">
        <f t="shared" si="9"/>
        <v>1.01999184006528</v>
      </c>
      <c r="AB226" s="12">
        <v>750</v>
      </c>
      <c r="AC226" s="12">
        <v>0</v>
      </c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  <c r="AQ226" s="43"/>
      <c r="AR226" s="43"/>
      <c r="AS226" s="43"/>
      <c r="AT226" s="43"/>
      <c r="AU226" s="43"/>
      <c r="AV226" s="43"/>
    </row>
    <row r="227" ht="15.75" spans="1:48">
      <c r="A227" s="12">
        <v>223</v>
      </c>
      <c r="B227" s="44">
        <v>845</v>
      </c>
      <c r="C227" s="45" t="s">
        <v>70</v>
      </c>
      <c r="D227" s="46"/>
      <c r="E227" s="47" t="s">
        <v>50</v>
      </c>
      <c r="F227" s="48">
        <v>3.335</v>
      </c>
      <c r="G227" s="38">
        <v>0</v>
      </c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49" t="s">
        <v>63</v>
      </c>
      <c r="Y227" s="50">
        <v>600.3</v>
      </c>
      <c r="Z227" s="51">
        <v>600</v>
      </c>
      <c r="AA227" s="52">
        <f t="shared" si="9"/>
        <v>0.999500249875063</v>
      </c>
      <c r="AB227" s="12">
        <v>600</v>
      </c>
      <c r="AC227" s="12">
        <v>0</v>
      </c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  <c r="AQ227" s="43"/>
      <c r="AR227" s="43"/>
      <c r="AS227" s="43"/>
      <c r="AT227" s="43"/>
      <c r="AU227" s="43"/>
      <c r="AV227" s="43"/>
    </row>
    <row r="228" ht="15.75" spans="1:48">
      <c r="A228" s="12">
        <v>224</v>
      </c>
      <c r="B228" s="44">
        <v>845</v>
      </c>
      <c r="C228" s="45" t="s">
        <v>70</v>
      </c>
      <c r="D228" s="46"/>
      <c r="E228" s="47" t="s">
        <v>50</v>
      </c>
      <c r="F228" s="48">
        <v>3.335</v>
      </c>
      <c r="G228" s="38">
        <v>0</v>
      </c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49" t="s">
        <v>62</v>
      </c>
      <c r="Y228" s="50">
        <v>600.3</v>
      </c>
      <c r="Z228" s="51">
        <v>600</v>
      </c>
      <c r="AA228" s="52">
        <f t="shared" si="9"/>
        <v>0.999500249875063</v>
      </c>
      <c r="AB228" s="12">
        <v>600</v>
      </c>
      <c r="AC228" s="12">
        <v>0</v>
      </c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  <c r="AQ228" s="43"/>
      <c r="AR228" s="43"/>
      <c r="AS228" s="43"/>
      <c r="AT228" s="43"/>
      <c r="AU228" s="43"/>
      <c r="AV228" s="43"/>
    </row>
    <row r="229" ht="15.75" spans="1:48">
      <c r="A229" s="12">
        <v>225</v>
      </c>
      <c r="B229" s="44">
        <v>845</v>
      </c>
      <c r="C229" s="45" t="s">
        <v>70</v>
      </c>
      <c r="D229" s="46">
        <v>12</v>
      </c>
      <c r="E229" s="47" t="s">
        <v>50</v>
      </c>
      <c r="F229" s="48">
        <v>3.17</v>
      </c>
      <c r="G229" s="38">
        <v>2.18</v>
      </c>
      <c r="H229" s="39"/>
      <c r="I229" s="39"/>
      <c r="J229" s="39"/>
      <c r="K229" s="39"/>
      <c r="L229" s="39"/>
      <c r="M229" s="39"/>
      <c r="N229" s="39"/>
      <c r="O229" s="39"/>
      <c r="P229" s="39"/>
      <c r="Q229" s="39">
        <v>1.17</v>
      </c>
      <c r="R229" s="39"/>
      <c r="S229" s="39">
        <v>0.67</v>
      </c>
      <c r="T229" s="39">
        <v>0.17</v>
      </c>
      <c r="U229" s="39">
        <v>0.17</v>
      </c>
      <c r="V229" s="39"/>
      <c r="W229" s="39"/>
      <c r="X229" s="49" t="s">
        <v>194</v>
      </c>
      <c r="Y229" s="50">
        <v>1061.95</v>
      </c>
      <c r="Z229" s="51">
        <v>1080</v>
      </c>
      <c r="AA229" s="52">
        <f t="shared" si="9"/>
        <v>1.01699703375865</v>
      </c>
      <c r="AB229" s="12">
        <v>987</v>
      </c>
      <c r="AC229" s="12">
        <v>93</v>
      </c>
      <c r="AD229" s="19">
        <v>93</v>
      </c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  <c r="AQ229" s="43"/>
      <c r="AR229" s="43"/>
      <c r="AS229" s="43"/>
      <c r="AT229" s="43"/>
      <c r="AU229" s="43"/>
      <c r="AV229" s="43"/>
    </row>
    <row r="230" ht="15.75" spans="1:48">
      <c r="A230" s="12">
        <v>226</v>
      </c>
      <c r="B230" s="44">
        <v>4173</v>
      </c>
      <c r="C230" s="45" t="s">
        <v>75</v>
      </c>
      <c r="D230" s="46" t="s">
        <v>207</v>
      </c>
      <c r="E230" s="47" t="s">
        <v>50</v>
      </c>
      <c r="F230" s="48">
        <v>10.67</v>
      </c>
      <c r="G230" s="38">
        <v>1.34</v>
      </c>
      <c r="H230" s="39"/>
      <c r="I230" s="39"/>
      <c r="J230" s="39"/>
      <c r="K230" s="39"/>
      <c r="L230" s="39"/>
      <c r="M230" s="39"/>
      <c r="N230" s="39"/>
      <c r="O230" s="39"/>
      <c r="P230" s="39"/>
      <c r="Q230" s="39">
        <v>1.17</v>
      </c>
      <c r="R230" s="39"/>
      <c r="S230" s="39"/>
      <c r="T230" s="39"/>
      <c r="U230" s="39">
        <v>0.17</v>
      </c>
      <c r="V230" s="39"/>
      <c r="W230" s="39"/>
      <c r="X230" s="49" t="s">
        <v>79</v>
      </c>
      <c r="Y230" s="50">
        <v>71062.2</v>
      </c>
      <c r="Z230" s="51">
        <v>60000</v>
      </c>
      <c r="AA230" s="52">
        <f t="shared" si="9"/>
        <v>0.844330741237958</v>
      </c>
      <c r="AB230" s="12">
        <v>59936</v>
      </c>
      <c r="AC230" s="12">
        <v>64</v>
      </c>
      <c r="AD230" s="43"/>
      <c r="AE230" s="43"/>
      <c r="AF230" s="43"/>
      <c r="AG230" s="19">
        <v>64</v>
      </c>
      <c r="AH230" s="43"/>
      <c r="AI230" s="43"/>
      <c r="AJ230" s="43"/>
      <c r="AK230" s="43"/>
      <c r="AL230" s="43"/>
      <c r="AM230" s="43"/>
      <c r="AN230" s="43"/>
      <c r="AO230" s="43"/>
      <c r="AP230" s="43"/>
      <c r="AQ230" s="43"/>
      <c r="AR230" s="43"/>
      <c r="AS230" s="43"/>
      <c r="AT230" s="43"/>
      <c r="AU230" s="43"/>
      <c r="AV230" s="43"/>
    </row>
    <row r="231" ht="15.75" spans="1:48">
      <c r="A231" s="12">
        <v>227</v>
      </c>
      <c r="B231" s="44">
        <v>4173</v>
      </c>
      <c r="C231" s="45" t="s">
        <v>75</v>
      </c>
      <c r="D231" s="46" t="s">
        <v>78</v>
      </c>
      <c r="E231" s="47" t="s">
        <v>50</v>
      </c>
      <c r="F231" s="48">
        <v>10</v>
      </c>
      <c r="G231" s="38">
        <v>2.01</v>
      </c>
      <c r="H231" s="39"/>
      <c r="I231" s="39"/>
      <c r="J231" s="39"/>
      <c r="K231" s="39">
        <v>0.67</v>
      </c>
      <c r="L231" s="39"/>
      <c r="M231" s="39"/>
      <c r="N231" s="39"/>
      <c r="O231" s="39"/>
      <c r="P231" s="39"/>
      <c r="Q231" s="39">
        <v>1.17</v>
      </c>
      <c r="R231" s="39"/>
      <c r="S231" s="39"/>
      <c r="T231" s="39"/>
      <c r="U231" s="39">
        <v>0.17</v>
      </c>
      <c r="V231" s="39"/>
      <c r="W231" s="39"/>
      <c r="X231" s="49" t="s">
        <v>79</v>
      </c>
      <c r="Y231" s="50">
        <v>66600</v>
      </c>
      <c r="Z231" s="51">
        <v>55888</v>
      </c>
      <c r="AA231" s="52">
        <f t="shared" si="9"/>
        <v>0.839159159159159</v>
      </c>
      <c r="AB231" s="12">
        <v>55776</v>
      </c>
      <c r="AC231" s="12">
        <v>112</v>
      </c>
      <c r="AD231" s="43"/>
      <c r="AE231" s="43"/>
      <c r="AF231" s="43"/>
      <c r="AG231" s="19">
        <v>112</v>
      </c>
      <c r="AH231" s="43"/>
      <c r="AI231" s="43"/>
      <c r="AJ231" s="43"/>
      <c r="AK231" s="43"/>
      <c r="AL231" s="43"/>
      <c r="AM231" s="43"/>
      <c r="AN231" s="43"/>
      <c r="AO231" s="43"/>
      <c r="AP231" s="43"/>
      <c r="AQ231" s="43"/>
      <c r="AR231" s="43"/>
      <c r="AS231" s="43"/>
      <c r="AT231" s="43"/>
      <c r="AU231" s="43"/>
      <c r="AV231" s="43"/>
    </row>
    <row r="232" ht="15.75" spans="1:48">
      <c r="A232" s="12">
        <v>228</v>
      </c>
      <c r="B232" s="44">
        <v>4173</v>
      </c>
      <c r="C232" s="45" t="s">
        <v>75</v>
      </c>
      <c r="D232" s="46" t="s">
        <v>76</v>
      </c>
      <c r="E232" s="47" t="s">
        <v>50</v>
      </c>
      <c r="F232" s="48">
        <v>10.33</v>
      </c>
      <c r="G232" s="38">
        <v>1.67</v>
      </c>
      <c r="H232" s="39"/>
      <c r="I232" s="39"/>
      <c r="J232" s="39"/>
      <c r="K232" s="39">
        <v>0.33</v>
      </c>
      <c r="L232" s="39"/>
      <c r="M232" s="39"/>
      <c r="N232" s="39"/>
      <c r="O232" s="39"/>
      <c r="P232" s="39"/>
      <c r="Q232" s="39">
        <v>1.17</v>
      </c>
      <c r="R232" s="39"/>
      <c r="S232" s="39"/>
      <c r="T232" s="39"/>
      <c r="U232" s="39">
        <v>0.17</v>
      </c>
      <c r="V232" s="39"/>
      <c r="W232" s="39"/>
      <c r="X232" s="49" t="s">
        <v>77</v>
      </c>
      <c r="Y232" s="50">
        <v>61980</v>
      </c>
      <c r="Z232" s="51">
        <v>56000</v>
      </c>
      <c r="AA232" s="52">
        <f t="shared" si="9"/>
        <v>0.90351726363343</v>
      </c>
      <c r="AB232" s="12">
        <v>55856</v>
      </c>
      <c r="AC232" s="12">
        <v>144</v>
      </c>
      <c r="AD232" s="43"/>
      <c r="AE232" s="43"/>
      <c r="AF232" s="43"/>
      <c r="AG232" s="19">
        <v>144</v>
      </c>
      <c r="AH232" s="43"/>
      <c r="AI232" s="43"/>
      <c r="AJ232" s="43"/>
      <c r="AK232" s="43"/>
      <c r="AL232" s="43"/>
      <c r="AM232" s="43"/>
      <c r="AN232" s="43"/>
      <c r="AO232" s="43"/>
      <c r="AP232" s="43"/>
      <c r="AQ232" s="43"/>
      <c r="AR232" s="43"/>
      <c r="AS232" s="43"/>
      <c r="AT232" s="43"/>
      <c r="AU232" s="43"/>
      <c r="AV232" s="43"/>
    </row>
    <row r="233" ht="15.75" spans="1:48">
      <c r="A233" s="12">
        <v>229</v>
      </c>
      <c r="B233" s="44">
        <v>4344</v>
      </c>
      <c r="C233" s="45" t="s">
        <v>85</v>
      </c>
      <c r="D233" s="46" t="s">
        <v>138</v>
      </c>
      <c r="E233" s="47" t="s">
        <v>50</v>
      </c>
      <c r="F233" s="48">
        <v>10.5</v>
      </c>
      <c r="G233" s="38">
        <v>1.51</v>
      </c>
      <c r="H233" s="39"/>
      <c r="I233" s="39"/>
      <c r="J233" s="39"/>
      <c r="K233" s="39">
        <v>0.17</v>
      </c>
      <c r="L233" s="39"/>
      <c r="M233" s="39"/>
      <c r="N233" s="39"/>
      <c r="O233" s="39"/>
      <c r="P233" s="39"/>
      <c r="Q233" s="39">
        <v>1.17</v>
      </c>
      <c r="R233" s="39"/>
      <c r="S233" s="39"/>
      <c r="T233" s="39"/>
      <c r="U233" s="39">
        <v>0.17</v>
      </c>
      <c r="V233" s="39"/>
      <c r="W233" s="39"/>
      <c r="X233" s="49" t="s">
        <v>208</v>
      </c>
      <c r="Y233" s="50">
        <v>16012.5</v>
      </c>
      <c r="Z233" s="51">
        <v>14418</v>
      </c>
      <c r="AA233" s="52">
        <f t="shared" si="9"/>
        <v>0.900421545667447</v>
      </c>
      <c r="AB233" s="12">
        <v>14400</v>
      </c>
      <c r="AC233" s="12">
        <v>18</v>
      </c>
      <c r="AD233" s="43"/>
      <c r="AE233" s="43"/>
      <c r="AF233" s="43"/>
      <c r="AG233" s="43"/>
      <c r="AH233" s="19">
        <v>18</v>
      </c>
      <c r="AI233" s="43"/>
      <c r="AJ233" s="43"/>
      <c r="AK233" s="43"/>
      <c r="AL233" s="43"/>
      <c r="AM233" s="43"/>
      <c r="AN233" s="43"/>
      <c r="AO233" s="43"/>
      <c r="AP233" s="43"/>
      <c r="AQ233" s="43"/>
      <c r="AR233" s="43"/>
      <c r="AS233" s="43"/>
      <c r="AT233" s="43"/>
      <c r="AU233" s="43"/>
      <c r="AV233" s="43"/>
    </row>
    <row r="234" ht="15.75" spans="1:48">
      <c r="A234" s="12">
        <v>230</v>
      </c>
      <c r="B234" s="57">
        <v>2959</v>
      </c>
      <c r="C234" s="58" t="s">
        <v>86</v>
      </c>
      <c r="D234" s="59"/>
      <c r="E234" s="47" t="s">
        <v>50</v>
      </c>
      <c r="F234" s="48">
        <v>10.83</v>
      </c>
      <c r="G234" s="38">
        <v>1.17</v>
      </c>
      <c r="H234" s="39"/>
      <c r="I234" s="39"/>
      <c r="J234" s="39"/>
      <c r="K234" s="39"/>
      <c r="L234" s="39"/>
      <c r="M234" s="39"/>
      <c r="N234" s="39"/>
      <c r="O234" s="39"/>
      <c r="P234" s="39"/>
      <c r="Q234" s="39">
        <v>1.17</v>
      </c>
      <c r="R234" s="39"/>
      <c r="S234" s="39"/>
      <c r="T234" s="39"/>
      <c r="U234" s="39"/>
      <c r="V234" s="39"/>
      <c r="W234" s="39"/>
      <c r="X234" s="49" t="s">
        <v>60</v>
      </c>
      <c r="Y234" s="50">
        <v>0</v>
      </c>
      <c r="Z234" s="51"/>
      <c r="AA234" s="52">
        <f>IFERROR(Z234/Y234,0)</f>
        <v>0</v>
      </c>
      <c r="AB234" s="12">
        <v>0</v>
      </c>
      <c r="AC234" s="12">
        <v>0</v>
      </c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  <c r="AQ234" s="43"/>
      <c r="AR234" s="43"/>
      <c r="AS234" s="43"/>
      <c r="AT234" s="43"/>
      <c r="AU234" s="43"/>
      <c r="AV234" s="43"/>
    </row>
    <row r="235" ht="15.75" spans="1:48">
      <c r="A235" s="12">
        <v>231</v>
      </c>
      <c r="B235" s="44">
        <v>4478</v>
      </c>
      <c r="C235" s="45" t="s">
        <v>128</v>
      </c>
      <c r="D235" s="46" t="s">
        <v>129</v>
      </c>
      <c r="E235" s="47" t="s">
        <v>209</v>
      </c>
      <c r="F235" s="48">
        <v>1.67</v>
      </c>
      <c r="G235" s="38">
        <v>2.83</v>
      </c>
      <c r="H235" s="39"/>
      <c r="I235" s="39"/>
      <c r="J235" s="39"/>
      <c r="K235" s="39">
        <v>1.83</v>
      </c>
      <c r="L235" s="39"/>
      <c r="M235" s="39"/>
      <c r="N235" s="39"/>
      <c r="O235" s="39"/>
      <c r="P235" s="39"/>
      <c r="Q235" s="39"/>
      <c r="R235" s="39"/>
      <c r="S235" s="39">
        <v>0.5</v>
      </c>
      <c r="T235" s="39"/>
      <c r="U235" s="39">
        <v>0.5</v>
      </c>
      <c r="V235" s="39"/>
      <c r="W235" s="39"/>
      <c r="X235" s="49" t="s">
        <v>136</v>
      </c>
      <c r="Y235" s="50">
        <v>3206.4</v>
      </c>
      <c r="Z235" s="51">
        <v>2752</v>
      </c>
      <c r="AA235" s="52">
        <f t="shared" ref="AA235:AA276" si="10">IFERROR(Z235/Y235,0)</f>
        <v>0.858283433133733</v>
      </c>
      <c r="AB235" s="12">
        <v>2752</v>
      </c>
      <c r="AC235" s="12">
        <v>0</v>
      </c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  <c r="AQ235" s="43"/>
      <c r="AR235" s="43"/>
      <c r="AS235" s="43"/>
      <c r="AT235" s="43"/>
      <c r="AU235" s="43"/>
      <c r="AV235" s="43"/>
    </row>
    <row r="236" ht="15.75" spans="1:48">
      <c r="A236" s="12">
        <v>232</v>
      </c>
      <c r="B236" s="44">
        <v>4185</v>
      </c>
      <c r="C236" s="45" t="s">
        <v>72</v>
      </c>
      <c r="D236" s="46" t="s">
        <v>81</v>
      </c>
      <c r="E236" s="47" t="s">
        <v>50</v>
      </c>
      <c r="F236" s="48">
        <v>6.67</v>
      </c>
      <c r="G236" s="38">
        <v>0.34</v>
      </c>
      <c r="H236" s="39"/>
      <c r="I236" s="39"/>
      <c r="J236" s="39"/>
      <c r="K236" s="39">
        <v>0.17</v>
      </c>
      <c r="L236" s="39"/>
      <c r="M236" s="39"/>
      <c r="N236" s="39"/>
      <c r="O236" s="39"/>
      <c r="P236" s="39"/>
      <c r="Q236" s="39"/>
      <c r="R236" s="39"/>
      <c r="S236" s="39"/>
      <c r="T236" s="39"/>
      <c r="U236" s="39">
        <v>0.17</v>
      </c>
      <c r="V236" s="39"/>
      <c r="W236" s="39"/>
      <c r="X236" s="49" t="s">
        <v>201</v>
      </c>
      <c r="Y236" s="50">
        <v>10838.75</v>
      </c>
      <c r="Z236" s="51">
        <v>10988</v>
      </c>
      <c r="AA236" s="52">
        <f t="shared" si="10"/>
        <v>1.01377003805789</v>
      </c>
      <c r="AB236" s="12">
        <v>10964</v>
      </c>
      <c r="AC236" s="12">
        <v>24</v>
      </c>
      <c r="AD236" s="43"/>
      <c r="AE236" s="43"/>
      <c r="AF236" s="43"/>
      <c r="AG236" s="19">
        <v>24</v>
      </c>
      <c r="AH236" s="43"/>
      <c r="AI236" s="43"/>
      <c r="AJ236" s="43"/>
      <c r="AK236" s="43"/>
      <c r="AL236" s="43"/>
      <c r="AM236" s="43"/>
      <c r="AN236" s="43"/>
      <c r="AO236" s="43"/>
      <c r="AP236" s="43"/>
      <c r="AQ236" s="43"/>
      <c r="AR236" s="43"/>
      <c r="AS236" s="43"/>
      <c r="AT236" s="43"/>
      <c r="AU236" s="43"/>
      <c r="AV236" s="43"/>
    </row>
    <row r="237" ht="15.75" spans="1:48">
      <c r="A237" s="12">
        <v>233</v>
      </c>
      <c r="B237" s="44">
        <v>4185</v>
      </c>
      <c r="C237" s="45" t="s">
        <v>72</v>
      </c>
      <c r="D237" s="46" t="s">
        <v>81</v>
      </c>
      <c r="E237" s="47" t="s">
        <v>50</v>
      </c>
      <c r="F237" s="48">
        <v>3.5</v>
      </c>
      <c r="G237" s="38">
        <v>1.51</v>
      </c>
      <c r="H237" s="39"/>
      <c r="I237" s="39"/>
      <c r="J237" s="39"/>
      <c r="K237" s="39">
        <v>0.17</v>
      </c>
      <c r="L237" s="39"/>
      <c r="M237" s="39"/>
      <c r="N237" s="39"/>
      <c r="O237" s="39"/>
      <c r="P237" s="39"/>
      <c r="Q237" s="39">
        <v>1.17</v>
      </c>
      <c r="R237" s="39"/>
      <c r="S237" s="39"/>
      <c r="T237" s="39"/>
      <c r="U237" s="39">
        <v>0.17</v>
      </c>
      <c r="V237" s="39"/>
      <c r="W237" s="39"/>
      <c r="X237" s="49" t="s">
        <v>210</v>
      </c>
      <c r="Y237" s="50">
        <v>5687.5</v>
      </c>
      <c r="Z237" s="51">
        <v>5728</v>
      </c>
      <c r="AA237" s="52">
        <f t="shared" si="10"/>
        <v>1.00712087912088</v>
      </c>
      <c r="AB237" s="12">
        <v>5692</v>
      </c>
      <c r="AC237" s="12">
        <v>36</v>
      </c>
      <c r="AD237" s="43"/>
      <c r="AE237" s="43"/>
      <c r="AF237" s="43"/>
      <c r="AG237" s="19">
        <v>36</v>
      </c>
      <c r="AH237" s="43"/>
      <c r="AI237" s="43"/>
      <c r="AJ237" s="43"/>
      <c r="AK237" s="43"/>
      <c r="AL237" s="43"/>
      <c r="AM237" s="43"/>
      <c r="AN237" s="43"/>
      <c r="AO237" s="43"/>
      <c r="AP237" s="43"/>
      <c r="AQ237" s="43"/>
      <c r="AR237" s="43"/>
      <c r="AS237" s="43"/>
      <c r="AT237" s="43"/>
      <c r="AU237" s="43"/>
      <c r="AV237" s="43"/>
    </row>
    <row r="238" ht="15.75" spans="1:48">
      <c r="A238" s="12">
        <v>234</v>
      </c>
      <c r="B238" s="44">
        <v>959</v>
      </c>
      <c r="C238" s="45" t="s">
        <v>168</v>
      </c>
      <c r="D238" s="46">
        <v>6</v>
      </c>
      <c r="E238" s="47" t="s">
        <v>93</v>
      </c>
      <c r="F238" s="48">
        <v>2</v>
      </c>
      <c r="G238" s="38">
        <v>0.83</v>
      </c>
      <c r="H238" s="39"/>
      <c r="I238" s="39"/>
      <c r="J238" s="39"/>
      <c r="K238" s="39"/>
      <c r="L238" s="39"/>
      <c r="M238" s="39"/>
      <c r="N238" s="39"/>
      <c r="O238" s="39"/>
      <c r="P238" s="39"/>
      <c r="Q238" s="39">
        <v>0.83</v>
      </c>
      <c r="R238" s="39"/>
      <c r="S238" s="39"/>
      <c r="T238" s="39"/>
      <c r="U238" s="39"/>
      <c r="V238" s="39"/>
      <c r="W238" s="39"/>
      <c r="X238" s="49">
        <v>5770</v>
      </c>
      <c r="Y238" s="50">
        <v>847</v>
      </c>
      <c r="Z238" s="51">
        <v>480</v>
      </c>
      <c r="AA238" s="52">
        <f t="shared" si="10"/>
        <v>0.566706021251476</v>
      </c>
      <c r="AB238" s="12">
        <v>480</v>
      </c>
      <c r="AC238" s="12">
        <v>0</v>
      </c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  <c r="AQ238" s="43"/>
      <c r="AR238" s="43"/>
      <c r="AS238" s="43"/>
      <c r="AT238" s="43"/>
      <c r="AU238" s="43"/>
      <c r="AV238" s="43"/>
    </row>
    <row r="239" ht="15.75" spans="1:48">
      <c r="A239" s="12">
        <v>235</v>
      </c>
      <c r="B239" s="44">
        <v>959</v>
      </c>
      <c r="C239" s="45" t="s">
        <v>168</v>
      </c>
      <c r="D239" s="46">
        <v>3</v>
      </c>
      <c r="E239" s="47" t="s">
        <v>93</v>
      </c>
      <c r="F239" s="48">
        <v>2.67</v>
      </c>
      <c r="G239" s="38">
        <v>0</v>
      </c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49">
        <v>9740</v>
      </c>
      <c r="Y239" s="50">
        <v>784.98</v>
      </c>
      <c r="Z239" s="51">
        <v>480</v>
      </c>
      <c r="AA239" s="52">
        <f t="shared" si="10"/>
        <v>0.61148054727509</v>
      </c>
      <c r="AB239" s="12">
        <v>480</v>
      </c>
      <c r="AC239" s="12">
        <v>0</v>
      </c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  <c r="AQ239" s="43"/>
      <c r="AR239" s="43"/>
      <c r="AS239" s="43"/>
      <c r="AT239" s="43"/>
      <c r="AU239" s="43"/>
      <c r="AV239" s="43"/>
    </row>
    <row r="240" ht="15.75" spans="1:48">
      <c r="A240" s="12">
        <v>236</v>
      </c>
      <c r="B240" s="44">
        <v>3268</v>
      </c>
      <c r="C240" s="45" t="s">
        <v>80</v>
      </c>
      <c r="D240" s="46"/>
      <c r="E240" s="47" t="s">
        <v>130</v>
      </c>
      <c r="F240" s="48">
        <v>10.67</v>
      </c>
      <c r="G240" s="38">
        <v>1.34</v>
      </c>
      <c r="H240" s="39"/>
      <c r="I240" s="39"/>
      <c r="J240" s="39"/>
      <c r="K240" s="39"/>
      <c r="L240" s="39"/>
      <c r="M240" s="39"/>
      <c r="N240" s="39"/>
      <c r="O240" s="39"/>
      <c r="P240" s="39"/>
      <c r="Q240" s="39">
        <v>1.17</v>
      </c>
      <c r="R240" s="39"/>
      <c r="S240" s="39"/>
      <c r="T240" s="39"/>
      <c r="U240" s="39">
        <v>0.17</v>
      </c>
      <c r="V240" s="39"/>
      <c r="W240" s="39"/>
      <c r="X240" s="49">
        <v>575</v>
      </c>
      <c r="Y240" s="50">
        <v>1707.2</v>
      </c>
      <c r="Z240" s="51">
        <v>1554</v>
      </c>
      <c r="AA240" s="52">
        <f t="shared" si="10"/>
        <v>0.910262417994377</v>
      </c>
      <c r="AB240" s="12">
        <v>1554</v>
      </c>
      <c r="AC240" s="12">
        <v>0</v>
      </c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  <c r="AQ240" s="43"/>
      <c r="AR240" s="43"/>
      <c r="AS240" s="43"/>
      <c r="AT240" s="43"/>
      <c r="AU240" s="43"/>
      <c r="AV240" s="43"/>
    </row>
    <row r="241" ht="15.75" spans="1:48">
      <c r="A241" s="12">
        <v>237</v>
      </c>
      <c r="B241" s="44">
        <v>4489</v>
      </c>
      <c r="C241" s="45" t="s">
        <v>88</v>
      </c>
      <c r="D241" s="46">
        <v>8</v>
      </c>
      <c r="E241" s="47" t="s">
        <v>130</v>
      </c>
      <c r="F241" s="48">
        <v>7.5</v>
      </c>
      <c r="G241" s="38">
        <v>2.84</v>
      </c>
      <c r="H241" s="39"/>
      <c r="I241" s="39"/>
      <c r="J241" s="39">
        <v>0.17</v>
      </c>
      <c r="K241" s="39">
        <v>0.5</v>
      </c>
      <c r="L241" s="39"/>
      <c r="M241" s="39"/>
      <c r="N241" s="39"/>
      <c r="O241" s="39"/>
      <c r="P241" s="39"/>
      <c r="Q241" s="39">
        <v>1.17</v>
      </c>
      <c r="R241" s="39"/>
      <c r="S241" s="39"/>
      <c r="T241" s="39">
        <v>0.83</v>
      </c>
      <c r="U241" s="39">
        <v>0.17</v>
      </c>
      <c r="V241" s="39"/>
      <c r="W241" s="39"/>
      <c r="X241" s="49">
        <v>2801</v>
      </c>
      <c r="Y241" s="50">
        <v>4537.5</v>
      </c>
      <c r="Z241" s="51">
        <v>3866</v>
      </c>
      <c r="AA241" s="52">
        <f t="shared" si="10"/>
        <v>0.852011019283747</v>
      </c>
      <c r="AB241" s="12">
        <v>3600</v>
      </c>
      <c r="AC241" s="12">
        <v>266</v>
      </c>
      <c r="AD241" s="19">
        <v>266</v>
      </c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  <c r="AQ241" s="43"/>
      <c r="AR241" s="43"/>
      <c r="AS241" s="43"/>
      <c r="AT241" s="43"/>
      <c r="AU241" s="43"/>
      <c r="AV241" s="43"/>
    </row>
    <row r="242" ht="15.75" spans="1:48">
      <c r="A242" s="12">
        <v>238</v>
      </c>
      <c r="B242" s="44">
        <v>846</v>
      </c>
      <c r="C242" s="45" t="s">
        <v>87</v>
      </c>
      <c r="D242" s="46">
        <v>18</v>
      </c>
      <c r="E242" s="47" t="s">
        <v>130</v>
      </c>
      <c r="F242" s="48">
        <v>8.17</v>
      </c>
      <c r="G242" s="38">
        <v>1.84</v>
      </c>
      <c r="H242" s="39"/>
      <c r="I242" s="39"/>
      <c r="J242" s="39"/>
      <c r="K242" s="39"/>
      <c r="L242" s="39"/>
      <c r="M242" s="39"/>
      <c r="N242" s="39"/>
      <c r="O242" s="39"/>
      <c r="P242" s="39"/>
      <c r="Q242" s="39">
        <v>1.17</v>
      </c>
      <c r="R242" s="39"/>
      <c r="S242" s="39"/>
      <c r="T242" s="39">
        <v>0.5</v>
      </c>
      <c r="U242" s="39">
        <v>0.17</v>
      </c>
      <c r="V242" s="39"/>
      <c r="W242" s="39"/>
      <c r="X242" s="49">
        <v>1090</v>
      </c>
      <c r="Y242" s="50">
        <v>5392.2</v>
      </c>
      <c r="Z242" s="51">
        <v>4854</v>
      </c>
      <c r="AA242" s="52">
        <f t="shared" si="10"/>
        <v>0.900189162123067</v>
      </c>
      <c r="AB242" s="12">
        <v>4787</v>
      </c>
      <c r="AC242" s="12">
        <v>67</v>
      </c>
      <c r="AD242" s="19">
        <v>67</v>
      </c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  <c r="AQ242" s="43"/>
      <c r="AR242" s="43"/>
      <c r="AS242" s="43"/>
      <c r="AT242" s="43"/>
      <c r="AU242" s="43"/>
      <c r="AV242" s="43"/>
    </row>
    <row r="243" ht="15.75" spans="1:48">
      <c r="A243" s="12">
        <v>239</v>
      </c>
      <c r="B243" s="44">
        <v>4360</v>
      </c>
      <c r="C243" s="45" t="s">
        <v>97</v>
      </c>
      <c r="D243" s="46">
        <v>15</v>
      </c>
      <c r="E243" s="47" t="s">
        <v>130</v>
      </c>
      <c r="F243" s="48">
        <v>4</v>
      </c>
      <c r="G243" s="38">
        <v>6.51</v>
      </c>
      <c r="H243" s="39"/>
      <c r="I243" s="39"/>
      <c r="J243" s="39"/>
      <c r="K243" s="39">
        <v>0.5</v>
      </c>
      <c r="L243" s="39"/>
      <c r="M243" s="39"/>
      <c r="N243" s="39"/>
      <c r="O243" s="39"/>
      <c r="P243" s="39"/>
      <c r="Q243" s="39">
        <v>1.17</v>
      </c>
      <c r="R243" s="39"/>
      <c r="S243" s="39"/>
      <c r="T243" s="39">
        <v>4.67</v>
      </c>
      <c r="U243" s="39">
        <v>0.17</v>
      </c>
      <c r="V243" s="39"/>
      <c r="W243" s="39"/>
      <c r="X243" s="49">
        <v>3880</v>
      </c>
      <c r="Y243" s="50">
        <v>1600</v>
      </c>
      <c r="Z243" s="51">
        <v>1545</v>
      </c>
      <c r="AA243" s="52">
        <f t="shared" si="10"/>
        <v>0.965625</v>
      </c>
      <c r="AB243" s="12">
        <v>1380</v>
      </c>
      <c r="AC243" s="12">
        <v>165</v>
      </c>
      <c r="AD243" s="19">
        <v>165</v>
      </c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  <c r="AQ243" s="43"/>
      <c r="AR243" s="43"/>
      <c r="AS243" s="43"/>
      <c r="AT243" s="43"/>
      <c r="AU243" s="43"/>
      <c r="AV243" s="43"/>
    </row>
    <row r="244" ht="15.75" spans="1:48">
      <c r="A244" s="12">
        <v>240</v>
      </c>
      <c r="B244" s="44">
        <v>4490</v>
      </c>
      <c r="C244" s="45" t="s">
        <v>91</v>
      </c>
      <c r="D244" s="46">
        <v>18</v>
      </c>
      <c r="E244" s="47" t="s">
        <v>130</v>
      </c>
      <c r="F244" s="48">
        <v>8.17</v>
      </c>
      <c r="G244" s="38">
        <v>2.01</v>
      </c>
      <c r="H244" s="39"/>
      <c r="I244" s="39"/>
      <c r="J244" s="39"/>
      <c r="K244" s="39">
        <v>0.5</v>
      </c>
      <c r="L244" s="39"/>
      <c r="M244" s="39"/>
      <c r="N244" s="39"/>
      <c r="O244" s="39"/>
      <c r="P244" s="39"/>
      <c r="Q244" s="39">
        <v>1.17</v>
      </c>
      <c r="R244" s="39"/>
      <c r="S244" s="39"/>
      <c r="T244" s="39">
        <v>0.17</v>
      </c>
      <c r="U244" s="39">
        <v>0.17</v>
      </c>
      <c r="V244" s="39"/>
      <c r="W244" s="39"/>
      <c r="X244" s="49">
        <v>9968</v>
      </c>
      <c r="Y244" s="50">
        <v>4942.85</v>
      </c>
      <c r="Z244" s="51">
        <v>4509</v>
      </c>
      <c r="AA244" s="52">
        <f t="shared" si="10"/>
        <v>0.912226751772763</v>
      </c>
      <c r="AB244" s="12">
        <v>4450</v>
      </c>
      <c r="AC244" s="12">
        <v>59</v>
      </c>
      <c r="AD244" s="19">
        <v>59</v>
      </c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  <c r="AQ244" s="43"/>
      <c r="AR244" s="43"/>
      <c r="AS244" s="43"/>
      <c r="AT244" s="43"/>
      <c r="AU244" s="43"/>
      <c r="AV244" s="43"/>
    </row>
    <row r="245" ht="15.75" spans="1:48">
      <c r="A245" s="12">
        <v>241</v>
      </c>
      <c r="B245" s="44" t="s">
        <v>211</v>
      </c>
      <c r="C245" s="45" t="s">
        <v>176</v>
      </c>
      <c r="D245" s="46">
        <v>6</v>
      </c>
      <c r="E245" s="47" t="s">
        <v>130</v>
      </c>
      <c r="F245" s="48">
        <v>5</v>
      </c>
      <c r="G245" s="38">
        <v>0</v>
      </c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49">
        <v>5770</v>
      </c>
      <c r="Y245" s="50">
        <v>3025</v>
      </c>
      <c r="Z245" s="51">
        <v>3000</v>
      </c>
      <c r="AA245" s="52">
        <f t="shared" si="10"/>
        <v>0.991735537190083</v>
      </c>
      <c r="AB245" s="12">
        <v>3000</v>
      </c>
      <c r="AC245" s="12">
        <v>0</v>
      </c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  <c r="AQ245" s="43"/>
      <c r="AR245" s="43"/>
      <c r="AS245" s="43"/>
      <c r="AT245" s="43"/>
      <c r="AU245" s="43"/>
      <c r="AV245" s="43"/>
    </row>
    <row r="246" ht="15.75" spans="1:48">
      <c r="A246" s="12">
        <v>242</v>
      </c>
      <c r="B246" s="44">
        <v>669</v>
      </c>
      <c r="C246" s="45" t="s">
        <v>94</v>
      </c>
      <c r="D246" s="46">
        <v>17</v>
      </c>
      <c r="E246" s="47" t="s">
        <v>130</v>
      </c>
      <c r="F246" s="48">
        <v>10.67</v>
      </c>
      <c r="G246" s="38">
        <v>1.34</v>
      </c>
      <c r="H246" s="39"/>
      <c r="I246" s="39"/>
      <c r="J246" s="39"/>
      <c r="K246" s="39"/>
      <c r="L246" s="39"/>
      <c r="M246" s="39"/>
      <c r="N246" s="39"/>
      <c r="O246" s="39"/>
      <c r="P246" s="39"/>
      <c r="Q246" s="39">
        <v>1.17</v>
      </c>
      <c r="R246" s="39"/>
      <c r="S246" s="39"/>
      <c r="T246" s="39"/>
      <c r="U246" s="39">
        <v>0.17</v>
      </c>
      <c r="V246" s="39"/>
      <c r="W246" s="39"/>
      <c r="X246" s="49" t="s">
        <v>96</v>
      </c>
      <c r="Y246" s="50">
        <v>15471.5</v>
      </c>
      <c r="Z246" s="51">
        <v>12780</v>
      </c>
      <c r="AA246" s="52">
        <f t="shared" si="10"/>
        <v>0.826034967520926</v>
      </c>
      <c r="AB246" s="12">
        <v>12780</v>
      </c>
      <c r="AC246" s="12">
        <v>0</v>
      </c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  <c r="AQ246" s="43"/>
      <c r="AR246" s="43"/>
      <c r="AS246" s="43"/>
      <c r="AT246" s="43"/>
      <c r="AU246" s="43"/>
      <c r="AV246" s="43"/>
    </row>
    <row r="247" ht="15.75" spans="1:48">
      <c r="A247" s="12">
        <v>243</v>
      </c>
      <c r="B247" s="57">
        <v>4412</v>
      </c>
      <c r="C247" s="45" t="s">
        <v>177</v>
      </c>
      <c r="D247" s="46">
        <v>16</v>
      </c>
      <c r="E247" s="47" t="s">
        <v>130</v>
      </c>
      <c r="F247" s="48">
        <v>1.17</v>
      </c>
      <c r="G247" s="38">
        <v>1.17</v>
      </c>
      <c r="H247" s="39"/>
      <c r="I247" s="39"/>
      <c r="J247" s="39"/>
      <c r="K247" s="39"/>
      <c r="L247" s="39"/>
      <c r="M247" s="39"/>
      <c r="N247" s="39"/>
      <c r="O247" s="39"/>
      <c r="P247" s="39"/>
      <c r="Q247" s="39">
        <v>0.83</v>
      </c>
      <c r="R247" s="39"/>
      <c r="S247" s="39"/>
      <c r="T247" s="39">
        <v>0.17</v>
      </c>
      <c r="U247" s="39">
        <v>0.17</v>
      </c>
      <c r="V247" s="39"/>
      <c r="W247" s="39"/>
      <c r="X247" s="49">
        <v>7630</v>
      </c>
      <c r="Y247" s="50">
        <v>210.6</v>
      </c>
      <c r="Z247" s="51">
        <v>240</v>
      </c>
      <c r="AA247" s="52">
        <f t="shared" si="10"/>
        <v>1.13960113960114</v>
      </c>
      <c r="AB247" s="12">
        <v>160</v>
      </c>
      <c r="AC247" s="12">
        <v>80</v>
      </c>
      <c r="AD247" s="19">
        <v>80</v>
      </c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  <c r="AQ247" s="43"/>
      <c r="AR247" s="43"/>
      <c r="AS247" s="43"/>
      <c r="AT247" s="43"/>
      <c r="AU247" s="43"/>
      <c r="AV247" s="43"/>
    </row>
    <row r="248" ht="15.75" spans="1:48">
      <c r="A248" s="12">
        <v>244</v>
      </c>
      <c r="B248" s="44">
        <v>4412</v>
      </c>
      <c r="C248" s="45" t="s">
        <v>177</v>
      </c>
      <c r="D248" s="46">
        <v>14</v>
      </c>
      <c r="E248" s="47" t="s">
        <v>130</v>
      </c>
      <c r="F248" s="48">
        <v>5.33</v>
      </c>
      <c r="G248" s="38">
        <v>0</v>
      </c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49">
        <v>8485</v>
      </c>
      <c r="Y248" s="50">
        <v>3038.1</v>
      </c>
      <c r="Z248" s="51">
        <v>3200</v>
      </c>
      <c r="AA248" s="52">
        <f t="shared" si="10"/>
        <v>1.05328988512557</v>
      </c>
      <c r="AB248" s="12">
        <v>3200</v>
      </c>
      <c r="AC248" s="12">
        <v>0</v>
      </c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  <c r="AQ248" s="43"/>
      <c r="AR248" s="43"/>
      <c r="AS248" s="43"/>
      <c r="AT248" s="43"/>
      <c r="AU248" s="43"/>
      <c r="AV248" s="43"/>
    </row>
    <row r="249" ht="15.75" spans="1:48">
      <c r="A249" s="12">
        <v>245</v>
      </c>
      <c r="B249" s="44">
        <v>676</v>
      </c>
      <c r="C249" s="45" t="s">
        <v>171</v>
      </c>
      <c r="D249" s="46"/>
      <c r="E249" s="47" t="s">
        <v>130</v>
      </c>
      <c r="F249" s="48">
        <v>5.83</v>
      </c>
      <c r="G249" s="38">
        <v>2.17</v>
      </c>
      <c r="H249" s="39"/>
      <c r="I249" s="39"/>
      <c r="J249" s="39"/>
      <c r="K249" s="39"/>
      <c r="L249" s="39"/>
      <c r="M249" s="39"/>
      <c r="N249" s="39"/>
      <c r="O249" s="39"/>
      <c r="P249" s="39"/>
      <c r="Q249" s="39">
        <v>1.17</v>
      </c>
      <c r="R249" s="39"/>
      <c r="S249" s="39"/>
      <c r="T249" s="39">
        <v>1</v>
      </c>
      <c r="U249" s="39"/>
      <c r="V249" s="39"/>
      <c r="W249" s="39"/>
      <c r="X249" s="49" t="s">
        <v>98</v>
      </c>
      <c r="Y249" s="50">
        <v>2740.1</v>
      </c>
      <c r="Z249" s="51">
        <v>2700</v>
      </c>
      <c r="AA249" s="52">
        <f t="shared" si="10"/>
        <v>0.985365497609576</v>
      </c>
      <c r="AB249" s="12">
        <v>2700</v>
      </c>
      <c r="AC249" s="12">
        <v>0</v>
      </c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  <c r="AQ249" s="43"/>
      <c r="AR249" s="43"/>
      <c r="AS249" s="43"/>
      <c r="AT249" s="43"/>
      <c r="AU249" s="43"/>
      <c r="AV249" s="43"/>
    </row>
    <row r="250" ht="15.75" spans="1:48">
      <c r="A250" s="12">
        <v>246</v>
      </c>
      <c r="B250" s="44">
        <v>676</v>
      </c>
      <c r="C250" s="45" t="s">
        <v>171</v>
      </c>
      <c r="D250" s="46"/>
      <c r="E250" s="47" t="s">
        <v>130</v>
      </c>
      <c r="F250" s="48">
        <v>4</v>
      </c>
      <c r="G250" s="38">
        <v>0</v>
      </c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49" t="s">
        <v>90</v>
      </c>
      <c r="Y250" s="50">
        <v>1880</v>
      </c>
      <c r="Z250" s="51">
        <v>1800</v>
      </c>
      <c r="AA250" s="52">
        <f t="shared" si="10"/>
        <v>0.957446808510638</v>
      </c>
      <c r="AB250" s="12">
        <v>1800</v>
      </c>
      <c r="AC250" s="12">
        <v>0</v>
      </c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  <c r="AQ250" s="43"/>
      <c r="AR250" s="43"/>
      <c r="AS250" s="43"/>
      <c r="AT250" s="43"/>
      <c r="AU250" s="43"/>
      <c r="AV250" s="43"/>
    </row>
    <row r="251" ht="15.75" spans="1:48">
      <c r="A251" s="12">
        <v>247</v>
      </c>
      <c r="B251" s="44">
        <v>4382</v>
      </c>
      <c r="C251" s="45" t="s">
        <v>173</v>
      </c>
      <c r="D251" s="46"/>
      <c r="E251" s="47" t="s">
        <v>130</v>
      </c>
      <c r="F251" s="48">
        <v>5.83</v>
      </c>
      <c r="G251" s="38">
        <v>2.17</v>
      </c>
      <c r="H251" s="39"/>
      <c r="I251" s="39"/>
      <c r="J251" s="39"/>
      <c r="K251" s="39"/>
      <c r="L251" s="39"/>
      <c r="M251" s="39"/>
      <c r="N251" s="39"/>
      <c r="O251" s="39"/>
      <c r="P251" s="39"/>
      <c r="Q251" s="39">
        <v>1.17</v>
      </c>
      <c r="R251" s="39"/>
      <c r="S251" s="39"/>
      <c r="T251" s="39">
        <v>1</v>
      </c>
      <c r="U251" s="39"/>
      <c r="V251" s="39"/>
      <c r="W251" s="39"/>
      <c r="X251" s="49" t="s">
        <v>90</v>
      </c>
      <c r="Y251" s="50">
        <v>2740.1</v>
      </c>
      <c r="Z251" s="51">
        <v>2700</v>
      </c>
      <c r="AA251" s="52">
        <f t="shared" si="10"/>
        <v>0.985365497609576</v>
      </c>
      <c r="AB251" s="12">
        <v>2700</v>
      </c>
      <c r="AC251" s="12">
        <v>0</v>
      </c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  <c r="AQ251" s="43"/>
      <c r="AR251" s="43"/>
      <c r="AS251" s="43"/>
      <c r="AT251" s="43"/>
      <c r="AU251" s="43"/>
      <c r="AV251" s="43"/>
    </row>
    <row r="252" ht="15.75" spans="1:48">
      <c r="A252" s="12">
        <v>248</v>
      </c>
      <c r="B252" s="44">
        <v>4382</v>
      </c>
      <c r="C252" s="45" t="s">
        <v>173</v>
      </c>
      <c r="D252" s="46"/>
      <c r="E252" s="47" t="s">
        <v>130</v>
      </c>
      <c r="F252" s="48">
        <v>4</v>
      </c>
      <c r="G252" s="38">
        <v>0</v>
      </c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49" t="s">
        <v>98</v>
      </c>
      <c r="Y252" s="50">
        <v>1880</v>
      </c>
      <c r="Z252" s="51">
        <v>1800</v>
      </c>
      <c r="AA252" s="52">
        <f t="shared" si="10"/>
        <v>0.957446808510638</v>
      </c>
      <c r="AB252" s="12">
        <v>1800</v>
      </c>
      <c r="AC252" s="12">
        <v>0</v>
      </c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  <c r="AQ252" s="43"/>
      <c r="AR252" s="43"/>
      <c r="AS252" s="43"/>
      <c r="AT252" s="43"/>
      <c r="AU252" s="43"/>
      <c r="AV252" s="43"/>
    </row>
    <row r="253" ht="15.75" spans="1:48">
      <c r="A253" s="12">
        <v>249</v>
      </c>
      <c r="B253" s="44">
        <v>4310</v>
      </c>
      <c r="C253" s="45" t="s">
        <v>99</v>
      </c>
      <c r="D253" s="46">
        <v>5</v>
      </c>
      <c r="E253" s="47" t="s">
        <v>130</v>
      </c>
      <c r="F253" s="48">
        <v>9.17</v>
      </c>
      <c r="G253" s="38">
        <v>1.67</v>
      </c>
      <c r="H253" s="39"/>
      <c r="I253" s="39"/>
      <c r="J253" s="39"/>
      <c r="K253" s="39"/>
      <c r="L253" s="39"/>
      <c r="M253" s="39"/>
      <c r="N253" s="39"/>
      <c r="O253" s="39"/>
      <c r="P253" s="39"/>
      <c r="Q253" s="39">
        <v>1.17</v>
      </c>
      <c r="R253" s="39"/>
      <c r="S253" s="39"/>
      <c r="T253" s="39">
        <v>0.33</v>
      </c>
      <c r="U253" s="39">
        <v>0.17</v>
      </c>
      <c r="V253" s="39"/>
      <c r="W253" s="39"/>
      <c r="X253" s="49">
        <v>5770</v>
      </c>
      <c r="Y253" s="50">
        <v>5547.85</v>
      </c>
      <c r="Z253" s="51">
        <v>5507</v>
      </c>
      <c r="AA253" s="52">
        <f t="shared" si="10"/>
        <v>0.992636787223879</v>
      </c>
      <c r="AB253" s="12">
        <v>5400</v>
      </c>
      <c r="AC253" s="12">
        <v>107</v>
      </c>
      <c r="AD253" s="19">
        <v>107</v>
      </c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  <c r="AQ253" s="43"/>
      <c r="AR253" s="43"/>
      <c r="AS253" s="43"/>
      <c r="AT253" s="43"/>
      <c r="AU253" s="43"/>
      <c r="AV253" s="43"/>
    </row>
    <row r="254" ht="15.75" spans="1:48">
      <c r="A254" s="12">
        <v>250</v>
      </c>
      <c r="B254" s="44" t="s">
        <v>185</v>
      </c>
      <c r="C254" s="45" t="s">
        <v>179</v>
      </c>
      <c r="D254" s="46"/>
      <c r="E254" s="47" t="s">
        <v>130</v>
      </c>
      <c r="F254" s="48">
        <v>7.17</v>
      </c>
      <c r="G254" s="38">
        <v>0.83</v>
      </c>
      <c r="H254" s="39"/>
      <c r="I254" s="39"/>
      <c r="J254" s="39"/>
      <c r="K254" s="39"/>
      <c r="L254" s="39"/>
      <c r="M254" s="39"/>
      <c r="N254" s="39"/>
      <c r="O254" s="39"/>
      <c r="P254" s="39"/>
      <c r="Q254" s="39">
        <v>0.83</v>
      </c>
      <c r="R254" s="39"/>
      <c r="S254" s="39"/>
      <c r="T254" s="39"/>
      <c r="U254" s="39"/>
      <c r="V254" s="39"/>
      <c r="W254" s="39"/>
      <c r="X254" s="49" t="s">
        <v>105</v>
      </c>
      <c r="Y254" s="50">
        <v>4732.2</v>
      </c>
      <c r="Z254" s="51">
        <v>2750</v>
      </c>
      <c r="AA254" s="52">
        <f t="shared" si="10"/>
        <v>0.581125058112506</v>
      </c>
      <c r="AB254" s="12">
        <v>2750</v>
      </c>
      <c r="AC254" s="12">
        <v>0</v>
      </c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  <c r="AQ254" s="43"/>
      <c r="AR254" s="43"/>
      <c r="AS254" s="43"/>
      <c r="AT254" s="43"/>
      <c r="AU254" s="43"/>
      <c r="AV254" s="43"/>
    </row>
    <row r="255" ht="15.75" spans="1:48">
      <c r="A255" s="12">
        <v>251</v>
      </c>
      <c r="B255" s="44">
        <v>849</v>
      </c>
      <c r="C255" s="45" t="s">
        <v>108</v>
      </c>
      <c r="D255" s="46"/>
      <c r="E255" s="47" t="s">
        <v>130</v>
      </c>
      <c r="F255" s="48">
        <v>7.17</v>
      </c>
      <c r="G255" s="38">
        <v>0.83</v>
      </c>
      <c r="H255" s="39"/>
      <c r="I255" s="39"/>
      <c r="J255" s="39"/>
      <c r="K255" s="39"/>
      <c r="L255" s="39"/>
      <c r="M255" s="39"/>
      <c r="N255" s="39"/>
      <c r="O255" s="39"/>
      <c r="P255" s="39"/>
      <c r="Q255" s="39">
        <v>0.83</v>
      </c>
      <c r="R255" s="39"/>
      <c r="S255" s="39"/>
      <c r="T255" s="39"/>
      <c r="U255" s="39"/>
      <c r="V255" s="39"/>
      <c r="W255" s="39"/>
      <c r="X255" s="49" t="s">
        <v>103</v>
      </c>
      <c r="Y255" s="50">
        <v>6022.8</v>
      </c>
      <c r="Z255" s="51">
        <v>2640</v>
      </c>
      <c r="AA255" s="52">
        <f t="shared" si="10"/>
        <v>0.438334329547719</v>
      </c>
      <c r="AB255" s="12">
        <v>2640</v>
      </c>
      <c r="AC255" s="12">
        <v>0</v>
      </c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  <c r="AQ255" s="43"/>
      <c r="AR255" s="43"/>
      <c r="AS255" s="43"/>
      <c r="AT255" s="43"/>
      <c r="AU255" s="43"/>
      <c r="AV255" s="43"/>
    </row>
    <row r="256" ht="15.75" spans="1:48">
      <c r="A256" s="12">
        <v>252</v>
      </c>
      <c r="B256" s="57">
        <v>850</v>
      </c>
      <c r="C256" s="45" t="s">
        <v>109</v>
      </c>
      <c r="D256" s="46"/>
      <c r="E256" s="47" t="s">
        <v>130</v>
      </c>
      <c r="F256" s="48">
        <v>7.17</v>
      </c>
      <c r="G256" s="38">
        <v>0.83</v>
      </c>
      <c r="H256" s="39"/>
      <c r="I256" s="39"/>
      <c r="J256" s="39"/>
      <c r="K256" s="39"/>
      <c r="L256" s="39"/>
      <c r="M256" s="39"/>
      <c r="N256" s="39"/>
      <c r="O256" s="39"/>
      <c r="P256" s="39"/>
      <c r="Q256" s="39">
        <v>0.83</v>
      </c>
      <c r="R256" s="39"/>
      <c r="S256" s="39"/>
      <c r="T256" s="39"/>
      <c r="U256" s="39"/>
      <c r="V256" s="39"/>
      <c r="W256" s="39"/>
      <c r="X256" s="49" t="s">
        <v>103</v>
      </c>
      <c r="Y256" s="50">
        <v>5420.52</v>
      </c>
      <c r="Z256" s="51">
        <v>4560</v>
      </c>
      <c r="AA256" s="52">
        <f t="shared" si="10"/>
        <v>0.841247703172389</v>
      </c>
      <c r="AB256" s="12">
        <v>4560</v>
      </c>
      <c r="AC256" s="12">
        <v>0</v>
      </c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  <c r="AQ256" s="43"/>
      <c r="AR256" s="43"/>
      <c r="AS256" s="43"/>
      <c r="AT256" s="43"/>
      <c r="AU256" s="43"/>
      <c r="AV256" s="43"/>
    </row>
    <row r="257" ht="15.75" spans="1:48">
      <c r="A257" s="12">
        <v>253</v>
      </c>
      <c r="B257" s="44" t="s">
        <v>181</v>
      </c>
      <c r="C257" s="45" t="s">
        <v>182</v>
      </c>
      <c r="D257" s="46"/>
      <c r="E257" s="47" t="s">
        <v>130</v>
      </c>
      <c r="F257" s="48">
        <v>7.17</v>
      </c>
      <c r="G257" s="38">
        <v>0.83</v>
      </c>
      <c r="H257" s="39"/>
      <c r="I257" s="39"/>
      <c r="J257" s="39"/>
      <c r="K257" s="39"/>
      <c r="L257" s="39"/>
      <c r="M257" s="39"/>
      <c r="N257" s="39"/>
      <c r="O257" s="39"/>
      <c r="P257" s="39"/>
      <c r="Q257" s="39">
        <v>0.83</v>
      </c>
      <c r="R257" s="39"/>
      <c r="S257" s="39"/>
      <c r="T257" s="39"/>
      <c r="U257" s="39"/>
      <c r="V257" s="39"/>
      <c r="W257" s="39"/>
      <c r="X257" s="49" t="s">
        <v>103</v>
      </c>
      <c r="Y257" s="50">
        <v>4215.96</v>
      </c>
      <c r="Z257" s="51">
        <v>3240</v>
      </c>
      <c r="AA257" s="52">
        <f t="shared" si="10"/>
        <v>0.76850824011613</v>
      </c>
      <c r="AB257" s="12">
        <v>3240</v>
      </c>
      <c r="AC257" s="12">
        <v>0</v>
      </c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  <c r="AQ257" s="43"/>
      <c r="AR257" s="43"/>
      <c r="AS257" s="43"/>
      <c r="AT257" s="43"/>
      <c r="AU257" s="43"/>
      <c r="AV257" s="43"/>
    </row>
    <row r="258" ht="15.75" spans="1:48">
      <c r="A258" s="12">
        <v>254</v>
      </c>
      <c r="B258" s="44">
        <v>959</v>
      </c>
      <c r="C258" s="45" t="s">
        <v>168</v>
      </c>
      <c r="D258" s="46"/>
      <c r="E258" s="47" t="s">
        <v>130</v>
      </c>
      <c r="F258" s="48">
        <v>2.5</v>
      </c>
      <c r="G258" s="38">
        <v>0</v>
      </c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49" t="s">
        <v>105</v>
      </c>
      <c r="Y258" s="50">
        <v>1650</v>
      </c>
      <c r="Z258" s="51">
        <v>1200</v>
      </c>
      <c r="AA258" s="52">
        <f t="shared" si="10"/>
        <v>0.727272727272727</v>
      </c>
      <c r="AB258" s="12">
        <v>1200</v>
      </c>
      <c r="AC258" s="12">
        <v>0</v>
      </c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  <c r="AQ258" s="43"/>
      <c r="AR258" s="43"/>
      <c r="AS258" s="43"/>
      <c r="AT258" s="43"/>
      <c r="AU258" s="43"/>
      <c r="AV258" s="43"/>
    </row>
    <row r="259" ht="15.75" spans="1:48">
      <c r="A259" s="12">
        <v>255</v>
      </c>
      <c r="B259" s="44">
        <v>4310</v>
      </c>
      <c r="C259" s="45" t="s">
        <v>99</v>
      </c>
      <c r="D259" s="46"/>
      <c r="E259" s="47" t="s">
        <v>130</v>
      </c>
      <c r="F259" s="48">
        <v>1.17</v>
      </c>
      <c r="G259" s="38">
        <v>0</v>
      </c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49" t="s">
        <v>103</v>
      </c>
      <c r="Y259" s="50">
        <v>982.8</v>
      </c>
      <c r="Z259" s="51">
        <v>840</v>
      </c>
      <c r="AA259" s="52">
        <f t="shared" si="10"/>
        <v>0.854700854700855</v>
      </c>
      <c r="AB259" s="12">
        <v>840</v>
      </c>
      <c r="AC259" s="12">
        <v>0</v>
      </c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  <c r="AQ259" s="43"/>
      <c r="AR259" s="43"/>
      <c r="AS259" s="43"/>
      <c r="AT259" s="43"/>
      <c r="AU259" s="43"/>
      <c r="AV259" s="43"/>
    </row>
    <row r="260" ht="15.75" spans="1:48">
      <c r="A260" s="12">
        <v>256</v>
      </c>
      <c r="B260" s="44">
        <v>4489</v>
      </c>
      <c r="C260" s="45" t="s">
        <v>88</v>
      </c>
      <c r="D260" s="46"/>
      <c r="E260" s="47" t="s">
        <v>130</v>
      </c>
      <c r="F260" s="48">
        <v>1.66</v>
      </c>
      <c r="G260" s="38">
        <v>0</v>
      </c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49" t="s">
        <v>103</v>
      </c>
      <c r="Y260" s="50">
        <v>1394.4</v>
      </c>
      <c r="Z260" s="51">
        <v>1226</v>
      </c>
      <c r="AA260" s="52">
        <f t="shared" si="10"/>
        <v>0.879231210556512</v>
      </c>
      <c r="AB260" s="12">
        <v>1226</v>
      </c>
      <c r="AC260" s="12">
        <v>0</v>
      </c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  <c r="AQ260" s="43"/>
      <c r="AR260" s="43"/>
      <c r="AS260" s="43"/>
      <c r="AT260" s="43"/>
      <c r="AU260" s="43"/>
      <c r="AV260" s="43"/>
    </row>
    <row r="261" ht="15.75" spans="1:48">
      <c r="A261" s="12">
        <v>257</v>
      </c>
      <c r="B261" s="44">
        <v>846</v>
      </c>
      <c r="C261" s="45" t="s">
        <v>87</v>
      </c>
      <c r="D261" s="46"/>
      <c r="E261" s="47" t="s">
        <v>130</v>
      </c>
      <c r="F261" s="48">
        <v>2</v>
      </c>
      <c r="G261" s="38">
        <v>0</v>
      </c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49" t="s">
        <v>105</v>
      </c>
      <c r="Y261" s="50">
        <v>1320</v>
      </c>
      <c r="Z261" s="51">
        <v>1250</v>
      </c>
      <c r="AA261" s="52">
        <f t="shared" si="10"/>
        <v>0.946969696969697</v>
      </c>
      <c r="AB261" s="12">
        <v>1250</v>
      </c>
      <c r="AC261" s="12">
        <v>0</v>
      </c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  <c r="AQ261" s="43"/>
      <c r="AR261" s="43"/>
      <c r="AS261" s="43"/>
      <c r="AT261" s="43"/>
      <c r="AU261" s="43"/>
      <c r="AV261" s="43"/>
    </row>
    <row r="262" ht="15.75" spans="1:48">
      <c r="A262" s="12">
        <v>258</v>
      </c>
      <c r="B262" s="44">
        <v>761</v>
      </c>
      <c r="C262" s="45" t="s">
        <v>89</v>
      </c>
      <c r="D262" s="46"/>
      <c r="E262" s="47" t="s">
        <v>130</v>
      </c>
      <c r="F262" s="48">
        <v>3</v>
      </c>
      <c r="G262" s="38">
        <v>1.84</v>
      </c>
      <c r="H262" s="39"/>
      <c r="I262" s="39"/>
      <c r="J262" s="39"/>
      <c r="K262" s="39"/>
      <c r="L262" s="39"/>
      <c r="M262" s="39"/>
      <c r="N262" s="39"/>
      <c r="O262" s="39"/>
      <c r="P262" s="39"/>
      <c r="Q262" s="39">
        <v>1.17</v>
      </c>
      <c r="R262" s="39"/>
      <c r="S262" s="39">
        <v>0.5</v>
      </c>
      <c r="T262" s="39"/>
      <c r="U262" s="39">
        <v>0.17</v>
      </c>
      <c r="V262" s="39"/>
      <c r="W262" s="39"/>
      <c r="X262" s="49" t="s">
        <v>102</v>
      </c>
      <c r="Y262" s="50">
        <v>13500</v>
      </c>
      <c r="Z262" s="51">
        <v>17000</v>
      </c>
      <c r="AA262" s="52">
        <f t="shared" si="10"/>
        <v>1.25925925925926</v>
      </c>
      <c r="AB262" s="12">
        <v>17000</v>
      </c>
      <c r="AC262" s="12">
        <v>0</v>
      </c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  <c r="AQ262" s="43"/>
      <c r="AR262" s="43"/>
      <c r="AS262" s="43"/>
      <c r="AT262" s="43"/>
      <c r="AU262" s="43"/>
      <c r="AV262" s="43"/>
    </row>
    <row r="263" ht="15.75" spans="1:48">
      <c r="A263" s="12">
        <v>259</v>
      </c>
      <c r="B263" s="44">
        <v>761</v>
      </c>
      <c r="C263" s="45" t="s">
        <v>89</v>
      </c>
      <c r="D263" s="46"/>
      <c r="E263" s="47" t="s">
        <v>130</v>
      </c>
      <c r="F263" s="48">
        <v>6</v>
      </c>
      <c r="G263" s="38">
        <v>0</v>
      </c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49" t="s">
        <v>101</v>
      </c>
      <c r="Y263" s="50">
        <v>5760</v>
      </c>
      <c r="Z263" s="51">
        <v>6660</v>
      </c>
      <c r="AA263" s="52">
        <f t="shared" si="10"/>
        <v>1.15625</v>
      </c>
      <c r="AB263" s="12">
        <v>6660</v>
      </c>
      <c r="AC263" s="12">
        <v>0</v>
      </c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  <c r="AQ263" s="43"/>
      <c r="AR263" s="43"/>
      <c r="AS263" s="43"/>
      <c r="AT263" s="43"/>
      <c r="AU263" s="43"/>
      <c r="AV263" s="43"/>
    </row>
    <row r="264" ht="15.75" spans="1:48">
      <c r="A264" s="12">
        <v>260</v>
      </c>
      <c r="B264" s="57">
        <v>761</v>
      </c>
      <c r="C264" s="45" t="s">
        <v>89</v>
      </c>
      <c r="D264" s="46"/>
      <c r="E264" s="47" t="s">
        <v>130</v>
      </c>
      <c r="F264" s="48">
        <v>0.5</v>
      </c>
      <c r="G264" s="38">
        <v>0</v>
      </c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49" t="s">
        <v>100</v>
      </c>
      <c r="Y264" s="50">
        <v>960</v>
      </c>
      <c r="Z264" s="51">
        <v>1620</v>
      </c>
      <c r="AA264" s="52">
        <f t="shared" si="10"/>
        <v>1.6875</v>
      </c>
      <c r="AB264" s="12">
        <v>1620</v>
      </c>
      <c r="AC264" s="12">
        <v>0</v>
      </c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  <c r="AQ264" s="43"/>
      <c r="AR264" s="43"/>
      <c r="AS264" s="43"/>
      <c r="AT264" s="43"/>
      <c r="AU264" s="43"/>
      <c r="AV264" s="43"/>
    </row>
    <row r="265" ht="15.75" spans="1:48">
      <c r="A265" s="12">
        <v>261</v>
      </c>
      <c r="B265" s="44">
        <v>761</v>
      </c>
      <c r="C265" s="45" t="s">
        <v>89</v>
      </c>
      <c r="D265" s="46"/>
      <c r="E265" s="47" t="s">
        <v>130</v>
      </c>
      <c r="F265" s="48">
        <v>0.67</v>
      </c>
      <c r="G265" s="38">
        <v>0</v>
      </c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49" t="s">
        <v>152</v>
      </c>
      <c r="Y265" s="50">
        <v>1457.25</v>
      </c>
      <c r="Z265" s="51">
        <v>3500</v>
      </c>
      <c r="AA265" s="52">
        <f t="shared" si="10"/>
        <v>2.4017841825356</v>
      </c>
      <c r="AB265" s="12">
        <v>3500</v>
      </c>
      <c r="AC265" s="12">
        <v>0</v>
      </c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  <c r="AQ265" s="43"/>
      <c r="AR265" s="43"/>
      <c r="AS265" s="43"/>
      <c r="AT265" s="43"/>
      <c r="AU265" s="43"/>
      <c r="AV265" s="43"/>
    </row>
    <row r="266" ht="15.75" spans="1:48">
      <c r="A266" s="12">
        <v>262</v>
      </c>
      <c r="B266" s="57">
        <v>976</v>
      </c>
      <c r="C266" s="45" t="s">
        <v>110</v>
      </c>
      <c r="D266" s="46"/>
      <c r="E266" s="47" t="s">
        <v>130</v>
      </c>
      <c r="F266" s="48">
        <v>7.17</v>
      </c>
      <c r="G266" s="38">
        <v>0.83</v>
      </c>
      <c r="H266" s="39"/>
      <c r="I266" s="39"/>
      <c r="J266" s="39"/>
      <c r="K266" s="39"/>
      <c r="L266" s="39"/>
      <c r="M266" s="39"/>
      <c r="N266" s="39"/>
      <c r="O266" s="39"/>
      <c r="P266" s="39"/>
      <c r="Q266" s="39">
        <v>0.83</v>
      </c>
      <c r="R266" s="39"/>
      <c r="S266" s="39"/>
      <c r="T266" s="39"/>
      <c r="U266" s="39"/>
      <c r="V266" s="39"/>
      <c r="W266" s="39"/>
      <c r="X266" s="49" t="s">
        <v>103</v>
      </c>
      <c r="Y266" s="50">
        <v>6022.8</v>
      </c>
      <c r="Z266" s="51">
        <v>1935</v>
      </c>
      <c r="AA266" s="52">
        <f t="shared" si="10"/>
        <v>0.321279139270771</v>
      </c>
      <c r="AB266" s="12">
        <v>1935</v>
      </c>
      <c r="AC266" s="12">
        <v>0</v>
      </c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  <c r="AQ266" s="43"/>
      <c r="AR266" s="43"/>
      <c r="AS266" s="43"/>
      <c r="AT266" s="43"/>
      <c r="AU266" s="43"/>
      <c r="AV266" s="43"/>
    </row>
    <row r="267" ht="15.75" spans="1:48">
      <c r="A267" s="12">
        <v>263</v>
      </c>
      <c r="B267" s="57">
        <v>4360</v>
      </c>
      <c r="C267" s="45" t="s">
        <v>97</v>
      </c>
      <c r="D267" s="46"/>
      <c r="E267" s="47" t="s">
        <v>130</v>
      </c>
      <c r="F267" s="48">
        <v>0.5</v>
      </c>
      <c r="G267" s="38">
        <v>0</v>
      </c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49" t="s">
        <v>103</v>
      </c>
      <c r="Y267" s="50">
        <v>420</v>
      </c>
      <c r="Z267" s="51">
        <v>345</v>
      </c>
      <c r="AA267" s="52">
        <f t="shared" si="10"/>
        <v>0.821428571428571</v>
      </c>
      <c r="AB267" s="12">
        <v>345</v>
      </c>
      <c r="AC267" s="12">
        <v>0</v>
      </c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  <c r="AQ267" s="43"/>
      <c r="AR267" s="43"/>
      <c r="AS267" s="43"/>
      <c r="AT267" s="43"/>
      <c r="AU267" s="43"/>
      <c r="AV267" s="43"/>
    </row>
    <row r="268" ht="15.75" spans="1:48">
      <c r="A268" s="12">
        <v>264</v>
      </c>
      <c r="B268" s="57">
        <v>4360</v>
      </c>
      <c r="C268" s="45" t="s">
        <v>97</v>
      </c>
      <c r="D268" s="46"/>
      <c r="E268" s="47" t="s">
        <v>130</v>
      </c>
      <c r="F268" s="48">
        <v>1</v>
      </c>
      <c r="G268" s="38">
        <v>0</v>
      </c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49" t="s">
        <v>105</v>
      </c>
      <c r="Y268" s="50">
        <v>660</v>
      </c>
      <c r="Z268" s="51">
        <v>537</v>
      </c>
      <c r="AA268" s="52">
        <f t="shared" si="10"/>
        <v>0.813636363636364</v>
      </c>
      <c r="AB268" s="12">
        <v>537</v>
      </c>
      <c r="AC268" s="12">
        <v>0</v>
      </c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  <c r="AQ268" s="43"/>
      <c r="AR268" s="43"/>
      <c r="AS268" s="43"/>
      <c r="AT268" s="43"/>
      <c r="AU268" s="43"/>
      <c r="AV268" s="43"/>
    </row>
    <row r="269" ht="15.75" spans="1:48">
      <c r="A269" s="12">
        <v>265</v>
      </c>
      <c r="B269" s="44">
        <v>4412</v>
      </c>
      <c r="C269" s="45" t="s">
        <v>177</v>
      </c>
      <c r="D269" s="46"/>
      <c r="E269" s="47" t="s">
        <v>130</v>
      </c>
      <c r="F269" s="48">
        <v>0.5</v>
      </c>
      <c r="G269" s="38">
        <v>0</v>
      </c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49" t="s">
        <v>212</v>
      </c>
      <c r="Y269" s="50">
        <v>150</v>
      </c>
      <c r="Z269" s="51">
        <v>240</v>
      </c>
      <c r="AA269" s="52">
        <f t="shared" si="10"/>
        <v>1.6</v>
      </c>
      <c r="AB269" s="12">
        <v>240</v>
      </c>
      <c r="AC269" s="12">
        <v>0</v>
      </c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  <c r="AQ269" s="43"/>
      <c r="AR269" s="43"/>
      <c r="AS269" s="43"/>
      <c r="AT269" s="43"/>
      <c r="AU269" s="43"/>
      <c r="AV269" s="43"/>
    </row>
    <row r="270" ht="15.75" spans="1:48">
      <c r="A270" s="12">
        <v>266</v>
      </c>
      <c r="B270" s="44">
        <v>4412</v>
      </c>
      <c r="C270" s="45" t="s">
        <v>177</v>
      </c>
      <c r="D270" s="46"/>
      <c r="E270" s="47" t="s">
        <v>130</v>
      </c>
      <c r="F270" s="48">
        <v>3.5</v>
      </c>
      <c r="G270" s="38">
        <v>0.33</v>
      </c>
      <c r="H270" s="39"/>
      <c r="I270" s="39"/>
      <c r="J270" s="39"/>
      <c r="K270" s="39"/>
      <c r="L270" s="39"/>
      <c r="M270" s="39"/>
      <c r="N270" s="39"/>
      <c r="O270" s="39"/>
      <c r="P270" s="39"/>
      <c r="Q270" s="39">
        <v>0.33</v>
      </c>
      <c r="R270" s="39"/>
      <c r="S270" s="39"/>
      <c r="T270" s="39"/>
      <c r="U270" s="39"/>
      <c r="V270" s="39"/>
      <c r="W270" s="39"/>
      <c r="X270" s="49" t="s">
        <v>105</v>
      </c>
      <c r="Y270" s="50">
        <v>1155</v>
      </c>
      <c r="Z270" s="51">
        <v>2000</v>
      </c>
      <c r="AA270" s="52">
        <f t="shared" si="10"/>
        <v>1.73160173160173</v>
      </c>
      <c r="AB270" s="12">
        <v>2000</v>
      </c>
      <c r="AC270" s="12">
        <v>0</v>
      </c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  <c r="AQ270" s="43"/>
      <c r="AR270" s="43"/>
      <c r="AS270" s="43"/>
      <c r="AT270" s="43"/>
      <c r="AU270" s="43"/>
      <c r="AV270" s="43"/>
    </row>
    <row r="271" ht="15.75" spans="1:48">
      <c r="A271" s="12">
        <v>267</v>
      </c>
      <c r="B271" s="44">
        <v>4490</v>
      </c>
      <c r="C271" s="45" t="s">
        <v>91</v>
      </c>
      <c r="D271" s="46"/>
      <c r="E271" s="47" t="s">
        <v>130</v>
      </c>
      <c r="F271" s="48">
        <v>1.83</v>
      </c>
      <c r="G271" s="38">
        <v>0</v>
      </c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49" t="s">
        <v>103</v>
      </c>
      <c r="Y271" s="50">
        <v>1537.2</v>
      </c>
      <c r="Z271" s="51">
        <v>1269</v>
      </c>
      <c r="AA271" s="52">
        <f t="shared" si="10"/>
        <v>0.825526932084309</v>
      </c>
      <c r="AB271" s="12">
        <v>1269</v>
      </c>
      <c r="AC271" s="12">
        <v>0</v>
      </c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  <c r="AQ271" s="43"/>
      <c r="AR271" s="43"/>
      <c r="AS271" s="43"/>
      <c r="AT271" s="43"/>
      <c r="AU271" s="43"/>
      <c r="AV271" s="43"/>
    </row>
    <row r="272" ht="15.75" spans="1:48">
      <c r="A272" s="12">
        <v>268</v>
      </c>
      <c r="B272" s="44" t="s">
        <v>187</v>
      </c>
      <c r="C272" s="45" t="s">
        <v>188</v>
      </c>
      <c r="D272" s="46"/>
      <c r="E272" s="47" t="s">
        <v>130</v>
      </c>
      <c r="F272" s="48">
        <v>4</v>
      </c>
      <c r="G272" s="38">
        <v>0</v>
      </c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49" t="s">
        <v>103</v>
      </c>
      <c r="Y272" s="50">
        <v>3024</v>
      </c>
      <c r="Z272" s="51">
        <v>2640</v>
      </c>
      <c r="AA272" s="52">
        <f t="shared" si="10"/>
        <v>0.873015873015873</v>
      </c>
      <c r="AB272" s="12">
        <v>2640</v>
      </c>
      <c r="AC272" s="12">
        <v>0</v>
      </c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  <c r="AQ272" s="43"/>
      <c r="AR272" s="43"/>
      <c r="AS272" s="43"/>
      <c r="AT272" s="43"/>
      <c r="AU272" s="43"/>
      <c r="AV272" s="43"/>
    </row>
    <row r="273" ht="15.75" spans="1:48">
      <c r="A273" s="12">
        <v>269</v>
      </c>
      <c r="B273" s="44">
        <v>3959</v>
      </c>
      <c r="C273" s="45" t="s">
        <v>123</v>
      </c>
      <c r="D273" s="46"/>
      <c r="E273" s="47" t="s">
        <v>113</v>
      </c>
      <c r="F273" s="48">
        <v>4.585</v>
      </c>
      <c r="G273" s="38">
        <v>2.83</v>
      </c>
      <c r="H273" s="39"/>
      <c r="I273" s="39"/>
      <c r="J273" s="39"/>
      <c r="K273" s="39"/>
      <c r="L273" s="39"/>
      <c r="M273" s="39"/>
      <c r="N273" s="39"/>
      <c r="O273" s="39"/>
      <c r="P273" s="39"/>
      <c r="Q273" s="39">
        <v>1.33</v>
      </c>
      <c r="R273" s="39"/>
      <c r="S273" s="39"/>
      <c r="T273" s="39">
        <v>1.5</v>
      </c>
      <c r="U273" s="39"/>
      <c r="V273" s="39"/>
      <c r="W273" s="39"/>
      <c r="X273" s="49" t="s">
        <v>63</v>
      </c>
      <c r="Y273" s="50">
        <v>825.3</v>
      </c>
      <c r="Z273" s="51">
        <v>850</v>
      </c>
      <c r="AA273" s="52">
        <f t="shared" si="10"/>
        <v>1.02992851084454</v>
      </c>
      <c r="AB273" s="12">
        <v>850</v>
      </c>
      <c r="AC273" s="12">
        <v>0</v>
      </c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  <c r="AQ273" s="43"/>
      <c r="AR273" s="43"/>
      <c r="AS273" s="43"/>
      <c r="AT273" s="43"/>
      <c r="AU273" s="43"/>
      <c r="AV273" s="43"/>
    </row>
    <row r="274" ht="15.75" spans="1:48">
      <c r="A274" s="12">
        <v>270</v>
      </c>
      <c r="B274" s="44">
        <v>3959</v>
      </c>
      <c r="C274" s="45" t="s">
        <v>123</v>
      </c>
      <c r="D274" s="46"/>
      <c r="E274" s="47" t="s">
        <v>113</v>
      </c>
      <c r="F274" s="48">
        <v>4.58</v>
      </c>
      <c r="G274" s="38">
        <v>0</v>
      </c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49" t="s">
        <v>62</v>
      </c>
      <c r="Y274" s="50">
        <v>824.4</v>
      </c>
      <c r="Z274" s="51">
        <v>850</v>
      </c>
      <c r="AA274" s="52">
        <f t="shared" si="10"/>
        <v>1.03105288694808</v>
      </c>
      <c r="AB274" s="12">
        <v>850</v>
      </c>
      <c r="AC274" s="12">
        <v>0</v>
      </c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  <c r="AQ274" s="43"/>
      <c r="AR274" s="43"/>
      <c r="AS274" s="43"/>
      <c r="AT274" s="43"/>
      <c r="AU274" s="43"/>
      <c r="AV274" s="43"/>
    </row>
    <row r="275" ht="15.75" spans="1:48">
      <c r="A275" s="12">
        <v>271</v>
      </c>
      <c r="B275" s="44">
        <v>4456</v>
      </c>
      <c r="C275" s="45" t="s">
        <v>119</v>
      </c>
      <c r="D275" s="46"/>
      <c r="E275" s="47" t="s">
        <v>113</v>
      </c>
      <c r="F275" s="48">
        <v>10.66</v>
      </c>
      <c r="G275" s="38">
        <v>1.33</v>
      </c>
      <c r="H275" s="39"/>
      <c r="I275" s="39"/>
      <c r="J275" s="39"/>
      <c r="K275" s="39"/>
      <c r="L275" s="39"/>
      <c r="M275" s="39"/>
      <c r="N275" s="39"/>
      <c r="O275" s="39"/>
      <c r="P275" s="39"/>
      <c r="Q275" s="39">
        <v>1.33</v>
      </c>
      <c r="R275" s="39"/>
      <c r="S275" s="39"/>
      <c r="T275" s="39"/>
      <c r="U275" s="39"/>
      <c r="V275" s="39"/>
      <c r="W275" s="39"/>
      <c r="X275" s="49" t="s">
        <v>120</v>
      </c>
      <c r="Y275" s="50">
        <v>2665</v>
      </c>
      <c r="Z275" s="51">
        <v>2550</v>
      </c>
      <c r="AA275" s="52">
        <f t="shared" si="10"/>
        <v>0.956848030018762</v>
      </c>
      <c r="AB275" s="12">
        <v>2550</v>
      </c>
      <c r="AC275" s="12">
        <v>0</v>
      </c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  <c r="AQ275" s="43"/>
      <c r="AR275" s="43"/>
      <c r="AS275" s="43"/>
      <c r="AT275" s="43"/>
      <c r="AU275" s="43"/>
      <c r="AV275" s="43"/>
    </row>
    <row r="276" ht="15.75" spans="1:48">
      <c r="A276" s="12">
        <v>272</v>
      </c>
      <c r="B276" s="44">
        <v>2649</v>
      </c>
      <c r="C276" s="45" t="s">
        <v>121</v>
      </c>
      <c r="D276" s="46"/>
      <c r="E276" s="47" t="s">
        <v>113</v>
      </c>
      <c r="F276" s="48">
        <v>8</v>
      </c>
      <c r="G276" s="38">
        <v>0</v>
      </c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49" t="s">
        <v>120</v>
      </c>
      <c r="Y276" s="50">
        <v>2000</v>
      </c>
      <c r="Z276" s="51">
        <v>1950</v>
      </c>
      <c r="AA276" s="52">
        <f t="shared" si="10"/>
        <v>0.975</v>
      </c>
      <c r="AB276" s="12">
        <v>1950</v>
      </c>
      <c r="AC276" s="12">
        <v>0</v>
      </c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  <c r="AQ276" s="43"/>
      <c r="AR276" s="43"/>
      <c r="AS276" s="43"/>
      <c r="AT276" s="43"/>
      <c r="AU276" s="43"/>
      <c r="AV276" s="43"/>
    </row>
    <row r="277" ht="15.75" spans="1:48">
      <c r="A277" s="12">
        <v>273</v>
      </c>
      <c r="B277" s="44">
        <v>2649</v>
      </c>
      <c r="C277" s="45" t="s">
        <v>121</v>
      </c>
      <c r="D277" s="46"/>
      <c r="E277" s="47" t="s">
        <v>113</v>
      </c>
      <c r="F277" s="48">
        <v>2.66</v>
      </c>
      <c r="G277" s="38">
        <v>0</v>
      </c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49" t="s">
        <v>122</v>
      </c>
      <c r="Y277" s="50">
        <v>0</v>
      </c>
      <c r="Z277" s="51"/>
      <c r="AA277" s="52">
        <f>IFERROR(Z277/Y277,0)</f>
        <v>0</v>
      </c>
      <c r="AB277" s="12">
        <v>0</v>
      </c>
      <c r="AC277" s="12">
        <v>0</v>
      </c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  <c r="AQ277" s="43"/>
      <c r="AR277" s="43"/>
      <c r="AS277" s="43"/>
      <c r="AT277" s="43"/>
      <c r="AU277" s="43"/>
      <c r="AV277" s="43"/>
    </row>
    <row r="278" ht="15.75" spans="1:48">
      <c r="A278" s="12">
        <v>274</v>
      </c>
      <c r="B278" s="44">
        <v>655</v>
      </c>
      <c r="C278" s="45" t="s">
        <v>198</v>
      </c>
      <c r="D278" s="46">
        <v>9</v>
      </c>
      <c r="E278" s="47" t="s">
        <v>113</v>
      </c>
      <c r="F278" s="48">
        <v>10.5</v>
      </c>
      <c r="G278" s="38">
        <v>1.5</v>
      </c>
      <c r="H278" s="39"/>
      <c r="I278" s="39"/>
      <c r="J278" s="39"/>
      <c r="K278" s="39"/>
      <c r="L278" s="39"/>
      <c r="M278" s="39"/>
      <c r="N278" s="39"/>
      <c r="O278" s="39"/>
      <c r="P278" s="39"/>
      <c r="Q278" s="39">
        <v>1.33</v>
      </c>
      <c r="R278" s="39"/>
      <c r="S278" s="39"/>
      <c r="T278" s="39"/>
      <c r="U278" s="39">
        <v>0.17</v>
      </c>
      <c r="V278" s="39"/>
      <c r="W278" s="39"/>
      <c r="X278" s="49">
        <v>9140</v>
      </c>
      <c r="Y278" s="50">
        <v>5250</v>
      </c>
      <c r="Z278" s="51">
        <v>4320</v>
      </c>
      <c r="AA278" s="52">
        <f t="shared" ref="AA278:AA302" si="11">IFERROR(Z278/Y278,0)</f>
        <v>0.822857142857143</v>
      </c>
      <c r="AB278" s="12">
        <v>4320</v>
      </c>
      <c r="AC278" s="12">
        <v>0</v>
      </c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  <c r="AQ278" s="43"/>
      <c r="AR278" s="43"/>
      <c r="AS278" s="43"/>
      <c r="AT278" s="43"/>
      <c r="AU278" s="43"/>
      <c r="AV278" s="43"/>
    </row>
    <row r="279" ht="15.75" spans="1:48">
      <c r="A279" s="12">
        <v>275</v>
      </c>
      <c r="B279" s="44">
        <v>4325</v>
      </c>
      <c r="C279" s="45" t="s">
        <v>118</v>
      </c>
      <c r="D279" s="46">
        <v>4</v>
      </c>
      <c r="E279" s="47" t="s">
        <v>113</v>
      </c>
      <c r="F279" s="48">
        <v>2.66</v>
      </c>
      <c r="G279" s="38">
        <v>0</v>
      </c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49">
        <v>9116</v>
      </c>
      <c r="Y279" s="50">
        <v>798</v>
      </c>
      <c r="Z279" s="51">
        <v>810</v>
      </c>
      <c r="AA279" s="52">
        <f t="shared" si="11"/>
        <v>1.01503759398496</v>
      </c>
      <c r="AB279" s="12">
        <v>810</v>
      </c>
      <c r="AC279" s="12">
        <v>0</v>
      </c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  <c r="AQ279" s="43"/>
      <c r="AR279" s="43"/>
      <c r="AS279" s="43"/>
      <c r="AT279" s="43"/>
      <c r="AU279" s="43"/>
      <c r="AV279" s="43"/>
    </row>
    <row r="280" ht="15.75" spans="1:48">
      <c r="A280" s="12">
        <v>276</v>
      </c>
      <c r="B280" s="44">
        <v>4325</v>
      </c>
      <c r="C280" s="45" t="s">
        <v>118</v>
      </c>
      <c r="D280" s="46"/>
      <c r="E280" s="47" t="s">
        <v>113</v>
      </c>
      <c r="F280" s="48">
        <v>8</v>
      </c>
      <c r="G280" s="38">
        <v>1.33</v>
      </c>
      <c r="H280" s="39"/>
      <c r="I280" s="39"/>
      <c r="J280" s="39"/>
      <c r="K280" s="39"/>
      <c r="L280" s="39"/>
      <c r="M280" s="39"/>
      <c r="N280" s="39"/>
      <c r="O280" s="39"/>
      <c r="P280" s="39"/>
      <c r="Q280" s="39">
        <v>1.33</v>
      </c>
      <c r="R280" s="39"/>
      <c r="S280" s="39"/>
      <c r="T280" s="39"/>
      <c r="U280" s="39"/>
      <c r="V280" s="39"/>
      <c r="W280" s="39"/>
      <c r="X280" s="49" t="s">
        <v>213</v>
      </c>
      <c r="Y280" s="50">
        <v>960</v>
      </c>
      <c r="Z280" s="51">
        <v>990</v>
      </c>
      <c r="AA280" s="52">
        <f t="shared" si="11"/>
        <v>1.03125</v>
      </c>
      <c r="AB280" s="12">
        <v>990</v>
      </c>
      <c r="AC280" s="12">
        <v>0</v>
      </c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  <c r="AQ280" s="43"/>
      <c r="AR280" s="43"/>
      <c r="AS280" s="43"/>
      <c r="AT280" s="43"/>
      <c r="AU280" s="43"/>
      <c r="AV280" s="43"/>
    </row>
    <row r="281" ht="15.75" spans="1:48">
      <c r="A281" s="12">
        <v>277</v>
      </c>
      <c r="B281" s="44">
        <v>4418</v>
      </c>
      <c r="C281" s="45" t="s">
        <v>125</v>
      </c>
      <c r="D281" s="46">
        <v>1</v>
      </c>
      <c r="E281" s="47" t="s">
        <v>113</v>
      </c>
      <c r="F281" s="48">
        <v>0.66</v>
      </c>
      <c r="G281" s="38">
        <v>0.17</v>
      </c>
      <c r="H281" s="39"/>
      <c r="I281" s="39"/>
      <c r="J281" s="39">
        <v>0.17</v>
      </c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49" t="s">
        <v>214</v>
      </c>
      <c r="Y281" s="50">
        <v>221.1</v>
      </c>
      <c r="Z281" s="51">
        <v>188</v>
      </c>
      <c r="AA281" s="52">
        <f t="shared" si="11"/>
        <v>0.850293984622343</v>
      </c>
      <c r="AB281" s="12">
        <v>188</v>
      </c>
      <c r="AC281" s="12">
        <v>0</v>
      </c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  <c r="AQ281" s="43"/>
      <c r="AR281" s="43"/>
      <c r="AS281" s="43"/>
      <c r="AT281" s="43"/>
      <c r="AU281" s="43"/>
      <c r="AV281" s="43"/>
    </row>
    <row r="282" ht="15.75" spans="1:48">
      <c r="A282" s="12">
        <v>278</v>
      </c>
      <c r="B282" s="44">
        <v>4418</v>
      </c>
      <c r="C282" s="45" t="s">
        <v>125</v>
      </c>
      <c r="D282" s="46">
        <v>1</v>
      </c>
      <c r="E282" s="47" t="s">
        <v>113</v>
      </c>
      <c r="F282" s="48">
        <v>9.33</v>
      </c>
      <c r="G282" s="38">
        <v>0.5</v>
      </c>
      <c r="H282" s="39"/>
      <c r="I282" s="39"/>
      <c r="J282" s="39"/>
      <c r="K282" s="39">
        <v>0.33</v>
      </c>
      <c r="L282" s="39"/>
      <c r="M282" s="39"/>
      <c r="N282" s="39"/>
      <c r="O282" s="39"/>
      <c r="P282" s="39"/>
      <c r="Q282" s="39"/>
      <c r="R282" s="39"/>
      <c r="S282" s="39"/>
      <c r="T282" s="39"/>
      <c r="U282" s="39">
        <v>0.17</v>
      </c>
      <c r="V282" s="39"/>
      <c r="W282" s="39"/>
      <c r="X282" s="49" t="s">
        <v>199</v>
      </c>
      <c r="Y282" s="50">
        <v>3265.5</v>
      </c>
      <c r="Z282" s="51">
        <v>3360</v>
      </c>
      <c r="AA282" s="52">
        <f t="shared" si="11"/>
        <v>1.02893890675241</v>
      </c>
      <c r="AB282" s="12">
        <v>3360</v>
      </c>
      <c r="AC282" s="12">
        <v>0</v>
      </c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  <c r="AQ282" s="43"/>
      <c r="AR282" s="43"/>
      <c r="AS282" s="43"/>
      <c r="AT282" s="43"/>
      <c r="AU282" s="43"/>
      <c r="AV282" s="43"/>
    </row>
    <row r="283" ht="15.75" spans="1:48">
      <c r="A283" s="12">
        <v>279</v>
      </c>
      <c r="B283" s="44">
        <v>656</v>
      </c>
      <c r="C283" s="45" t="s">
        <v>195</v>
      </c>
      <c r="D283" s="46">
        <v>12</v>
      </c>
      <c r="E283" s="47" t="s">
        <v>113</v>
      </c>
      <c r="F283" s="48">
        <v>7</v>
      </c>
      <c r="G283" s="38">
        <v>1.5</v>
      </c>
      <c r="H283" s="39"/>
      <c r="I283" s="39"/>
      <c r="J283" s="39"/>
      <c r="K283" s="39"/>
      <c r="L283" s="39"/>
      <c r="M283" s="39"/>
      <c r="N283" s="39"/>
      <c r="O283" s="39"/>
      <c r="P283" s="39"/>
      <c r="Q283" s="39">
        <v>1.33</v>
      </c>
      <c r="R283" s="39"/>
      <c r="S283" s="39"/>
      <c r="T283" s="39"/>
      <c r="U283" s="39">
        <v>0.17</v>
      </c>
      <c r="V283" s="39"/>
      <c r="W283" s="39"/>
      <c r="X283" s="49" t="s">
        <v>71</v>
      </c>
      <c r="Y283" s="50">
        <v>2345</v>
      </c>
      <c r="Z283" s="51">
        <v>2280</v>
      </c>
      <c r="AA283" s="52">
        <f t="shared" si="11"/>
        <v>0.97228144989339</v>
      </c>
      <c r="AB283" s="12">
        <v>2280</v>
      </c>
      <c r="AC283" s="12">
        <v>0</v>
      </c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  <c r="AQ283" s="43"/>
      <c r="AR283" s="43"/>
      <c r="AS283" s="43"/>
      <c r="AT283" s="43"/>
      <c r="AU283" s="43"/>
      <c r="AV283" s="43"/>
    </row>
    <row r="284" ht="15.75" spans="1:48">
      <c r="A284" s="12">
        <v>280</v>
      </c>
      <c r="B284" s="44">
        <v>656</v>
      </c>
      <c r="C284" s="45" t="s">
        <v>195</v>
      </c>
      <c r="D284" s="46"/>
      <c r="E284" s="47" t="s">
        <v>113</v>
      </c>
      <c r="F284" s="48">
        <v>1.83</v>
      </c>
      <c r="G284" s="38">
        <v>0</v>
      </c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49" t="s">
        <v>63</v>
      </c>
      <c r="Y284" s="50">
        <v>329.4</v>
      </c>
      <c r="Z284" s="51">
        <v>350</v>
      </c>
      <c r="AA284" s="52">
        <f t="shared" si="11"/>
        <v>1.06253794778385</v>
      </c>
      <c r="AB284" s="12">
        <v>350</v>
      </c>
      <c r="AC284" s="12">
        <v>0</v>
      </c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  <c r="AQ284" s="43"/>
      <c r="AR284" s="43"/>
      <c r="AS284" s="43"/>
      <c r="AT284" s="43"/>
      <c r="AU284" s="43"/>
      <c r="AV284" s="43"/>
    </row>
    <row r="285" ht="15.75" spans="1:48">
      <c r="A285" s="12">
        <v>281</v>
      </c>
      <c r="B285" s="44">
        <v>656</v>
      </c>
      <c r="C285" s="45" t="s">
        <v>195</v>
      </c>
      <c r="D285" s="46"/>
      <c r="E285" s="47" t="s">
        <v>113</v>
      </c>
      <c r="F285" s="48">
        <v>1.83</v>
      </c>
      <c r="G285" s="38">
        <v>0</v>
      </c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49" t="s">
        <v>62</v>
      </c>
      <c r="Y285" s="50">
        <v>329.4</v>
      </c>
      <c r="Z285" s="51">
        <v>350</v>
      </c>
      <c r="AA285" s="52">
        <f t="shared" si="11"/>
        <v>1.06253794778385</v>
      </c>
      <c r="AB285" s="12">
        <v>350</v>
      </c>
      <c r="AC285" s="12">
        <v>0</v>
      </c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  <c r="AQ285" s="43"/>
      <c r="AR285" s="43"/>
      <c r="AS285" s="43"/>
      <c r="AT285" s="43"/>
      <c r="AU285" s="43"/>
      <c r="AV285" s="43"/>
    </row>
    <row r="286" ht="15.75" spans="1:48">
      <c r="A286" s="12">
        <v>282</v>
      </c>
      <c r="B286" s="44">
        <v>2890</v>
      </c>
      <c r="C286" s="45" t="s">
        <v>111</v>
      </c>
      <c r="D286" s="46" t="s">
        <v>215</v>
      </c>
      <c r="E286" s="47" t="s">
        <v>113</v>
      </c>
      <c r="F286" s="48">
        <v>10.33</v>
      </c>
      <c r="G286" s="38">
        <v>1.5</v>
      </c>
      <c r="H286" s="39"/>
      <c r="I286" s="39"/>
      <c r="J286" s="39"/>
      <c r="K286" s="39">
        <v>0.17</v>
      </c>
      <c r="L286" s="39"/>
      <c r="M286" s="39"/>
      <c r="N286" s="39"/>
      <c r="O286" s="39"/>
      <c r="P286" s="39"/>
      <c r="Q286" s="39">
        <v>1.33</v>
      </c>
      <c r="R286" s="39"/>
      <c r="S286" s="39"/>
      <c r="T286" s="39"/>
      <c r="U286" s="39"/>
      <c r="V286" s="39"/>
      <c r="W286" s="39"/>
      <c r="X286" s="49" t="s">
        <v>216</v>
      </c>
      <c r="Y286" s="50">
        <v>8780.5</v>
      </c>
      <c r="Z286" s="51">
        <v>8500</v>
      </c>
      <c r="AA286" s="52">
        <f t="shared" si="11"/>
        <v>0.968054211035818</v>
      </c>
      <c r="AB286" s="12">
        <v>8454</v>
      </c>
      <c r="AC286" s="12">
        <v>46</v>
      </c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19">
        <v>46</v>
      </c>
      <c r="AO286" s="43"/>
      <c r="AP286" s="43"/>
      <c r="AQ286" s="43"/>
      <c r="AR286" s="43"/>
      <c r="AS286" s="43"/>
      <c r="AT286" s="43"/>
      <c r="AU286" s="43"/>
      <c r="AV286" s="43"/>
    </row>
    <row r="287" ht="15.75" spans="1:48">
      <c r="A287" s="12">
        <v>283</v>
      </c>
      <c r="B287" s="44">
        <v>3111</v>
      </c>
      <c r="C287" s="45" t="s">
        <v>124</v>
      </c>
      <c r="D287" s="46" t="s">
        <v>217</v>
      </c>
      <c r="E287" s="47" t="s">
        <v>113</v>
      </c>
      <c r="F287" s="48">
        <v>5</v>
      </c>
      <c r="G287" s="38">
        <v>1.5</v>
      </c>
      <c r="H287" s="39"/>
      <c r="I287" s="39"/>
      <c r="J287" s="39"/>
      <c r="K287" s="39"/>
      <c r="L287" s="39"/>
      <c r="M287" s="39"/>
      <c r="N287" s="39"/>
      <c r="O287" s="39"/>
      <c r="P287" s="39"/>
      <c r="Q287" s="39">
        <v>1.33</v>
      </c>
      <c r="R287" s="39"/>
      <c r="S287" s="39"/>
      <c r="T287" s="39"/>
      <c r="U287" s="39">
        <v>0.17</v>
      </c>
      <c r="V287" s="39"/>
      <c r="W287" s="39"/>
      <c r="X287" s="49" t="s">
        <v>218</v>
      </c>
      <c r="Y287" s="50">
        <v>12075</v>
      </c>
      <c r="Z287" s="51">
        <v>12060</v>
      </c>
      <c r="AA287" s="52">
        <f t="shared" si="11"/>
        <v>0.998757763975155</v>
      </c>
      <c r="AB287" s="12">
        <v>12060</v>
      </c>
      <c r="AC287" s="12">
        <v>0</v>
      </c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  <c r="AQ287" s="43"/>
      <c r="AR287" s="43"/>
      <c r="AS287" s="43"/>
      <c r="AT287" s="43"/>
      <c r="AU287" s="43"/>
      <c r="AV287" s="43"/>
    </row>
    <row r="288" ht="15.75" spans="1:48">
      <c r="A288" s="12">
        <v>284</v>
      </c>
      <c r="B288" s="44">
        <v>3111</v>
      </c>
      <c r="C288" s="45" t="s">
        <v>124</v>
      </c>
      <c r="D288" s="46" t="s">
        <v>116</v>
      </c>
      <c r="E288" s="47" t="s">
        <v>113</v>
      </c>
      <c r="F288" s="48">
        <v>5</v>
      </c>
      <c r="G288" s="38">
        <v>0.5</v>
      </c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>
        <v>0.5</v>
      </c>
      <c r="V288" s="39"/>
      <c r="W288" s="39"/>
      <c r="X288" s="49" t="s">
        <v>117</v>
      </c>
      <c r="Y288" s="50">
        <v>15525</v>
      </c>
      <c r="Z288" s="51">
        <v>15720</v>
      </c>
      <c r="AA288" s="52">
        <f t="shared" si="11"/>
        <v>1.01256038647343</v>
      </c>
      <c r="AB288" s="12">
        <v>15720</v>
      </c>
      <c r="AC288" s="12">
        <v>0</v>
      </c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  <c r="AQ288" s="43"/>
      <c r="AR288" s="43"/>
      <c r="AS288" s="43"/>
      <c r="AT288" s="43"/>
      <c r="AU288" s="43"/>
      <c r="AV288" s="43"/>
    </row>
    <row r="289" ht="15.75" spans="1:48">
      <c r="A289" s="12">
        <v>285</v>
      </c>
      <c r="B289" s="44">
        <v>2865</v>
      </c>
      <c r="C289" s="45" t="s">
        <v>149</v>
      </c>
      <c r="D289" s="46">
        <v>15</v>
      </c>
      <c r="E289" s="47" t="s">
        <v>113</v>
      </c>
      <c r="F289" s="48">
        <v>6.5</v>
      </c>
      <c r="G289" s="38">
        <v>3.83</v>
      </c>
      <c r="H289" s="39"/>
      <c r="I289" s="39"/>
      <c r="J289" s="39"/>
      <c r="K289" s="39">
        <v>0.83</v>
      </c>
      <c r="L289" s="39"/>
      <c r="M289" s="39"/>
      <c r="N289" s="39"/>
      <c r="O289" s="39"/>
      <c r="P289" s="39"/>
      <c r="Q289" s="39">
        <v>1.33</v>
      </c>
      <c r="R289" s="39"/>
      <c r="S289" s="39"/>
      <c r="T289" s="39">
        <v>1.5</v>
      </c>
      <c r="U289" s="39">
        <v>0.17</v>
      </c>
      <c r="V289" s="39"/>
      <c r="W289" s="39"/>
      <c r="X289" s="49">
        <v>3880</v>
      </c>
      <c r="Y289" s="50">
        <v>2600</v>
      </c>
      <c r="Z289" s="51">
        <v>2520</v>
      </c>
      <c r="AA289" s="52">
        <f t="shared" si="11"/>
        <v>0.969230769230769</v>
      </c>
      <c r="AB289" s="12">
        <v>2471</v>
      </c>
      <c r="AC289" s="12">
        <v>49</v>
      </c>
      <c r="AD289" s="19">
        <v>49</v>
      </c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  <c r="AQ289" s="43"/>
      <c r="AR289" s="43"/>
      <c r="AS289" s="43"/>
      <c r="AT289" s="43"/>
      <c r="AU289" s="43"/>
      <c r="AV289" s="43"/>
    </row>
    <row r="290" ht="15.75" spans="1:48">
      <c r="A290" s="12">
        <v>286</v>
      </c>
      <c r="B290" s="57">
        <v>977</v>
      </c>
      <c r="C290" s="45" t="s">
        <v>141</v>
      </c>
      <c r="D290" s="46">
        <v>17</v>
      </c>
      <c r="E290" s="47" t="s">
        <v>113</v>
      </c>
      <c r="F290" s="48">
        <v>10.67</v>
      </c>
      <c r="G290" s="38">
        <v>1.33</v>
      </c>
      <c r="H290" s="39"/>
      <c r="I290" s="39"/>
      <c r="J290" s="39"/>
      <c r="K290" s="39"/>
      <c r="L290" s="39"/>
      <c r="M290" s="39"/>
      <c r="N290" s="39"/>
      <c r="O290" s="39"/>
      <c r="P290" s="39"/>
      <c r="Q290" s="39">
        <v>1.33</v>
      </c>
      <c r="R290" s="39"/>
      <c r="S290" s="39"/>
      <c r="T290" s="39"/>
      <c r="U290" s="39"/>
      <c r="V290" s="39"/>
      <c r="W290" s="39"/>
      <c r="X290" s="49" t="s">
        <v>96</v>
      </c>
      <c r="Y290" s="50">
        <v>13924.35</v>
      </c>
      <c r="Z290" s="51">
        <v>9500</v>
      </c>
      <c r="AA290" s="52">
        <f t="shared" si="11"/>
        <v>0.682258058724465</v>
      </c>
      <c r="AB290" s="12">
        <v>9500</v>
      </c>
      <c r="AC290" s="12">
        <v>0</v>
      </c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  <c r="AQ290" s="43"/>
      <c r="AR290" s="43"/>
      <c r="AS290" s="43"/>
      <c r="AT290" s="43"/>
      <c r="AU290" s="43"/>
      <c r="AV290" s="43"/>
    </row>
    <row r="291" ht="15.75" spans="1:48">
      <c r="A291" s="12">
        <v>287</v>
      </c>
      <c r="B291" s="57">
        <v>4342</v>
      </c>
      <c r="C291" s="45" t="s">
        <v>147</v>
      </c>
      <c r="D291" s="46"/>
      <c r="E291" s="47" t="s">
        <v>113</v>
      </c>
      <c r="F291" s="48">
        <v>9.83</v>
      </c>
      <c r="G291" s="38">
        <v>2.17</v>
      </c>
      <c r="H291" s="39"/>
      <c r="I291" s="39"/>
      <c r="J291" s="39"/>
      <c r="K291" s="39"/>
      <c r="L291" s="39"/>
      <c r="M291" s="39"/>
      <c r="N291" s="39"/>
      <c r="O291" s="39"/>
      <c r="P291" s="39"/>
      <c r="Q291" s="39">
        <v>1.33</v>
      </c>
      <c r="R291" s="39"/>
      <c r="S291" s="39">
        <v>0.67</v>
      </c>
      <c r="T291" s="39"/>
      <c r="U291" s="39">
        <v>0.17</v>
      </c>
      <c r="V291" s="39"/>
      <c r="W291" s="39"/>
      <c r="X291" s="49" t="s">
        <v>98</v>
      </c>
      <c r="Y291" s="50">
        <v>4620.1</v>
      </c>
      <c r="Z291" s="51">
        <v>4500</v>
      </c>
      <c r="AA291" s="52">
        <f t="shared" si="11"/>
        <v>0.974004891669011</v>
      </c>
      <c r="AB291" s="12">
        <v>4500</v>
      </c>
      <c r="AC291" s="12">
        <v>0</v>
      </c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  <c r="AQ291" s="43"/>
      <c r="AR291" s="43"/>
      <c r="AS291" s="43"/>
      <c r="AT291" s="43"/>
      <c r="AU291" s="43"/>
      <c r="AV291" s="43"/>
    </row>
    <row r="292" ht="15.75" spans="1:48">
      <c r="A292" s="12">
        <v>288</v>
      </c>
      <c r="B292" s="57">
        <v>947</v>
      </c>
      <c r="C292" s="45" t="s">
        <v>143</v>
      </c>
      <c r="D292" s="46">
        <v>18</v>
      </c>
      <c r="E292" s="47" t="s">
        <v>113</v>
      </c>
      <c r="F292" s="48">
        <v>4.67</v>
      </c>
      <c r="G292" s="38">
        <v>1.84</v>
      </c>
      <c r="H292" s="39"/>
      <c r="I292" s="39"/>
      <c r="J292" s="39">
        <v>0.17</v>
      </c>
      <c r="K292" s="39"/>
      <c r="L292" s="39"/>
      <c r="M292" s="39"/>
      <c r="N292" s="39"/>
      <c r="O292" s="39"/>
      <c r="P292" s="39"/>
      <c r="Q292" s="39">
        <v>1.33</v>
      </c>
      <c r="R292" s="39"/>
      <c r="S292" s="39"/>
      <c r="T292" s="39">
        <v>0.17</v>
      </c>
      <c r="U292" s="39">
        <v>0.17</v>
      </c>
      <c r="V292" s="39"/>
      <c r="W292" s="39"/>
      <c r="X292" s="49">
        <v>9968</v>
      </c>
      <c r="Y292" s="50">
        <v>2542.815</v>
      </c>
      <c r="Z292" s="51">
        <v>2670</v>
      </c>
      <c r="AA292" s="52">
        <f t="shared" si="11"/>
        <v>1.0500174019738</v>
      </c>
      <c r="AB292" s="12">
        <v>2652</v>
      </c>
      <c r="AC292" s="12">
        <v>18</v>
      </c>
      <c r="AD292" s="19">
        <v>18</v>
      </c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  <c r="AQ292" s="43"/>
      <c r="AR292" s="43"/>
      <c r="AS292" s="43"/>
      <c r="AT292" s="43"/>
      <c r="AU292" s="43"/>
      <c r="AV292" s="43"/>
    </row>
    <row r="293" ht="15.75" spans="1:48">
      <c r="A293" s="12">
        <v>289</v>
      </c>
      <c r="B293" s="44">
        <v>947</v>
      </c>
      <c r="C293" s="45" t="s">
        <v>143</v>
      </c>
      <c r="D293" s="46">
        <v>18</v>
      </c>
      <c r="E293" s="47" t="s">
        <v>113</v>
      </c>
      <c r="F293" s="48">
        <v>3</v>
      </c>
      <c r="G293" s="38">
        <v>0.5</v>
      </c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>
        <v>0.33</v>
      </c>
      <c r="U293" s="39">
        <v>0.17</v>
      </c>
      <c r="V293" s="39"/>
      <c r="W293" s="39"/>
      <c r="X293" s="49">
        <v>6270</v>
      </c>
      <c r="Y293" s="50">
        <v>1633.5</v>
      </c>
      <c r="Z293" s="51">
        <v>1680</v>
      </c>
      <c r="AA293" s="52">
        <f t="shared" si="11"/>
        <v>1.02846648301194</v>
      </c>
      <c r="AB293" s="12">
        <v>1680</v>
      </c>
      <c r="AC293" s="12">
        <v>0</v>
      </c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  <c r="AQ293" s="43"/>
      <c r="AR293" s="43"/>
      <c r="AS293" s="43"/>
      <c r="AT293" s="43"/>
      <c r="AU293" s="43"/>
      <c r="AV293" s="43"/>
    </row>
    <row r="294" ht="15.75" spans="1:48">
      <c r="A294" s="12">
        <v>290</v>
      </c>
      <c r="B294" s="44">
        <v>4017</v>
      </c>
      <c r="C294" s="45" t="s">
        <v>148</v>
      </c>
      <c r="D294" s="46">
        <v>2</v>
      </c>
      <c r="E294" s="47" t="s">
        <v>113</v>
      </c>
      <c r="F294" s="48">
        <v>1.33</v>
      </c>
      <c r="G294" s="38">
        <v>0</v>
      </c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49">
        <v>1090</v>
      </c>
      <c r="Y294" s="50">
        <v>877.8</v>
      </c>
      <c r="Z294" s="51">
        <v>825</v>
      </c>
      <c r="AA294" s="52">
        <f t="shared" si="11"/>
        <v>0.93984962406015</v>
      </c>
      <c r="AB294" s="12">
        <v>814</v>
      </c>
      <c r="AC294" s="12">
        <v>11</v>
      </c>
      <c r="AD294" s="19">
        <v>11</v>
      </c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  <c r="AQ294" s="43"/>
      <c r="AR294" s="43"/>
      <c r="AS294" s="43"/>
      <c r="AT294" s="43"/>
      <c r="AU294" s="43"/>
      <c r="AV294" s="43"/>
    </row>
    <row r="295" ht="15.75" spans="1:48">
      <c r="A295" s="12">
        <v>291</v>
      </c>
      <c r="B295" s="44">
        <v>4017</v>
      </c>
      <c r="C295" s="45" t="s">
        <v>148</v>
      </c>
      <c r="D295" s="46">
        <v>3</v>
      </c>
      <c r="E295" s="47" t="s">
        <v>113</v>
      </c>
      <c r="F295" s="48">
        <v>7.17</v>
      </c>
      <c r="G295" s="38">
        <v>3.51</v>
      </c>
      <c r="H295" s="39"/>
      <c r="I295" s="39"/>
      <c r="J295" s="39">
        <v>0.17</v>
      </c>
      <c r="K295" s="39">
        <v>0.67</v>
      </c>
      <c r="L295" s="39"/>
      <c r="M295" s="39"/>
      <c r="N295" s="39"/>
      <c r="O295" s="39"/>
      <c r="P295" s="39"/>
      <c r="Q295" s="39">
        <v>1.33</v>
      </c>
      <c r="R295" s="39"/>
      <c r="S295" s="39"/>
      <c r="T295" s="39">
        <v>1.17</v>
      </c>
      <c r="U295" s="39">
        <v>0.17</v>
      </c>
      <c r="V295" s="39"/>
      <c r="W295" s="39"/>
      <c r="X295" s="49" t="s">
        <v>219</v>
      </c>
      <c r="Y295" s="50">
        <v>3728.4</v>
      </c>
      <c r="Z295" s="51">
        <v>3255</v>
      </c>
      <c r="AA295" s="52">
        <f t="shared" si="11"/>
        <v>0.873028644995172</v>
      </c>
      <c r="AB295" s="12">
        <v>3231</v>
      </c>
      <c r="AC295" s="12">
        <v>24</v>
      </c>
      <c r="AD295" s="19">
        <v>24</v>
      </c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  <c r="AQ295" s="43"/>
      <c r="AR295" s="43"/>
      <c r="AS295" s="43"/>
      <c r="AT295" s="43"/>
      <c r="AU295" s="43"/>
      <c r="AV295" s="43"/>
    </row>
    <row r="296" ht="15.75" spans="1:48">
      <c r="A296" s="12">
        <v>292</v>
      </c>
      <c r="B296" s="44">
        <v>4110</v>
      </c>
      <c r="C296" s="45" t="s">
        <v>135</v>
      </c>
      <c r="D296" s="46">
        <v>8</v>
      </c>
      <c r="E296" s="47" t="s">
        <v>113</v>
      </c>
      <c r="F296" s="48">
        <v>3.83</v>
      </c>
      <c r="G296" s="38">
        <v>2</v>
      </c>
      <c r="H296" s="39"/>
      <c r="I296" s="39"/>
      <c r="J296" s="39">
        <v>0.33</v>
      </c>
      <c r="K296" s="39"/>
      <c r="L296" s="39"/>
      <c r="M296" s="39"/>
      <c r="N296" s="39"/>
      <c r="O296" s="39"/>
      <c r="P296" s="39"/>
      <c r="Q296" s="39">
        <v>1.33</v>
      </c>
      <c r="R296" s="39"/>
      <c r="S296" s="39"/>
      <c r="T296" s="39">
        <v>0.17</v>
      </c>
      <c r="U296" s="39">
        <v>0.17</v>
      </c>
      <c r="V296" s="39"/>
      <c r="W296" s="39"/>
      <c r="X296" s="49">
        <v>9968</v>
      </c>
      <c r="Y296" s="50">
        <v>2317.15</v>
      </c>
      <c r="Z296" s="51">
        <v>2100</v>
      </c>
      <c r="AA296" s="52">
        <f t="shared" si="11"/>
        <v>0.906285738946551</v>
      </c>
      <c r="AB296" s="12">
        <v>2094</v>
      </c>
      <c r="AC296" s="12">
        <v>6</v>
      </c>
      <c r="AD296" s="19">
        <v>6</v>
      </c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  <c r="AQ296" s="43"/>
      <c r="AR296" s="43"/>
      <c r="AS296" s="43"/>
      <c r="AT296" s="43"/>
      <c r="AU296" s="43"/>
      <c r="AV296" s="43"/>
    </row>
    <row r="297" ht="15.75" spans="1:48">
      <c r="A297" s="12">
        <v>293</v>
      </c>
      <c r="B297" s="44">
        <v>4110</v>
      </c>
      <c r="C297" s="45" t="s">
        <v>135</v>
      </c>
      <c r="D297" s="46">
        <v>8</v>
      </c>
      <c r="E297" s="47" t="s">
        <v>113</v>
      </c>
      <c r="F297" s="48">
        <v>5.67</v>
      </c>
      <c r="G297" s="38">
        <v>0.5</v>
      </c>
      <c r="H297" s="39"/>
      <c r="I297" s="39"/>
      <c r="J297" s="39">
        <v>0.17</v>
      </c>
      <c r="K297" s="39"/>
      <c r="L297" s="39"/>
      <c r="M297" s="39"/>
      <c r="N297" s="39"/>
      <c r="O297" s="39"/>
      <c r="P297" s="39"/>
      <c r="Q297" s="39"/>
      <c r="R297" s="39"/>
      <c r="S297" s="39"/>
      <c r="T297" s="39">
        <v>0.33</v>
      </c>
      <c r="U297" s="39"/>
      <c r="V297" s="39"/>
      <c r="W297" s="39"/>
      <c r="X297" s="49">
        <v>6270</v>
      </c>
      <c r="Y297" s="50">
        <v>3430.35</v>
      </c>
      <c r="Z297" s="51">
        <v>3360</v>
      </c>
      <c r="AA297" s="52">
        <f t="shared" si="11"/>
        <v>0.979491888582798</v>
      </c>
      <c r="AB297" s="12">
        <v>3355</v>
      </c>
      <c r="AC297" s="12">
        <v>5</v>
      </c>
      <c r="AD297" s="19">
        <v>5</v>
      </c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  <c r="AQ297" s="43"/>
      <c r="AR297" s="43"/>
      <c r="AS297" s="43"/>
      <c r="AT297" s="43"/>
      <c r="AU297" s="43"/>
      <c r="AV297" s="43"/>
    </row>
    <row r="298" ht="15.75" spans="1:48">
      <c r="A298" s="12">
        <v>294</v>
      </c>
      <c r="B298" s="57">
        <v>551</v>
      </c>
      <c r="C298" s="45" t="s">
        <v>146</v>
      </c>
      <c r="D298" s="46">
        <v>5</v>
      </c>
      <c r="E298" s="47" t="s">
        <v>113</v>
      </c>
      <c r="F298" s="48">
        <v>10.17</v>
      </c>
      <c r="G298" s="38">
        <v>1.83</v>
      </c>
      <c r="H298" s="39"/>
      <c r="I298" s="39"/>
      <c r="J298" s="39"/>
      <c r="K298" s="39"/>
      <c r="L298" s="39"/>
      <c r="M298" s="39"/>
      <c r="N298" s="39"/>
      <c r="O298" s="39"/>
      <c r="P298" s="39"/>
      <c r="Q298" s="39">
        <v>1.33</v>
      </c>
      <c r="R298" s="39"/>
      <c r="S298" s="39"/>
      <c r="T298" s="39">
        <v>0.33</v>
      </c>
      <c r="U298" s="39">
        <v>0.17</v>
      </c>
      <c r="V298" s="39"/>
      <c r="W298" s="39"/>
      <c r="X298" s="49">
        <v>5770</v>
      </c>
      <c r="Y298" s="50">
        <v>6152.85</v>
      </c>
      <c r="Z298" s="51">
        <v>5959</v>
      </c>
      <c r="AA298" s="52">
        <f t="shared" si="11"/>
        <v>0.968494275010767</v>
      </c>
      <c r="AB298" s="12">
        <v>5880</v>
      </c>
      <c r="AC298" s="12">
        <v>79</v>
      </c>
      <c r="AD298" s="19">
        <v>79</v>
      </c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  <c r="AQ298" s="43"/>
      <c r="AR298" s="43"/>
      <c r="AS298" s="43"/>
      <c r="AT298" s="43"/>
      <c r="AU298" s="43"/>
      <c r="AV298" s="43"/>
    </row>
    <row r="299" ht="15.75" spans="1:48">
      <c r="A299" s="12">
        <v>295</v>
      </c>
      <c r="B299" s="57">
        <v>4384</v>
      </c>
      <c r="C299" s="45" t="s">
        <v>145</v>
      </c>
      <c r="D299" s="46">
        <v>7</v>
      </c>
      <c r="E299" s="47" t="s">
        <v>113</v>
      </c>
      <c r="F299" s="48">
        <v>7.67</v>
      </c>
      <c r="G299" s="38">
        <v>2</v>
      </c>
      <c r="H299" s="39"/>
      <c r="I299" s="39"/>
      <c r="J299" s="39"/>
      <c r="K299" s="39"/>
      <c r="L299" s="39"/>
      <c r="M299" s="39"/>
      <c r="N299" s="39"/>
      <c r="O299" s="39"/>
      <c r="P299" s="39"/>
      <c r="Q299" s="39">
        <v>1.33</v>
      </c>
      <c r="R299" s="39"/>
      <c r="S299" s="39">
        <v>0.5</v>
      </c>
      <c r="T299" s="39"/>
      <c r="U299" s="39">
        <v>0.17</v>
      </c>
      <c r="V299" s="39"/>
      <c r="W299" s="39"/>
      <c r="X299" s="49" t="s">
        <v>95</v>
      </c>
      <c r="Y299" s="50">
        <v>10738</v>
      </c>
      <c r="Z299" s="51">
        <v>11116</v>
      </c>
      <c r="AA299" s="52">
        <f t="shared" si="11"/>
        <v>1.03520208604954</v>
      </c>
      <c r="AB299" s="12">
        <v>11116</v>
      </c>
      <c r="AC299" s="12">
        <v>0</v>
      </c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  <c r="AQ299" s="43"/>
      <c r="AR299" s="43"/>
      <c r="AS299" s="43"/>
      <c r="AT299" s="43"/>
      <c r="AU299" s="43"/>
      <c r="AV299" s="43"/>
    </row>
    <row r="300" ht="15.75" spans="1:48">
      <c r="A300" s="12">
        <v>296</v>
      </c>
      <c r="B300" s="44">
        <v>4384</v>
      </c>
      <c r="C300" s="45" t="s">
        <v>145</v>
      </c>
      <c r="D300" s="46">
        <v>6</v>
      </c>
      <c r="E300" s="47" t="s">
        <v>113</v>
      </c>
      <c r="F300" s="48">
        <v>2.17</v>
      </c>
      <c r="G300" s="38">
        <v>0.17</v>
      </c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>
        <v>0.17</v>
      </c>
      <c r="V300" s="39"/>
      <c r="W300" s="39"/>
      <c r="X300" s="49">
        <v>5770</v>
      </c>
      <c r="Y300" s="50">
        <v>1312.85</v>
      </c>
      <c r="Z300" s="51">
        <v>1260</v>
      </c>
      <c r="AA300" s="52">
        <f t="shared" si="11"/>
        <v>0.959744068248467</v>
      </c>
      <c r="AB300" s="12">
        <v>1245</v>
      </c>
      <c r="AC300" s="12">
        <v>15</v>
      </c>
      <c r="AD300" s="19">
        <v>15</v>
      </c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  <c r="AQ300" s="43"/>
      <c r="AR300" s="43"/>
      <c r="AS300" s="43"/>
      <c r="AT300" s="43"/>
      <c r="AU300" s="43"/>
      <c r="AV300" s="43"/>
    </row>
    <row r="301" ht="15.75" spans="1:48">
      <c r="A301" s="12">
        <v>297</v>
      </c>
      <c r="B301" s="44">
        <v>4335</v>
      </c>
      <c r="C301" s="45" t="s">
        <v>154</v>
      </c>
      <c r="D301" s="46">
        <v>16</v>
      </c>
      <c r="E301" s="47" t="s">
        <v>113</v>
      </c>
      <c r="F301" s="48">
        <v>0.83</v>
      </c>
      <c r="G301" s="38">
        <v>1.83</v>
      </c>
      <c r="H301" s="39"/>
      <c r="I301" s="39"/>
      <c r="J301" s="39"/>
      <c r="K301" s="39"/>
      <c r="L301" s="39"/>
      <c r="M301" s="39"/>
      <c r="N301" s="39"/>
      <c r="O301" s="39"/>
      <c r="P301" s="39"/>
      <c r="Q301" s="39">
        <v>1.33</v>
      </c>
      <c r="R301" s="39"/>
      <c r="S301" s="39"/>
      <c r="T301" s="39">
        <v>0.33</v>
      </c>
      <c r="U301" s="39">
        <v>0.17</v>
      </c>
      <c r="V301" s="39"/>
      <c r="W301" s="39"/>
      <c r="X301" s="49">
        <v>7630</v>
      </c>
      <c r="Y301" s="50">
        <v>149.4</v>
      </c>
      <c r="Z301" s="51">
        <v>149</v>
      </c>
      <c r="AA301" s="52">
        <f t="shared" si="11"/>
        <v>0.997322623828648</v>
      </c>
      <c r="AB301" s="12">
        <v>145</v>
      </c>
      <c r="AC301" s="12">
        <v>4</v>
      </c>
      <c r="AD301" s="19">
        <v>4</v>
      </c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  <c r="AQ301" s="43"/>
      <c r="AR301" s="43"/>
      <c r="AS301" s="43"/>
      <c r="AT301" s="43"/>
      <c r="AU301" s="43"/>
      <c r="AV301" s="43"/>
    </row>
    <row r="302" ht="15.75" spans="1:48">
      <c r="A302" s="12">
        <v>298</v>
      </c>
      <c r="B302" s="44">
        <v>4335</v>
      </c>
      <c r="C302" s="45" t="s">
        <v>154</v>
      </c>
      <c r="D302" s="46">
        <v>2</v>
      </c>
      <c r="E302" s="47" t="s">
        <v>113</v>
      </c>
      <c r="F302" s="48">
        <v>0.67</v>
      </c>
      <c r="G302" s="38">
        <v>0</v>
      </c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49">
        <v>1090</v>
      </c>
      <c r="Y302" s="50">
        <v>442.2</v>
      </c>
      <c r="Z302" s="51">
        <v>500</v>
      </c>
      <c r="AA302" s="52">
        <f t="shared" si="11"/>
        <v>1.13071008593397</v>
      </c>
      <c r="AB302" s="12">
        <v>500</v>
      </c>
      <c r="AC302" s="12">
        <v>0</v>
      </c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  <c r="AQ302" s="43"/>
      <c r="AR302" s="43"/>
      <c r="AS302" s="43"/>
      <c r="AT302" s="43"/>
      <c r="AU302" s="43"/>
      <c r="AV302" s="43"/>
    </row>
    <row r="303" ht="15.75" spans="1:48">
      <c r="A303" s="12">
        <v>299</v>
      </c>
      <c r="B303" s="44">
        <v>4335</v>
      </c>
      <c r="C303" s="45" t="s">
        <v>154</v>
      </c>
      <c r="D303" s="46"/>
      <c r="E303" s="47" t="s">
        <v>113</v>
      </c>
      <c r="F303" s="48">
        <v>4.33</v>
      </c>
      <c r="G303" s="38">
        <v>0</v>
      </c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49" t="s">
        <v>155</v>
      </c>
      <c r="Y303" s="50">
        <v>0</v>
      </c>
      <c r="Z303" s="51"/>
      <c r="AA303" s="52">
        <f t="shared" ref="AA303:AA334" si="12">IFERROR(Z303/Y303,0)</f>
        <v>0</v>
      </c>
      <c r="AB303" s="12">
        <v>0</v>
      </c>
      <c r="AC303" s="12">
        <v>0</v>
      </c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  <c r="AQ303" s="43"/>
      <c r="AR303" s="43"/>
      <c r="AS303" s="43"/>
      <c r="AT303" s="43"/>
      <c r="AU303" s="43"/>
      <c r="AV303" s="43"/>
    </row>
    <row r="304" ht="15.75" spans="1:48">
      <c r="A304" s="12">
        <v>300</v>
      </c>
      <c r="B304" s="44">
        <v>692</v>
      </c>
      <c r="C304" s="45" t="s">
        <v>142</v>
      </c>
      <c r="D304" s="46"/>
      <c r="E304" s="47" t="s">
        <v>113</v>
      </c>
      <c r="F304" s="48">
        <v>6</v>
      </c>
      <c r="G304" s="38">
        <v>2.83</v>
      </c>
      <c r="H304" s="39"/>
      <c r="I304" s="39"/>
      <c r="J304" s="39"/>
      <c r="K304" s="39"/>
      <c r="L304" s="39"/>
      <c r="M304" s="39"/>
      <c r="N304" s="39"/>
      <c r="O304" s="39"/>
      <c r="P304" s="39"/>
      <c r="Q304" s="39">
        <v>1.33</v>
      </c>
      <c r="R304" s="39"/>
      <c r="S304" s="39">
        <v>1.5</v>
      </c>
      <c r="T304" s="39"/>
      <c r="U304" s="39"/>
      <c r="V304" s="39"/>
      <c r="W304" s="39"/>
      <c r="X304" s="49" t="s">
        <v>98</v>
      </c>
      <c r="Y304" s="50">
        <v>2820</v>
      </c>
      <c r="Z304" s="51">
        <v>2700</v>
      </c>
      <c r="AA304" s="52">
        <f t="shared" si="12"/>
        <v>0.957446808510638</v>
      </c>
      <c r="AB304" s="12">
        <v>2700</v>
      </c>
      <c r="AC304" s="12">
        <v>0</v>
      </c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  <c r="AQ304" s="43"/>
      <c r="AR304" s="43"/>
      <c r="AS304" s="43"/>
      <c r="AT304" s="43"/>
      <c r="AU304" s="43"/>
      <c r="AV304" s="43"/>
    </row>
    <row r="305" ht="15.75" spans="1:48">
      <c r="A305" s="12">
        <v>301</v>
      </c>
      <c r="B305" s="44">
        <v>692</v>
      </c>
      <c r="C305" s="45" t="s">
        <v>142</v>
      </c>
      <c r="D305" s="46"/>
      <c r="E305" s="47" t="s">
        <v>113</v>
      </c>
      <c r="F305" s="48">
        <v>3.17</v>
      </c>
      <c r="G305" s="38">
        <v>0</v>
      </c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49" t="s">
        <v>90</v>
      </c>
      <c r="Y305" s="50">
        <v>1489.9</v>
      </c>
      <c r="Z305" s="51">
        <v>1440</v>
      </c>
      <c r="AA305" s="52">
        <f t="shared" si="12"/>
        <v>0.966507819316733</v>
      </c>
      <c r="AB305" s="12">
        <v>1440</v>
      </c>
      <c r="AC305" s="12">
        <v>0</v>
      </c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  <c r="AQ305" s="43"/>
      <c r="AR305" s="43"/>
      <c r="AS305" s="43"/>
      <c r="AT305" s="43"/>
      <c r="AU305" s="43"/>
      <c r="AV305" s="43"/>
    </row>
    <row r="306" ht="15.75" spans="1:48">
      <c r="A306" s="12">
        <v>302</v>
      </c>
      <c r="B306" s="44">
        <v>4352</v>
      </c>
      <c r="C306" s="45" t="s">
        <v>132</v>
      </c>
      <c r="D306" s="46" t="s">
        <v>81</v>
      </c>
      <c r="E306" s="47" t="s">
        <v>113</v>
      </c>
      <c r="F306" s="48">
        <v>10.5</v>
      </c>
      <c r="G306" s="38">
        <v>1.5</v>
      </c>
      <c r="H306" s="39"/>
      <c r="I306" s="39"/>
      <c r="J306" s="39"/>
      <c r="K306" s="39"/>
      <c r="L306" s="39"/>
      <c r="M306" s="39"/>
      <c r="N306" s="39"/>
      <c r="O306" s="39"/>
      <c r="P306" s="39"/>
      <c r="Q306" s="39">
        <v>1.33</v>
      </c>
      <c r="R306" s="39"/>
      <c r="S306" s="39"/>
      <c r="T306" s="39"/>
      <c r="U306" s="39">
        <v>0.17</v>
      </c>
      <c r="V306" s="39"/>
      <c r="W306" s="39"/>
      <c r="X306" s="49" t="s">
        <v>201</v>
      </c>
      <c r="Y306" s="50">
        <v>17062.5</v>
      </c>
      <c r="Z306" s="51">
        <v>17068</v>
      </c>
      <c r="AA306" s="52">
        <f t="shared" si="12"/>
        <v>1.00032234432234</v>
      </c>
      <c r="AB306" s="12">
        <v>17056</v>
      </c>
      <c r="AC306" s="12">
        <v>12</v>
      </c>
      <c r="AD306" s="43"/>
      <c r="AE306" s="43"/>
      <c r="AF306" s="43"/>
      <c r="AG306" s="19">
        <v>12</v>
      </c>
      <c r="AH306" s="43"/>
      <c r="AI306" s="43"/>
      <c r="AJ306" s="43"/>
      <c r="AK306" s="43"/>
      <c r="AL306" s="43"/>
      <c r="AM306" s="43"/>
      <c r="AN306" s="43"/>
      <c r="AO306" s="43"/>
      <c r="AP306" s="43"/>
      <c r="AQ306" s="43"/>
      <c r="AR306" s="43"/>
      <c r="AS306" s="43"/>
      <c r="AT306" s="43"/>
      <c r="AU306" s="43"/>
      <c r="AV306" s="43"/>
    </row>
    <row r="307" ht="15.75" spans="1:48">
      <c r="A307" s="12">
        <v>303</v>
      </c>
      <c r="B307" s="44">
        <v>4019</v>
      </c>
      <c r="C307" s="45" t="s">
        <v>134</v>
      </c>
      <c r="D307" s="46" t="s">
        <v>76</v>
      </c>
      <c r="E307" s="47" t="s">
        <v>113</v>
      </c>
      <c r="F307" s="48">
        <v>10.17</v>
      </c>
      <c r="G307" s="38">
        <v>1.83</v>
      </c>
      <c r="H307" s="39"/>
      <c r="I307" s="39"/>
      <c r="J307" s="39"/>
      <c r="K307" s="39">
        <v>0.17</v>
      </c>
      <c r="L307" s="39"/>
      <c r="M307" s="39"/>
      <c r="N307" s="39"/>
      <c r="O307" s="39"/>
      <c r="P307" s="39"/>
      <c r="Q307" s="39">
        <v>1.33</v>
      </c>
      <c r="R307" s="39"/>
      <c r="S307" s="39"/>
      <c r="T307" s="39"/>
      <c r="U307" s="39">
        <v>0.33</v>
      </c>
      <c r="V307" s="39"/>
      <c r="W307" s="39"/>
      <c r="X307" s="49" t="s">
        <v>77</v>
      </c>
      <c r="Y307" s="50">
        <v>61020</v>
      </c>
      <c r="Z307" s="51">
        <v>57632</v>
      </c>
      <c r="AA307" s="52">
        <f t="shared" si="12"/>
        <v>0.944477220583415</v>
      </c>
      <c r="AB307" s="12">
        <v>57504</v>
      </c>
      <c r="AC307" s="12">
        <v>128</v>
      </c>
      <c r="AD307" s="43"/>
      <c r="AE307" s="43"/>
      <c r="AF307" s="43"/>
      <c r="AG307" s="19">
        <v>64</v>
      </c>
      <c r="AH307" s="43"/>
      <c r="AI307" s="43"/>
      <c r="AJ307" s="43"/>
      <c r="AK307" s="43"/>
      <c r="AL307" s="43"/>
      <c r="AM307" s="43"/>
      <c r="AN307" s="19">
        <v>64</v>
      </c>
      <c r="AO307" s="43"/>
      <c r="AP307" s="43"/>
      <c r="AQ307" s="43"/>
      <c r="AR307" s="43"/>
      <c r="AS307" s="43"/>
      <c r="AT307" s="43"/>
      <c r="AU307" s="43"/>
      <c r="AV307" s="43"/>
    </row>
    <row r="308" ht="15.75" spans="1:48">
      <c r="A308" s="12">
        <v>304</v>
      </c>
      <c r="B308" s="44">
        <v>4019</v>
      </c>
      <c r="C308" s="45" t="s">
        <v>134</v>
      </c>
      <c r="D308" s="46" t="s">
        <v>78</v>
      </c>
      <c r="E308" s="47" t="s">
        <v>113</v>
      </c>
      <c r="F308" s="48">
        <v>10.17</v>
      </c>
      <c r="G308" s="38">
        <v>1.83</v>
      </c>
      <c r="H308" s="39"/>
      <c r="I308" s="39"/>
      <c r="J308" s="39"/>
      <c r="K308" s="39">
        <v>0.17</v>
      </c>
      <c r="L308" s="39"/>
      <c r="M308" s="39"/>
      <c r="N308" s="39"/>
      <c r="O308" s="39"/>
      <c r="P308" s="39"/>
      <c r="Q308" s="39">
        <v>1.33</v>
      </c>
      <c r="R308" s="39"/>
      <c r="S308" s="39"/>
      <c r="T308" s="39"/>
      <c r="U308" s="39">
        <v>0.33</v>
      </c>
      <c r="V308" s="39"/>
      <c r="W308" s="39"/>
      <c r="X308" s="49" t="s">
        <v>79</v>
      </c>
      <c r="Y308" s="50">
        <v>67732.2</v>
      </c>
      <c r="Z308" s="51">
        <v>61064</v>
      </c>
      <c r="AA308" s="52">
        <f t="shared" si="12"/>
        <v>0.901550518069692</v>
      </c>
      <c r="AB308" s="12">
        <v>60928</v>
      </c>
      <c r="AC308" s="12">
        <v>136</v>
      </c>
      <c r="AD308" s="43"/>
      <c r="AE308" s="43"/>
      <c r="AF308" s="43"/>
      <c r="AG308" s="19">
        <v>64</v>
      </c>
      <c r="AH308" s="43"/>
      <c r="AI308" s="43"/>
      <c r="AJ308" s="43"/>
      <c r="AK308" s="43"/>
      <c r="AL308" s="43"/>
      <c r="AM308" s="43"/>
      <c r="AN308" s="19">
        <v>72</v>
      </c>
      <c r="AO308" s="43"/>
      <c r="AP308" s="43"/>
      <c r="AQ308" s="43"/>
      <c r="AR308" s="43"/>
      <c r="AS308" s="43"/>
      <c r="AT308" s="43"/>
      <c r="AU308" s="43"/>
      <c r="AV308" s="43"/>
    </row>
    <row r="309" ht="15.75" spans="1:48">
      <c r="A309" s="12">
        <v>305</v>
      </c>
      <c r="B309" s="44">
        <v>4019</v>
      </c>
      <c r="C309" s="45" t="s">
        <v>134</v>
      </c>
      <c r="D309" s="46" t="s">
        <v>207</v>
      </c>
      <c r="E309" s="47" t="s">
        <v>113</v>
      </c>
      <c r="F309" s="48">
        <v>10.17</v>
      </c>
      <c r="G309" s="38">
        <v>1.83</v>
      </c>
      <c r="H309" s="39"/>
      <c r="I309" s="39"/>
      <c r="J309" s="39"/>
      <c r="K309" s="39">
        <v>0.17</v>
      </c>
      <c r="L309" s="39"/>
      <c r="M309" s="39"/>
      <c r="N309" s="39"/>
      <c r="O309" s="39"/>
      <c r="P309" s="39"/>
      <c r="Q309" s="39">
        <v>1.33</v>
      </c>
      <c r="R309" s="39"/>
      <c r="S309" s="39"/>
      <c r="T309" s="39"/>
      <c r="U309" s="39">
        <v>0.33</v>
      </c>
      <c r="V309" s="39"/>
      <c r="W309" s="39"/>
      <c r="X309" s="49" t="s">
        <v>79</v>
      </c>
      <c r="Y309" s="50">
        <v>67732.2</v>
      </c>
      <c r="Z309" s="51">
        <v>61088</v>
      </c>
      <c r="AA309" s="52">
        <f t="shared" si="12"/>
        <v>0.901904854707215</v>
      </c>
      <c r="AB309" s="12">
        <v>60976</v>
      </c>
      <c r="AC309" s="12">
        <v>112</v>
      </c>
      <c r="AD309" s="43"/>
      <c r="AE309" s="43"/>
      <c r="AF309" s="43"/>
      <c r="AG309" s="19">
        <v>64</v>
      </c>
      <c r="AH309" s="43"/>
      <c r="AI309" s="43"/>
      <c r="AJ309" s="43"/>
      <c r="AK309" s="43"/>
      <c r="AL309" s="43"/>
      <c r="AM309" s="43"/>
      <c r="AN309" s="19">
        <v>48</v>
      </c>
      <c r="AO309" s="43"/>
      <c r="AP309" s="43"/>
      <c r="AQ309" s="43"/>
      <c r="AR309" s="43"/>
      <c r="AS309" s="43"/>
      <c r="AT309" s="43"/>
      <c r="AU309" s="43"/>
      <c r="AV309" s="43"/>
    </row>
    <row r="310" ht="15.75" spans="1:48">
      <c r="A310" s="12">
        <v>306</v>
      </c>
      <c r="B310" s="44">
        <v>3919</v>
      </c>
      <c r="C310" s="45" t="s">
        <v>137</v>
      </c>
      <c r="D310" s="46" t="s">
        <v>73</v>
      </c>
      <c r="E310" s="47" t="s">
        <v>113</v>
      </c>
      <c r="F310" s="48">
        <v>3.17</v>
      </c>
      <c r="G310" s="38">
        <v>1.33</v>
      </c>
      <c r="H310" s="39"/>
      <c r="I310" s="39"/>
      <c r="J310" s="39"/>
      <c r="K310" s="39"/>
      <c r="L310" s="39"/>
      <c r="M310" s="39"/>
      <c r="N310" s="39"/>
      <c r="O310" s="39"/>
      <c r="P310" s="39"/>
      <c r="Q310" s="39">
        <v>1.33</v>
      </c>
      <c r="R310" s="39"/>
      <c r="S310" s="39"/>
      <c r="T310" s="39"/>
      <c r="U310" s="39"/>
      <c r="V310" s="39"/>
      <c r="W310" s="39"/>
      <c r="X310" s="49" t="s">
        <v>74</v>
      </c>
      <c r="Y310" s="50">
        <v>5151.25</v>
      </c>
      <c r="Z310" s="51">
        <v>5200</v>
      </c>
      <c r="AA310" s="52">
        <f t="shared" si="12"/>
        <v>1.00946372239748</v>
      </c>
      <c r="AB310" s="12">
        <v>5200</v>
      </c>
      <c r="AC310" s="12">
        <v>0</v>
      </c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  <c r="AQ310" s="43"/>
      <c r="AR310" s="43"/>
      <c r="AS310" s="43"/>
      <c r="AT310" s="43"/>
      <c r="AU310" s="43"/>
      <c r="AV310" s="43"/>
    </row>
    <row r="311" ht="15.75" spans="1:48">
      <c r="A311" s="12">
        <v>307</v>
      </c>
      <c r="B311" s="44">
        <v>3919</v>
      </c>
      <c r="C311" s="45" t="s">
        <v>137</v>
      </c>
      <c r="D311" s="46"/>
      <c r="E311" s="47" t="s">
        <v>113</v>
      </c>
      <c r="F311" s="48">
        <v>7.5</v>
      </c>
      <c r="G311" s="38">
        <v>0</v>
      </c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49" t="s">
        <v>155</v>
      </c>
      <c r="Y311" s="50">
        <v>0</v>
      </c>
      <c r="Z311" s="51"/>
      <c r="AA311" s="52">
        <f t="shared" si="12"/>
        <v>0</v>
      </c>
      <c r="AB311" s="12">
        <v>0</v>
      </c>
      <c r="AC311" s="12">
        <v>0</v>
      </c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  <c r="AQ311" s="43"/>
      <c r="AR311" s="43"/>
      <c r="AS311" s="43"/>
      <c r="AT311" s="43"/>
      <c r="AU311" s="43"/>
      <c r="AV311" s="43"/>
    </row>
    <row r="312" ht="15.75" spans="1:48">
      <c r="A312" s="12">
        <v>308</v>
      </c>
      <c r="B312" s="44">
        <v>4496</v>
      </c>
      <c r="C312" s="45" t="s">
        <v>133</v>
      </c>
      <c r="D312" s="46" t="s">
        <v>138</v>
      </c>
      <c r="E312" s="47" t="s">
        <v>113</v>
      </c>
      <c r="F312" s="48">
        <v>10.5</v>
      </c>
      <c r="G312" s="38">
        <v>1.5</v>
      </c>
      <c r="H312" s="39"/>
      <c r="I312" s="39"/>
      <c r="J312" s="39"/>
      <c r="K312" s="39"/>
      <c r="L312" s="39"/>
      <c r="M312" s="39"/>
      <c r="N312" s="39"/>
      <c r="O312" s="39"/>
      <c r="P312" s="39"/>
      <c r="Q312" s="39">
        <v>1.33</v>
      </c>
      <c r="R312" s="39"/>
      <c r="S312" s="39"/>
      <c r="T312" s="39"/>
      <c r="U312" s="39">
        <v>0.17</v>
      </c>
      <c r="V312" s="39"/>
      <c r="W312" s="39"/>
      <c r="X312" s="49" t="s">
        <v>208</v>
      </c>
      <c r="Y312" s="50">
        <v>16012.5</v>
      </c>
      <c r="Z312" s="51">
        <v>16000</v>
      </c>
      <c r="AA312" s="52">
        <f t="shared" si="12"/>
        <v>0.999219359875098</v>
      </c>
      <c r="AB312" s="12">
        <v>16000</v>
      </c>
      <c r="AC312" s="12">
        <v>0</v>
      </c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  <c r="AQ312" s="43"/>
      <c r="AR312" s="43"/>
      <c r="AS312" s="43"/>
      <c r="AT312" s="43"/>
      <c r="AU312" s="43"/>
      <c r="AV312" s="43"/>
    </row>
    <row r="313" ht="15.75" spans="1:48">
      <c r="A313" s="12">
        <v>309</v>
      </c>
      <c r="B313" s="44">
        <v>978</v>
      </c>
      <c r="C313" s="45" t="s">
        <v>144</v>
      </c>
      <c r="D313" s="46"/>
      <c r="E313" s="47" t="s">
        <v>113</v>
      </c>
      <c r="F313" s="48">
        <v>6.84</v>
      </c>
      <c r="G313" s="38">
        <v>1.33</v>
      </c>
      <c r="H313" s="39"/>
      <c r="I313" s="39"/>
      <c r="J313" s="39"/>
      <c r="K313" s="39"/>
      <c r="L313" s="39"/>
      <c r="M313" s="39"/>
      <c r="N313" s="39"/>
      <c r="O313" s="39"/>
      <c r="P313" s="39"/>
      <c r="Q313" s="39">
        <v>1.33</v>
      </c>
      <c r="R313" s="39"/>
      <c r="S313" s="39"/>
      <c r="T313" s="39"/>
      <c r="U313" s="39"/>
      <c r="V313" s="39"/>
      <c r="W313" s="39"/>
      <c r="X313" s="49" t="s">
        <v>103</v>
      </c>
      <c r="Y313" s="50">
        <v>5171.04</v>
      </c>
      <c r="Z313" s="51">
        <v>4440</v>
      </c>
      <c r="AA313" s="52">
        <f t="shared" si="12"/>
        <v>0.858628051610508</v>
      </c>
      <c r="AB313" s="12">
        <v>4440</v>
      </c>
      <c r="AC313" s="12">
        <v>0</v>
      </c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  <c r="AQ313" s="43"/>
      <c r="AR313" s="43"/>
      <c r="AS313" s="43"/>
      <c r="AT313" s="43"/>
      <c r="AU313" s="43"/>
      <c r="AV313" s="43"/>
    </row>
    <row r="314" ht="15.75" spans="1:48">
      <c r="A314" s="12">
        <v>310</v>
      </c>
      <c r="B314" s="53">
        <v>2865</v>
      </c>
      <c r="C314" s="55" t="s">
        <v>149</v>
      </c>
      <c r="D314" s="56"/>
      <c r="E314" s="47" t="s">
        <v>113</v>
      </c>
      <c r="F314" s="48">
        <v>1.67</v>
      </c>
      <c r="G314" s="38">
        <v>0</v>
      </c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49" t="s">
        <v>103</v>
      </c>
      <c r="Y314" s="50">
        <v>1402.8</v>
      </c>
      <c r="Z314" s="51">
        <v>1320</v>
      </c>
      <c r="AA314" s="52">
        <f t="shared" si="12"/>
        <v>0.940975192472199</v>
      </c>
      <c r="AB314" s="12">
        <v>1320</v>
      </c>
      <c r="AC314" s="12">
        <v>0</v>
      </c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  <c r="AQ314" s="43"/>
      <c r="AR314" s="43"/>
      <c r="AS314" s="43"/>
      <c r="AT314" s="43"/>
      <c r="AU314" s="43"/>
      <c r="AV314" s="43"/>
    </row>
    <row r="315" ht="15.75" spans="1:48">
      <c r="A315" s="12">
        <v>311</v>
      </c>
      <c r="B315" s="44">
        <v>947</v>
      </c>
      <c r="C315" s="45" t="s">
        <v>143</v>
      </c>
      <c r="D315" s="46"/>
      <c r="E315" s="47" t="s">
        <v>113</v>
      </c>
      <c r="F315" s="48">
        <v>2</v>
      </c>
      <c r="G315" s="38">
        <v>0</v>
      </c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49" t="s">
        <v>103</v>
      </c>
      <c r="Y315" s="50">
        <v>1512</v>
      </c>
      <c r="Z315" s="51">
        <v>1680</v>
      </c>
      <c r="AA315" s="52">
        <f t="shared" si="12"/>
        <v>1.11111111111111</v>
      </c>
      <c r="AB315" s="12">
        <v>1680</v>
      </c>
      <c r="AC315" s="12">
        <v>0</v>
      </c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  <c r="AQ315" s="43"/>
      <c r="AR315" s="43"/>
      <c r="AS315" s="43"/>
      <c r="AT315" s="43"/>
      <c r="AU315" s="43"/>
      <c r="AV315" s="43"/>
    </row>
    <row r="316" ht="15.75" spans="1:48">
      <c r="A316" s="12">
        <v>312</v>
      </c>
      <c r="B316" s="44">
        <v>666</v>
      </c>
      <c r="C316" s="45" t="s">
        <v>151</v>
      </c>
      <c r="D316" s="46"/>
      <c r="E316" s="47" t="s">
        <v>113</v>
      </c>
      <c r="F316" s="48">
        <v>3.93</v>
      </c>
      <c r="G316" s="38">
        <v>2.5</v>
      </c>
      <c r="H316" s="39"/>
      <c r="I316" s="39"/>
      <c r="J316" s="39"/>
      <c r="K316" s="39"/>
      <c r="L316" s="39"/>
      <c r="M316" s="39"/>
      <c r="N316" s="39"/>
      <c r="O316" s="39"/>
      <c r="P316" s="39"/>
      <c r="Q316" s="39">
        <v>1.33</v>
      </c>
      <c r="R316" s="39"/>
      <c r="S316" s="39">
        <v>1</v>
      </c>
      <c r="T316" s="39"/>
      <c r="U316" s="39">
        <v>0.17</v>
      </c>
      <c r="V316" s="39"/>
      <c r="W316" s="39"/>
      <c r="X316" s="49" t="s">
        <v>101</v>
      </c>
      <c r="Y316" s="50">
        <v>7545.6</v>
      </c>
      <c r="Z316" s="51">
        <v>5760</v>
      </c>
      <c r="AA316" s="52">
        <f t="shared" si="12"/>
        <v>0.763358778625954</v>
      </c>
      <c r="AB316" s="12">
        <v>5760</v>
      </c>
      <c r="AC316" s="12">
        <v>0</v>
      </c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  <c r="AQ316" s="43"/>
      <c r="AR316" s="43"/>
      <c r="AS316" s="43"/>
      <c r="AT316" s="43"/>
      <c r="AU316" s="43"/>
      <c r="AV316" s="43"/>
    </row>
    <row r="317" ht="15.75" spans="1:48">
      <c r="A317" s="12">
        <v>313</v>
      </c>
      <c r="B317" s="44">
        <v>666</v>
      </c>
      <c r="C317" s="45" t="s">
        <v>151</v>
      </c>
      <c r="D317" s="46"/>
      <c r="E317" s="47" t="s">
        <v>113</v>
      </c>
      <c r="F317" s="48">
        <v>2.5</v>
      </c>
      <c r="G317" s="38">
        <v>0</v>
      </c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49" t="s">
        <v>100</v>
      </c>
      <c r="Y317" s="50">
        <v>4800</v>
      </c>
      <c r="Z317" s="51">
        <v>3960</v>
      </c>
      <c r="AA317" s="52">
        <f t="shared" si="12"/>
        <v>0.825</v>
      </c>
      <c r="AB317" s="12">
        <v>3960</v>
      </c>
      <c r="AC317" s="12">
        <v>0</v>
      </c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  <c r="AQ317" s="43"/>
      <c r="AR317" s="43"/>
      <c r="AS317" s="43"/>
      <c r="AT317" s="43"/>
      <c r="AU317" s="43"/>
      <c r="AV317" s="43"/>
    </row>
    <row r="318" ht="15.75" spans="1:48">
      <c r="A318" s="12">
        <v>314</v>
      </c>
      <c r="B318" s="44">
        <v>666</v>
      </c>
      <c r="C318" s="45" t="s">
        <v>151</v>
      </c>
      <c r="D318" s="46"/>
      <c r="E318" s="47" t="s">
        <v>113</v>
      </c>
      <c r="F318" s="48">
        <v>2.67</v>
      </c>
      <c r="G318" s="38">
        <v>0</v>
      </c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49" t="s">
        <v>152</v>
      </c>
      <c r="Y318" s="50">
        <v>11614.5</v>
      </c>
      <c r="Z318" s="51">
        <v>9800</v>
      </c>
      <c r="AA318" s="52">
        <f t="shared" si="12"/>
        <v>0.843772870119248</v>
      </c>
      <c r="AB318" s="12">
        <v>9800</v>
      </c>
      <c r="AC318" s="12">
        <v>0</v>
      </c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  <c r="AQ318" s="43"/>
      <c r="AR318" s="43"/>
      <c r="AS318" s="43"/>
      <c r="AT318" s="43"/>
      <c r="AU318" s="43"/>
      <c r="AV318" s="43"/>
    </row>
    <row r="319" ht="15.75" spans="1:48">
      <c r="A319" s="12">
        <v>315</v>
      </c>
      <c r="B319" s="44">
        <v>666</v>
      </c>
      <c r="C319" s="45" t="s">
        <v>151</v>
      </c>
      <c r="D319" s="46"/>
      <c r="E319" s="47" t="s">
        <v>113</v>
      </c>
      <c r="F319" s="48">
        <v>0.4</v>
      </c>
      <c r="G319" s="38">
        <v>0</v>
      </c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49" t="s">
        <v>102</v>
      </c>
      <c r="Y319" s="50">
        <v>1800</v>
      </c>
      <c r="Z319" s="51">
        <v>1500</v>
      </c>
      <c r="AA319" s="52">
        <f t="shared" si="12"/>
        <v>0.833333333333333</v>
      </c>
      <c r="AB319" s="12">
        <v>1500</v>
      </c>
      <c r="AC319" s="12">
        <v>0</v>
      </c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  <c r="AQ319" s="43"/>
      <c r="AR319" s="43"/>
      <c r="AS319" s="43"/>
      <c r="AT319" s="43"/>
      <c r="AU319" s="43"/>
      <c r="AV319" s="43"/>
    </row>
    <row r="320" ht="15.75" spans="1:48">
      <c r="A320" s="12">
        <v>316</v>
      </c>
      <c r="B320" s="44">
        <v>848</v>
      </c>
      <c r="C320" s="45" t="s">
        <v>150</v>
      </c>
      <c r="D320" s="46"/>
      <c r="E320" s="47" t="s">
        <v>113</v>
      </c>
      <c r="F320" s="48">
        <v>10.67</v>
      </c>
      <c r="G320" s="38">
        <v>1.33</v>
      </c>
      <c r="H320" s="39"/>
      <c r="I320" s="39"/>
      <c r="J320" s="39"/>
      <c r="K320" s="39"/>
      <c r="L320" s="39"/>
      <c r="M320" s="39"/>
      <c r="N320" s="39"/>
      <c r="O320" s="39"/>
      <c r="P320" s="39"/>
      <c r="Q320" s="39">
        <v>1.33</v>
      </c>
      <c r="R320" s="39"/>
      <c r="S320" s="39"/>
      <c r="T320" s="39"/>
      <c r="U320" s="39"/>
      <c r="V320" s="39"/>
      <c r="W320" s="39"/>
      <c r="X320" s="49" t="s">
        <v>103</v>
      </c>
      <c r="Y320" s="50">
        <v>8066.52</v>
      </c>
      <c r="Z320" s="51">
        <v>8130</v>
      </c>
      <c r="AA320" s="52">
        <f t="shared" si="12"/>
        <v>1.0078695645706</v>
      </c>
      <c r="AB320" s="12">
        <v>8130</v>
      </c>
      <c r="AC320" s="12">
        <v>0</v>
      </c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  <c r="AQ320" s="43"/>
      <c r="AR320" s="43"/>
      <c r="AS320" s="43"/>
      <c r="AT320" s="43"/>
      <c r="AU320" s="43"/>
      <c r="AV320" s="43"/>
    </row>
    <row r="321" ht="15.75" spans="1:48">
      <c r="A321" s="12">
        <v>317</v>
      </c>
      <c r="B321" s="44">
        <v>1733</v>
      </c>
      <c r="C321" s="45" t="s">
        <v>153</v>
      </c>
      <c r="D321" s="46"/>
      <c r="E321" s="47" t="s">
        <v>113</v>
      </c>
      <c r="F321" s="48">
        <v>10.67</v>
      </c>
      <c r="G321" s="38">
        <v>1.33</v>
      </c>
      <c r="H321" s="39"/>
      <c r="I321" s="39"/>
      <c r="J321" s="39"/>
      <c r="K321" s="39"/>
      <c r="L321" s="39"/>
      <c r="M321" s="39"/>
      <c r="N321" s="39"/>
      <c r="O321" s="39"/>
      <c r="P321" s="39"/>
      <c r="Q321" s="39">
        <v>1.33</v>
      </c>
      <c r="R321" s="39"/>
      <c r="S321" s="39"/>
      <c r="T321" s="39"/>
      <c r="U321" s="39"/>
      <c r="V321" s="39"/>
      <c r="W321" s="39"/>
      <c r="X321" s="49" t="s">
        <v>103</v>
      </c>
      <c r="Y321" s="50">
        <v>8962.8</v>
      </c>
      <c r="Z321" s="51">
        <v>6120</v>
      </c>
      <c r="AA321" s="52">
        <f t="shared" si="12"/>
        <v>0.682822332306868</v>
      </c>
      <c r="AB321" s="12">
        <v>6120</v>
      </c>
      <c r="AC321" s="12">
        <v>0</v>
      </c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  <c r="AQ321" s="43"/>
      <c r="AR321" s="43"/>
      <c r="AS321" s="43"/>
      <c r="AT321" s="43"/>
      <c r="AU321" s="43"/>
      <c r="AV321" s="43"/>
    </row>
    <row r="322" ht="15.75" spans="1:48">
      <c r="A322" s="12">
        <v>318</v>
      </c>
      <c r="B322" s="44">
        <v>978</v>
      </c>
      <c r="C322" s="45" t="s">
        <v>144</v>
      </c>
      <c r="D322" s="46"/>
      <c r="E322" s="47" t="s">
        <v>113</v>
      </c>
      <c r="F322" s="48">
        <v>3.83</v>
      </c>
      <c r="G322" s="38">
        <v>0</v>
      </c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49" t="s">
        <v>103</v>
      </c>
      <c r="Y322" s="50">
        <v>2895.48</v>
      </c>
      <c r="Z322" s="51">
        <v>2400</v>
      </c>
      <c r="AA322" s="52">
        <f t="shared" si="12"/>
        <v>0.828878113473414</v>
      </c>
      <c r="AB322" s="12">
        <v>2400</v>
      </c>
      <c r="AC322" s="12">
        <v>0</v>
      </c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  <c r="AQ322" s="43"/>
      <c r="AR322" s="43"/>
      <c r="AS322" s="43"/>
      <c r="AT322" s="43"/>
      <c r="AU322" s="43"/>
      <c r="AV322" s="43"/>
    </row>
    <row r="323" ht="15.75" spans="1:48">
      <c r="A323" s="12">
        <v>319</v>
      </c>
      <c r="B323" s="44">
        <v>4335</v>
      </c>
      <c r="C323" s="45" t="s">
        <v>154</v>
      </c>
      <c r="D323" s="46"/>
      <c r="E323" s="47" t="s">
        <v>113</v>
      </c>
      <c r="F323" s="48">
        <v>1.83</v>
      </c>
      <c r="G323" s="38">
        <v>0</v>
      </c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49" t="s">
        <v>105</v>
      </c>
      <c r="Y323" s="50">
        <v>1207.8</v>
      </c>
      <c r="Z323" s="51">
        <v>1500</v>
      </c>
      <c r="AA323" s="52">
        <f t="shared" si="12"/>
        <v>1.24192747143567</v>
      </c>
      <c r="AB323" s="12">
        <v>1500</v>
      </c>
      <c r="AC323" s="12">
        <v>0</v>
      </c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  <c r="AQ323" s="43"/>
      <c r="AR323" s="43"/>
      <c r="AS323" s="43"/>
      <c r="AT323" s="43"/>
      <c r="AU323" s="43"/>
      <c r="AV323" s="43"/>
    </row>
    <row r="324" ht="15.75" spans="1:48">
      <c r="A324" s="12">
        <v>320</v>
      </c>
      <c r="B324" s="44">
        <v>4335</v>
      </c>
      <c r="C324" s="45" t="s">
        <v>154</v>
      </c>
      <c r="D324" s="46"/>
      <c r="E324" s="47" t="s">
        <v>113</v>
      </c>
      <c r="F324" s="48">
        <v>2</v>
      </c>
      <c r="G324" s="38">
        <v>0</v>
      </c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49" t="s">
        <v>103</v>
      </c>
      <c r="Y324" s="50">
        <v>1680</v>
      </c>
      <c r="Z324" s="51">
        <v>1605</v>
      </c>
      <c r="AA324" s="52">
        <f t="shared" si="12"/>
        <v>0.955357142857143</v>
      </c>
      <c r="AB324" s="12">
        <v>1605</v>
      </c>
      <c r="AC324" s="12">
        <v>0</v>
      </c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  <c r="AQ324" s="43"/>
      <c r="AR324" s="43"/>
      <c r="AS324" s="43"/>
      <c r="AT324" s="43"/>
      <c r="AU324" s="43"/>
      <c r="AV324" s="43"/>
    </row>
    <row r="325" ht="15.75" spans="1:48">
      <c r="A325" s="12">
        <v>321</v>
      </c>
      <c r="B325" s="44">
        <v>4335</v>
      </c>
      <c r="C325" s="45" t="s">
        <v>154</v>
      </c>
      <c r="D325" s="46"/>
      <c r="E325" s="47" t="s">
        <v>113</v>
      </c>
      <c r="F325" s="48">
        <v>0.5</v>
      </c>
      <c r="G325" s="38">
        <v>0</v>
      </c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49" t="s">
        <v>212</v>
      </c>
      <c r="Y325" s="50">
        <v>150</v>
      </c>
      <c r="Z325" s="51">
        <v>149</v>
      </c>
      <c r="AA325" s="52">
        <f t="shared" si="12"/>
        <v>0.993333333333333</v>
      </c>
      <c r="AB325" s="12">
        <v>149</v>
      </c>
      <c r="AC325" s="12">
        <v>0</v>
      </c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  <c r="AQ325" s="43"/>
      <c r="AR325" s="43"/>
      <c r="AS325" s="43"/>
      <c r="AT325" s="43"/>
      <c r="AU325" s="43"/>
      <c r="AV325" s="43"/>
    </row>
    <row r="326" ht="15.75" spans="1:48">
      <c r="A326" s="12">
        <v>322</v>
      </c>
      <c r="B326" s="44">
        <v>4478</v>
      </c>
      <c r="C326" s="45" t="s">
        <v>128</v>
      </c>
      <c r="D326" s="46" t="s">
        <v>116</v>
      </c>
      <c r="E326" s="47" t="s">
        <v>113</v>
      </c>
      <c r="F326" s="48">
        <v>5.5</v>
      </c>
      <c r="G326" s="38">
        <v>2.01</v>
      </c>
      <c r="H326" s="39"/>
      <c r="I326" s="39"/>
      <c r="J326" s="39"/>
      <c r="K326" s="39">
        <v>0.67</v>
      </c>
      <c r="L326" s="39"/>
      <c r="M326" s="39"/>
      <c r="N326" s="39"/>
      <c r="O326" s="39"/>
      <c r="P326" s="39"/>
      <c r="Q326" s="39">
        <v>1.17</v>
      </c>
      <c r="R326" s="39"/>
      <c r="S326" s="39"/>
      <c r="T326" s="39"/>
      <c r="U326" s="39">
        <v>0.17</v>
      </c>
      <c r="V326" s="39"/>
      <c r="W326" s="39"/>
      <c r="X326" s="49" t="s">
        <v>220</v>
      </c>
      <c r="Y326" s="50">
        <v>7920</v>
      </c>
      <c r="Z326" s="51">
        <v>6570</v>
      </c>
      <c r="AA326" s="52">
        <f t="shared" si="12"/>
        <v>0.829545454545454</v>
      </c>
      <c r="AB326" s="12">
        <v>6558</v>
      </c>
      <c r="AC326" s="12">
        <v>12</v>
      </c>
      <c r="AD326" s="19">
        <v>12</v>
      </c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  <c r="AQ326" s="43"/>
      <c r="AR326" s="43"/>
      <c r="AS326" s="43"/>
      <c r="AT326" s="43"/>
      <c r="AU326" s="43"/>
      <c r="AV326" s="43"/>
    </row>
    <row r="327" ht="15.75" spans="1:48">
      <c r="A327" s="12">
        <v>323</v>
      </c>
      <c r="B327" s="44">
        <v>4173</v>
      </c>
      <c r="C327" s="45" t="s">
        <v>75</v>
      </c>
      <c r="D327" s="46" t="s">
        <v>78</v>
      </c>
      <c r="E327" s="47" t="s">
        <v>50</v>
      </c>
      <c r="F327" s="48">
        <v>10.67</v>
      </c>
      <c r="G327" s="38">
        <v>1.34</v>
      </c>
      <c r="H327" s="39"/>
      <c r="I327" s="39"/>
      <c r="J327" s="39"/>
      <c r="K327" s="39"/>
      <c r="L327" s="39"/>
      <c r="M327" s="39"/>
      <c r="N327" s="39"/>
      <c r="O327" s="39"/>
      <c r="P327" s="39"/>
      <c r="Q327" s="39">
        <v>1.17</v>
      </c>
      <c r="R327" s="39"/>
      <c r="S327" s="39"/>
      <c r="T327" s="39"/>
      <c r="U327" s="39">
        <v>0.17</v>
      </c>
      <c r="V327" s="39"/>
      <c r="W327" s="39"/>
      <c r="X327" s="49" t="s">
        <v>79</v>
      </c>
      <c r="Y327" s="50">
        <v>71062.2</v>
      </c>
      <c r="Z327" s="51">
        <v>60000</v>
      </c>
      <c r="AA327" s="52">
        <f t="shared" si="12"/>
        <v>0.844330741237958</v>
      </c>
      <c r="AB327" s="12">
        <v>59896</v>
      </c>
      <c r="AC327" s="12">
        <v>104</v>
      </c>
      <c r="AD327" s="43"/>
      <c r="AE327" s="43"/>
      <c r="AF327" s="43"/>
      <c r="AG327" s="19">
        <v>104</v>
      </c>
      <c r="AH327" s="43"/>
      <c r="AI327" s="43"/>
      <c r="AJ327" s="43"/>
      <c r="AK327" s="43"/>
      <c r="AL327" s="43"/>
      <c r="AM327" s="43"/>
      <c r="AN327" s="43"/>
      <c r="AO327" s="43"/>
      <c r="AP327" s="43"/>
      <c r="AQ327" s="43"/>
      <c r="AR327" s="43"/>
      <c r="AS327" s="43"/>
      <c r="AT327" s="43"/>
      <c r="AU327" s="43"/>
      <c r="AV327" s="43"/>
    </row>
    <row r="328" ht="15.75" spans="1:48">
      <c r="A328" s="12">
        <v>324</v>
      </c>
      <c r="B328" s="44">
        <v>4173</v>
      </c>
      <c r="C328" s="45" t="s">
        <v>75</v>
      </c>
      <c r="D328" s="46" t="s">
        <v>207</v>
      </c>
      <c r="E328" s="47" t="s">
        <v>50</v>
      </c>
      <c r="F328" s="48">
        <v>10.33</v>
      </c>
      <c r="G328" s="38">
        <v>1.67</v>
      </c>
      <c r="H328" s="39"/>
      <c r="I328" s="39"/>
      <c r="J328" s="39"/>
      <c r="K328" s="39">
        <v>0.33</v>
      </c>
      <c r="L328" s="39"/>
      <c r="M328" s="39"/>
      <c r="N328" s="39"/>
      <c r="O328" s="39"/>
      <c r="P328" s="39"/>
      <c r="Q328" s="39">
        <v>1.17</v>
      </c>
      <c r="R328" s="39"/>
      <c r="S328" s="39"/>
      <c r="T328" s="39"/>
      <c r="U328" s="39">
        <v>0.17</v>
      </c>
      <c r="V328" s="39"/>
      <c r="W328" s="39"/>
      <c r="X328" s="49" t="s">
        <v>79</v>
      </c>
      <c r="Y328" s="50">
        <v>68797.8</v>
      </c>
      <c r="Z328" s="51">
        <v>57600</v>
      </c>
      <c r="AA328" s="52">
        <f t="shared" si="12"/>
        <v>0.837236074409356</v>
      </c>
      <c r="AB328" s="12">
        <v>57560</v>
      </c>
      <c r="AC328" s="12">
        <v>40</v>
      </c>
      <c r="AD328" s="43"/>
      <c r="AE328" s="43"/>
      <c r="AF328" s="43"/>
      <c r="AG328" s="19">
        <v>40</v>
      </c>
      <c r="AH328" s="43"/>
      <c r="AI328" s="43"/>
      <c r="AJ328" s="43"/>
      <c r="AK328" s="43"/>
      <c r="AL328" s="43"/>
      <c r="AM328" s="43"/>
      <c r="AN328" s="43"/>
      <c r="AO328" s="43"/>
      <c r="AP328" s="43"/>
      <c r="AQ328" s="43"/>
      <c r="AR328" s="43"/>
      <c r="AS328" s="43"/>
      <c r="AT328" s="43"/>
      <c r="AU328" s="43"/>
      <c r="AV328" s="43"/>
    </row>
    <row r="329" ht="15.75" spans="1:48">
      <c r="A329" s="12">
        <v>325</v>
      </c>
      <c r="B329" s="44">
        <v>4173</v>
      </c>
      <c r="C329" s="45" t="s">
        <v>75</v>
      </c>
      <c r="D329" s="46" t="s">
        <v>76</v>
      </c>
      <c r="E329" s="47" t="s">
        <v>50</v>
      </c>
      <c r="F329" s="48">
        <v>10.33</v>
      </c>
      <c r="G329" s="38">
        <v>1.67</v>
      </c>
      <c r="H329" s="39"/>
      <c r="I329" s="39"/>
      <c r="J329" s="39"/>
      <c r="K329" s="39">
        <v>0.33</v>
      </c>
      <c r="L329" s="39"/>
      <c r="M329" s="39"/>
      <c r="N329" s="39"/>
      <c r="O329" s="39"/>
      <c r="P329" s="39"/>
      <c r="Q329" s="39">
        <v>1.17</v>
      </c>
      <c r="R329" s="39"/>
      <c r="S329" s="39"/>
      <c r="T329" s="39"/>
      <c r="U329" s="39">
        <v>0.17</v>
      </c>
      <c r="V329" s="39"/>
      <c r="W329" s="39"/>
      <c r="X329" s="49" t="s">
        <v>77</v>
      </c>
      <c r="Y329" s="50">
        <v>61980</v>
      </c>
      <c r="Z329" s="51">
        <v>56000</v>
      </c>
      <c r="AA329" s="52">
        <f t="shared" si="12"/>
        <v>0.90351726363343</v>
      </c>
      <c r="AB329" s="12">
        <v>55928</v>
      </c>
      <c r="AC329" s="12">
        <v>72</v>
      </c>
      <c r="AD329" s="43"/>
      <c r="AE329" s="43"/>
      <c r="AF329" s="43"/>
      <c r="AG329" s="19">
        <v>72</v>
      </c>
      <c r="AH329" s="43"/>
      <c r="AI329" s="43"/>
      <c r="AJ329" s="43"/>
      <c r="AK329" s="43"/>
      <c r="AL329" s="43"/>
      <c r="AM329" s="43"/>
      <c r="AN329" s="43"/>
      <c r="AO329" s="43"/>
      <c r="AP329" s="43"/>
      <c r="AQ329" s="43"/>
      <c r="AR329" s="43"/>
      <c r="AS329" s="43"/>
      <c r="AT329" s="43"/>
      <c r="AU329" s="43"/>
      <c r="AV329" s="43"/>
    </row>
    <row r="330" ht="15.75" spans="1:48">
      <c r="A330" s="12">
        <v>326</v>
      </c>
      <c r="B330" s="44">
        <v>2959</v>
      </c>
      <c r="C330" s="45" t="s">
        <v>86</v>
      </c>
      <c r="D330" s="46"/>
      <c r="E330" s="47" t="s">
        <v>50</v>
      </c>
      <c r="F330" s="48">
        <v>10.83</v>
      </c>
      <c r="G330" s="38">
        <v>1.17</v>
      </c>
      <c r="H330" s="39"/>
      <c r="I330" s="39"/>
      <c r="J330" s="39"/>
      <c r="K330" s="39"/>
      <c r="L330" s="39"/>
      <c r="M330" s="39"/>
      <c r="N330" s="39"/>
      <c r="O330" s="39"/>
      <c r="P330" s="39"/>
      <c r="Q330" s="39">
        <v>1.17</v>
      </c>
      <c r="R330" s="39"/>
      <c r="S330" s="39"/>
      <c r="T330" s="39"/>
      <c r="U330" s="39"/>
      <c r="V330" s="39"/>
      <c r="W330" s="39"/>
      <c r="X330" s="49" t="s">
        <v>60</v>
      </c>
      <c r="Y330" s="50">
        <v>0</v>
      </c>
      <c r="Z330" s="51"/>
      <c r="AA330" s="52">
        <f t="shared" si="12"/>
        <v>0</v>
      </c>
      <c r="AB330" s="12">
        <v>0</v>
      </c>
      <c r="AC330" s="12">
        <v>0</v>
      </c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  <c r="AQ330" s="43"/>
      <c r="AR330" s="43"/>
      <c r="AS330" s="43"/>
      <c r="AT330" s="43"/>
      <c r="AU330" s="43"/>
      <c r="AV330" s="43"/>
    </row>
    <row r="331" ht="15.75" spans="1:48">
      <c r="A331" s="12">
        <v>327</v>
      </c>
      <c r="B331" s="44">
        <v>4344</v>
      </c>
      <c r="C331" s="45" t="s">
        <v>85</v>
      </c>
      <c r="D331" s="46" t="s">
        <v>138</v>
      </c>
      <c r="E331" s="47" t="s">
        <v>50</v>
      </c>
      <c r="F331" s="48">
        <v>10.17</v>
      </c>
      <c r="G331" s="38">
        <v>1.84</v>
      </c>
      <c r="H331" s="39"/>
      <c r="I331" s="39"/>
      <c r="J331" s="39"/>
      <c r="K331" s="39"/>
      <c r="L331" s="39"/>
      <c r="M331" s="39"/>
      <c r="N331" s="39"/>
      <c r="O331" s="39"/>
      <c r="P331" s="39"/>
      <c r="Q331" s="39">
        <v>1.17</v>
      </c>
      <c r="R331" s="39"/>
      <c r="S331" s="39">
        <v>0.5</v>
      </c>
      <c r="T331" s="39"/>
      <c r="U331" s="39">
        <v>0.17</v>
      </c>
      <c r="V331" s="39"/>
      <c r="W331" s="39"/>
      <c r="X331" s="49" t="s">
        <v>208</v>
      </c>
      <c r="Y331" s="50">
        <v>15509.25</v>
      </c>
      <c r="Z331" s="51">
        <v>14010</v>
      </c>
      <c r="AA331" s="52">
        <f t="shared" si="12"/>
        <v>0.903331882586199</v>
      </c>
      <c r="AB331" s="12">
        <v>14000</v>
      </c>
      <c r="AC331" s="12">
        <v>10</v>
      </c>
      <c r="AD331" s="43"/>
      <c r="AE331" s="43"/>
      <c r="AF331" s="43"/>
      <c r="AG331" s="19">
        <v>10</v>
      </c>
      <c r="AH331" s="43"/>
      <c r="AI331" s="43"/>
      <c r="AJ331" s="43"/>
      <c r="AK331" s="43"/>
      <c r="AL331" s="43"/>
      <c r="AM331" s="43"/>
      <c r="AN331" s="43"/>
      <c r="AO331" s="43"/>
      <c r="AP331" s="43"/>
      <c r="AQ331" s="43"/>
      <c r="AR331" s="43"/>
      <c r="AS331" s="43"/>
      <c r="AT331" s="43"/>
      <c r="AU331" s="43"/>
      <c r="AV331" s="43"/>
    </row>
    <row r="332" ht="15.75" spans="1:48">
      <c r="A332" s="12">
        <v>328</v>
      </c>
      <c r="B332" s="44">
        <v>4478</v>
      </c>
      <c r="C332" s="45" t="s">
        <v>128</v>
      </c>
      <c r="D332" s="46" t="s">
        <v>129</v>
      </c>
      <c r="E332" s="47" t="s">
        <v>209</v>
      </c>
      <c r="F332" s="48">
        <v>10.67</v>
      </c>
      <c r="G332" s="38">
        <v>1.34</v>
      </c>
      <c r="H332" s="39"/>
      <c r="I332" s="39"/>
      <c r="J332" s="39"/>
      <c r="K332" s="39"/>
      <c r="L332" s="39"/>
      <c r="M332" s="39"/>
      <c r="N332" s="39"/>
      <c r="O332" s="39"/>
      <c r="P332" s="39"/>
      <c r="Q332" s="39">
        <v>1.17</v>
      </c>
      <c r="R332" s="39"/>
      <c r="S332" s="39"/>
      <c r="T332" s="39"/>
      <c r="U332" s="39">
        <v>0.17</v>
      </c>
      <c r="V332" s="39"/>
      <c r="W332" s="39"/>
      <c r="X332" s="49" t="s">
        <v>220</v>
      </c>
      <c r="Y332" s="50">
        <v>17285.4</v>
      </c>
      <c r="Z332" s="51">
        <v>14460</v>
      </c>
      <c r="AA332" s="52">
        <f t="shared" si="12"/>
        <v>0.836544135513208</v>
      </c>
      <c r="AB332" s="12">
        <v>14436</v>
      </c>
      <c r="AC332" s="12">
        <v>24</v>
      </c>
      <c r="AD332" s="43"/>
      <c r="AE332" s="43"/>
      <c r="AF332" s="43"/>
      <c r="AG332" s="19">
        <v>24</v>
      </c>
      <c r="AH332" s="43"/>
      <c r="AI332" s="43"/>
      <c r="AJ332" s="43"/>
      <c r="AK332" s="43"/>
      <c r="AL332" s="43"/>
      <c r="AM332" s="43"/>
      <c r="AN332" s="43"/>
      <c r="AO332" s="43"/>
      <c r="AP332" s="43"/>
      <c r="AQ332" s="43"/>
      <c r="AR332" s="43"/>
      <c r="AS332" s="43"/>
      <c r="AT332" s="43"/>
      <c r="AU332" s="43"/>
      <c r="AV332" s="43"/>
    </row>
    <row r="333" ht="15.75" spans="1:48">
      <c r="A333" s="12">
        <v>329</v>
      </c>
      <c r="B333" s="44">
        <v>4185</v>
      </c>
      <c r="C333" s="45" t="s">
        <v>72</v>
      </c>
      <c r="D333" s="46" t="s">
        <v>81</v>
      </c>
      <c r="E333" s="47" t="s">
        <v>50</v>
      </c>
      <c r="F333" s="48">
        <v>7</v>
      </c>
      <c r="G333" s="38">
        <v>1.51</v>
      </c>
      <c r="H333" s="39"/>
      <c r="I333" s="39"/>
      <c r="J333" s="39"/>
      <c r="K333" s="39">
        <v>0.17</v>
      </c>
      <c r="L333" s="39"/>
      <c r="M333" s="39"/>
      <c r="N333" s="39"/>
      <c r="O333" s="39"/>
      <c r="P333" s="39"/>
      <c r="Q333" s="39">
        <v>1.17</v>
      </c>
      <c r="R333" s="39"/>
      <c r="S333" s="39"/>
      <c r="T333" s="39"/>
      <c r="U333" s="39">
        <v>0.17</v>
      </c>
      <c r="V333" s="39"/>
      <c r="W333" s="39"/>
      <c r="X333" s="49" t="s">
        <v>201</v>
      </c>
      <c r="Y333" s="50">
        <v>11375</v>
      </c>
      <c r="Z333" s="51">
        <v>11632</v>
      </c>
      <c r="AA333" s="52">
        <f t="shared" si="12"/>
        <v>1.02259340659341</v>
      </c>
      <c r="AB333" s="12">
        <v>11612</v>
      </c>
      <c r="AC333" s="12">
        <v>20</v>
      </c>
      <c r="AD333" s="43"/>
      <c r="AE333" s="43"/>
      <c r="AF333" s="43"/>
      <c r="AG333" s="19">
        <v>20</v>
      </c>
      <c r="AH333" s="43"/>
      <c r="AI333" s="43"/>
      <c r="AJ333" s="43"/>
      <c r="AK333" s="43"/>
      <c r="AL333" s="43"/>
      <c r="AM333" s="43"/>
      <c r="AN333" s="43"/>
      <c r="AO333" s="43"/>
      <c r="AP333" s="43"/>
      <c r="AQ333" s="43"/>
      <c r="AR333" s="43"/>
      <c r="AS333" s="43"/>
      <c r="AT333" s="43"/>
      <c r="AU333" s="43"/>
      <c r="AV333" s="43"/>
    </row>
    <row r="334" ht="15.75" spans="1:48">
      <c r="A334" s="12">
        <v>330</v>
      </c>
      <c r="B334" s="44">
        <v>4185</v>
      </c>
      <c r="C334" s="45" t="s">
        <v>72</v>
      </c>
      <c r="D334" s="46" t="s">
        <v>81</v>
      </c>
      <c r="E334" s="47" t="s">
        <v>50</v>
      </c>
      <c r="F334" s="48">
        <v>3.33</v>
      </c>
      <c r="G334" s="38">
        <v>0.17</v>
      </c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>
        <v>0.17</v>
      </c>
      <c r="V334" s="39"/>
      <c r="W334" s="39"/>
      <c r="X334" s="49" t="s">
        <v>210</v>
      </c>
      <c r="Y334" s="50">
        <v>5411.25</v>
      </c>
      <c r="Z334" s="51">
        <v>5360</v>
      </c>
      <c r="AA334" s="52">
        <f t="shared" si="12"/>
        <v>0.990528990528991</v>
      </c>
      <c r="AB334" s="12">
        <v>5348</v>
      </c>
      <c r="AC334" s="12">
        <v>12</v>
      </c>
      <c r="AD334" s="43"/>
      <c r="AE334" s="43"/>
      <c r="AF334" s="43"/>
      <c r="AG334" s="19">
        <v>12</v>
      </c>
      <c r="AH334" s="43"/>
      <c r="AI334" s="43"/>
      <c r="AJ334" s="43"/>
      <c r="AK334" s="43"/>
      <c r="AL334" s="43"/>
      <c r="AM334" s="43"/>
      <c r="AN334" s="43"/>
      <c r="AO334" s="43"/>
      <c r="AP334" s="43"/>
      <c r="AQ334" s="43"/>
      <c r="AR334" s="43"/>
      <c r="AS334" s="43"/>
      <c r="AT334" s="43"/>
      <c r="AU334" s="43"/>
      <c r="AV334" s="43"/>
    </row>
    <row r="335" ht="15.75" spans="1:48">
      <c r="A335" s="12">
        <v>331</v>
      </c>
      <c r="B335" s="44">
        <v>4489</v>
      </c>
      <c r="C335" s="45" t="s">
        <v>88</v>
      </c>
      <c r="D335" s="46">
        <v>3</v>
      </c>
      <c r="E335" s="47" t="s">
        <v>50</v>
      </c>
      <c r="F335" s="48">
        <v>3.17</v>
      </c>
      <c r="G335" s="38">
        <v>2.83</v>
      </c>
      <c r="H335" s="39"/>
      <c r="I335" s="39"/>
      <c r="J335" s="39"/>
      <c r="K335" s="39">
        <v>1</v>
      </c>
      <c r="L335" s="39"/>
      <c r="M335" s="39"/>
      <c r="N335" s="39"/>
      <c r="O335" s="39"/>
      <c r="P335" s="39"/>
      <c r="Q335" s="39">
        <v>0.83</v>
      </c>
      <c r="R335" s="39"/>
      <c r="S335" s="39"/>
      <c r="T335" s="39">
        <v>0.83</v>
      </c>
      <c r="U335" s="39">
        <v>0.17</v>
      </c>
      <c r="V335" s="39"/>
      <c r="W335" s="39"/>
      <c r="X335" s="49" t="s">
        <v>219</v>
      </c>
      <c r="Y335" s="50">
        <v>1648.4</v>
      </c>
      <c r="Z335" s="51">
        <v>1497</v>
      </c>
      <c r="AA335" s="52">
        <f t="shared" ref="AA335:AA366" si="13">IFERROR(Z335/Y335,0)</f>
        <v>0.908153360834749</v>
      </c>
      <c r="AB335" s="12">
        <v>1200</v>
      </c>
      <c r="AC335" s="12">
        <v>297</v>
      </c>
      <c r="AD335" s="19">
        <v>297</v>
      </c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  <c r="AQ335" s="43"/>
      <c r="AR335" s="43"/>
      <c r="AS335" s="43"/>
      <c r="AT335" s="43"/>
      <c r="AU335" s="43"/>
      <c r="AV335" s="43"/>
    </row>
    <row r="336" ht="15.75" spans="1:48">
      <c r="A336" s="12">
        <v>332</v>
      </c>
      <c r="B336" s="44" t="s">
        <v>185</v>
      </c>
      <c r="C336" s="45" t="s">
        <v>179</v>
      </c>
      <c r="D336" s="46">
        <v>7</v>
      </c>
      <c r="E336" s="47" t="s">
        <v>50</v>
      </c>
      <c r="F336" s="48">
        <v>8</v>
      </c>
      <c r="G336" s="38">
        <v>1.5</v>
      </c>
      <c r="H336" s="39"/>
      <c r="I336" s="39"/>
      <c r="J336" s="39"/>
      <c r="K336" s="39"/>
      <c r="L336" s="39"/>
      <c r="M336" s="39"/>
      <c r="N336" s="39"/>
      <c r="O336" s="39"/>
      <c r="P336" s="39"/>
      <c r="Q336" s="39">
        <v>1.17</v>
      </c>
      <c r="R336" s="39"/>
      <c r="S336" s="39"/>
      <c r="T336" s="39"/>
      <c r="U336" s="39">
        <v>0.33</v>
      </c>
      <c r="V336" s="39"/>
      <c r="W336" s="39"/>
      <c r="X336" s="49" t="s">
        <v>95</v>
      </c>
      <c r="Y336" s="50">
        <v>11200</v>
      </c>
      <c r="Z336" s="51">
        <v>9310</v>
      </c>
      <c r="AA336" s="52">
        <f t="shared" si="13"/>
        <v>0.83125</v>
      </c>
      <c r="AB336" s="12">
        <v>9310</v>
      </c>
      <c r="AC336" s="12">
        <v>0</v>
      </c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  <c r="AQ336" s="43"/>
      <c r="AR336" s="43"/>
      <c r="AS336" s="43"/>
      <c r="AT336" s="43"/>
      <c r="AU336" s="43"/>
      <c r="AV336" s="43"/>
    </row>
    <row r="337" ht="15.75" spans="1:48">
      <c r="A337" s="12">
        <v>333</v>
      </c>
      <c r="B337" s="44" t="s">
        <v>185</v>
      </c>
      <c r="C337" s="45" t="s">
        <v>179</v>
      </c>
      <c r="D337" s="46">
        <v>17</v>
      </c>
      <c r="E337" s="47" t="s">
        <v>50</v>
      </c>
      <c r="F337" s="48">
        <v>2.5</v>
      </c>
      <c r="G337" s="38">
        <v>0</v>
      </c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49" t="s">
        <v>96</v>
      </c>
      <c r="Y337" s="50">
        <v>3625</v>
      </c>
      <c r="Z337" s="51">
        <v>3500</v>
      </c>
      <c r="AA337" s="52">
        <f t="shared" si="13"/>
        <v>0.96551724137931</v>
      </c>
      <c r="AB337" s="12">
        <v>3500</v>
      </c>
      <c r="AC337" s="12">
        <v>0</v>
      </c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  <c r="AQ337" s="43"/>
      <c r="AR337" s="43"/>
      <c r="AS337" s="43"/>
      <c r="AT337" s="43"/>
      <c r="AU337" s="43"/>
      <c r="AV337" s="43"/>
    </row>
    <row r="338" ht="15.75" spans="1:48">
      <c r="A338" s="12">
        <v>334</v>
      </c>
      <c r="B338" s="44">
        <v>4310</v>
      </c>
      <c r="C338" s="45" t="s">
        <v>99</v>
      </c>
      <c r="D338" s="46">
        <v>5</v>
      </c>
      <c r="E338" s="47" t="s">
        <v>50</v>
      </c>
      <c r="F338" s="48">
        <v>8.5</v>
      </c>
      <c r="G338" s="38">
        <v>2.17</v>
      </c>
      <c r="H338" s="39"/>
      <c r="I338" s="39"/>
      <c r="J338" s="39"/>
      <c r="K338" s="39"/>
      <c r="L338" s="39"/>
      <c r="M338" s="39"/>
      <c r="N338" s="39"/>
      <c r="O338" s="39"/>
      <c r="P338" s="39"/>
      <c r="Q338" s="39">
        <v>1.17</v>
      </c>
      <c r="R338" s="39"/>
      <c r="S338" s="39"/>
      <c r="T338" s="39">
        <v>0.83</v>
      </c>
      <c r="U338" s="39">
        <v>0.17</v>
      </c>
      <c r="V338" s="39"/>
      <c r="W338" s="39"/>
      <c r="X338" s="49">
        <v>5770</v>
      </c>
      <c r="Y338" s="50">
        <v>5142.5</v>
      </c>
      <c r="Z338" s="51">
        <v>5550</v>
      </c>
      <c r="AA338" s="52">
        <f t="shared" si="13"/>
        <v>1.07924161400097</v>
      </c>
      <c r="AB338" s="12">
        <v>5349</v>
      </c>
      <c r="AC338" s="12">
        <v>201</v>
      </c>
      <c r="AD338" s="19">
        <v>201</v>
      </c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  <c r="AQ338" s="43"/>
      <c r="AR338" s="43"/>
      <c r="AS338" s="43"/>
      <c r="AT338" s="43"/>
      <c r="AU338" s="43"/>
      <c r="AV338" s="43"/>
    </row>
    <row r="339" ht="15.75" spans="1:48">
      <c r="A339" s="12">
        <v>335</v>
      </c>
      <c r="B339" s="44">
        <v>3268</v>
      </c>
      <c r="C339" s="45" t="s">
        <v>80</v>
      </c>
      <c r="D339" s="46"/>
      <c r="E339" s="47" t="s">
        <v>50</v>
      </c>
      <c r="F339" s="48">
        <v>10.17</v>
      </c>
      <c r="G339" s="38">
        <v>1.84</v>
      </c>
      <c r="H339" s="39"/>
      <c r="I339" s="39"/>
      <c r="J339" s="39">
        <v>0.5</v>
      </c>
      <c r="K339" s="39"/>
      <c r="L339" s="39"/>
      <c r="M339" s="39"/>
      <c r="N339" s="39"/>
      <c r="O339" s="39"/>
      <c r="P339" s="39"/>
      <c r="Q339" s="39">
        <v>1.17</v>
      </c>
      <c r="R339" s="39"/>
      <c r="S339" s="39"/>
      <c r="T339" s="39"/>
      <c r="U339" s="39">
        <v>0.17</v>
      </c>
      <c r="V339" s="39"/>
      <c r="W339" s="39"/>
      <c r="X339" s="49">
        <v>575</v>
      </c>
      <c r="Y339" s="50">
        <v>1627.2</v>
      </c>
      <c r="Z339" s="51">
        <v>1419</v>
      </c>
      <c r="AA339" s="52">
        <f t="shared" si="13"/>
        <v>0.872050147492625</v>
      </c>
      <c r="AB339" s="12">
        <v>1419</v>
      </c>
      <c r="AC339" s="12">
        <v>0</v>
      </c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  <c r="AQ339" s="43"/>
      <c r="AR339" s="43"/>
      <c r="AS339" s="43"/>
      <c r="AT339" s="43"/>
      <c r="AU339" s="43"/>
      <c r="AV339" s="43"/>
    </row>
    <row r="340" ht="15.75" spans="1:48">
      <c r="A340" s="12">
        <v>336</v>
      </c>
      <c r="B340" s="44">
        <v>4382</v>
      </c>
      <c r="C340" s="45" t="s">
        <v>173</v>
      </c>
      <c r="D340" s="46"/>
      <c r="E340" s="47" t="s">
        <v>50</v>
      </c>
      <c r="F340" s="48">
        <v>7.83</v>
      </c>
      <c r="G340" s="38">
        <v>1.17</v>
      </c>
      <c r="H340" s="39"/>
      <c r="I340" s="39"/>
      <c r="J340" s="39"/>
      <c r="K340" s="39"/>
      <c r="L340" s="39"/>
      <c r="M340" s="39"/>
      <c r="N340" s="39"/>
      <c r="O340" s="39"/>
      <c r="P340" s="39"/>
      <c r="Q340" s="39">
        <v>1.17</v>
      </c>
      <c r="R340" s="39"/>
      <c r="S340" s="39"/>
      <c r="T340" s="39"/>
      <c r="U340" s="39"/>
      <c r="V340" s="39"/>
      <c r="W340" s="39"/>
      <c r="X340" s="49" t="s">
        <v>98</v>
      </c>
      <c r="Y340" s="50">
        <v>3680.1</v>
      </c>
      <c r="Z340" s="51">
        <v>3600</v>
      </c>
      <c r="AA340" s="52">
        <f t="shared" si="13"/>
        <v>0.978234287111763</v>
      </c>
      <c r="AB340" s="12">
        <v>3600</v>
      </c>
      <c r="AC340" s="12">
        <v>0</v>
      </c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  <c r="AQ340" s="43"/>
      <c r="AR340" s="43"/>
      <c r="AS340" s="43"/>
      <c r="AT340" s="43"/>
      <c r="AU340" s="43"/>
      <c r="AV340" s="43"/>
    </row>
    <row r="341" ht="15.75" spans="1:48">
      <c r="A341" s="12">
        <v>337</v>
      </c>
      <c r="B341" s="44">
        <v>4382</v>
      </c>
      <c r="C341" s="45" t="s">
        <v>173</v>
      </c>
      <c r="D341" s="46"/>
      <c r="E341" s="47" t="s">
        <v>50</v>
      </c>
      <c r="F341" s="48">
        <v>2</v>
      </c>
      <c r="G341" s="38">
        <v>0</v>
      </c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49" t="s">
        <v>221</v>
      </c>
      <c r="Y341" s="50">
        <v>2200</v>
      </c>
      <c r="Z341" s="51">
        <v>2000</v>
      </c>
      <c r="AA341" s="52">
        <f t="shared" si="13"/>
        <v>0.909090909090909</v>
      </c>
      <c r="AB341" s="12">
        <v>2000</v>
      </c>
      <c r="AC341" s="12">
        <v>0</v>
      </c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  <c r="AQ341" s="43"/>
      <c r="AR341" s="43"/>
      <c r="AS341" s="43"/>
      <c r="AT341" s="43"/>
      <c r="AU341" s="43"/>
      <c r="AV341" s="43"/>
    </row>
    <row r="342" ht="15.75" spans="1:48">
      <c r="A342" s="12">
        <v>338</v>
      </c>
      <c r="B342" s="44">
        <v>4382</v>
      </c>
      <c r="C342" s="45" t="s">
        <v>173</v>
      </c>
      <c r="D342" s="46"/>
      <c r="E342" s="47" t="s">
        <v>50</v>
      </c>
      <c r="F342" s="48">
        <v>1</v>
      </c>
      <c r="G342" s="38">
        <v>0</v>
      </c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49" t="s">
        <v>90</v>
      </c>
      <c r="Y342" s="50">
        <v>470</v>
      </c>
      <c r="Z342" s="51">
        <v>540</v>
      </c>
      <c r="AA342" s="52">
        <f t="shared" si="13"/>
        <v>1.14893617021277</v>
      </c>
      <c r="AB342" s="12">
        <v>540</v>
      </c>
      <c r="AC342" s="12">
        <v>0</v>
      </c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  <c r="AQ342" s="43"/>
      <c r="AR342" s="43"/>
      <c r="AS342" s="43"/>
      <c r="AT342" s="43"/>
      <c r="AU342" s="43"/>
      <c r="AV342" s="43"/>
    </row>
    <row r="343" ht="15.75" spans="1:48">
      <c r="A343" s="12">
        <v>339</v>
      </c>
      <c r="B343" s="44">
        <v>4360</v>
      </c>
      <c r="C343" s="45" t="s">
        <v>97</v>
      </c>
      <c r="D343" s="46"/>
      <c r="E343" s="47" t="s">
        <v>50</v>
      </c>
      <c r="F343" s="48">
        <v>7</v>
      </c>
      <c r="G343" s="38">
        <v>2.18</v>
      </c>
      <c r="H343" s="39"/>
      <c r="I343" s="39"/>
      <c r="J343" s="39"/>
      <c r="K343" s="39"/>
      <c r="L343" s="39"/>
      <c r="M343" s="39"/>
      <c r="N343" s="39"/>
      <c r="O343" s="39"/>
      <c r="P343" s="39"/>
      <c r="Q343" s="39">
        <v>1.17</v>
      </c>
      <c r="R343" s="39"/>
      <c r="S343" s="39"/>
      <c r="T343" s="39">
        <v>0.84</v>
      </c>
      <c r="U343" s="39">
        <v>0.17</v>
      </c>
      <c r="V343" s="39"/>
      <c r="W343" s="39"/>
      <c r="X343" s="49">
        <v>3880</v>
      </c>
      <c r="Y343" s="50">
        <v>2800</v>
      </c>
      <c r="Z343" s="51">
        <v>2370</v>
      </c>
      <c r="AA343" s="52">
        <f t="shared" si="13"/>
        <v>0.846428571428571</v>
      </c>
      <c r="AB343" s="12">
        <v>2185</v>
      </c>
      <c r="AC343" s="12">
        <v>185</v>
      </c>
      <c r="AD343" s="19">
        <v>185</v>
      </c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  <c r="AQ343" s="43"/>
      <c r="AR343" s="43"/>
      <c r="AS343" s="43"/>
      <c r="AT343" s="43"/>
      <c r="AU343" s="43"/>
      <c r="AV343" s="43"/>
    </row>
    <row r="344" ht="15.75" spans="1:48">
      <c r="A344" s="12">
        <v>340</v>
      </c>
      <c r="B344" s="44">
        <v>676</v>
      </c>
      <c r="C344" s="45" t="s">
        <v>171</v>
      </c>
      <c r="D344" s="46"/>
      <c r="E344" s="47" t="s">
        <v>50</v>
      </c>
      <c r="F344" s="48">
        <v>6</v>
      </c>
      <c r="G344" s="38">
        <v>2.17</v>
      </c>
      <c r="H344" s="39"/>
      <c r="I344" s="39"/>
      <c r="J344" s="39"/>
      <c r="K344" s="39"/>
      <c r="L344" s="39"/>
      <c r="M344" s="39"/>
      <c r="N344" s="39"/>
      <c r="O344" s="39"/>
      <c r="P344" s="39"/>
      <c r="Q344" s="39">
        <v>1.17</v>
      </c>
      <c r="R344" s="39"/>
      <c r="S344" s="39"/>
      <c r="T344" s="39">
        <v>1</v>
      </c>
      <c r="U344" s="39"/>
      <c r="V344" s="39"/>
      <c r="W344" s="39"/>
      <c r="X344" s="49" t="s">
        <v>90</v>
      </c>
      <c r="Y344" s="50">
        <v>2820</v>
      </c>
      <c r="Z344" s="51">
        <v>2700</v>
      </c>
      <c r="AA344" s="52">
        <f t="shared" si="13"/>
        <v>0.957446808510638</v>
      </c>
      <c r="AB344" s="12">
        <v>2700</v>
      </c>
      <c r="AC344" s="12">
        <v>0</v>
      </c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  <c r="AQ344" s="43"/>
      <c r="AR344" s="43"/>
      <c r="AS344" s="43"/>
      <c r="AT344" s="43"/>
      <c r="AU344" s="43"/>
      <c r="AV344" s="43"/>
    </row>
    <row r="345" ht="15.75" spans="1:48">
      <c r="A345" s="12">
        <v>341</v>
      </c>
      <c r="B345" s="44">
        <v>676</v>
      </c>
      <c r="C345" s="45" t="s">
        <v>171</v>
      </c>
      <c r="D345" s="46"/>
      <c r="E345" s="47" t="s">
        <v>50</v>
      </c>
      <c r="F345" s="48">
        <v>1.83</v>
      </c>
      <c r="G345" s="38">
        <v>0</v>
      </c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49" t="s">
        <v>98</v>
      </c>
      <c r="Y345" s="50">
        <v>860.1</v>
      </c>
      <c r="Z345" s="51">
        <v>900</v>
      </c>
      <c r="AA345" s="52">
        <f t="shared" si="13"/>
        <v>1.04638995465644</v>
      </c>
      <c r="AB345" s="12">
        <v>900</v>
      </c>
      <c r="AC345" s="12">
        <v>0</v>
      </c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  <c r="AQ345" s="43"/>
      <c r="AR345" s="43"/>
      <c r="AS345" s="43"/>
      <c r="AT345" s="43"/>
      <c r="AU345" s="43"/>
      <c r="AV345" s="43"/>
    </row>
    <row r="346" ht="15.75" spans="1:48">
      <c r="A346" s="12">
        <v>342</v>
      </c>
      <c r="B346" s="44">
        <v>846</v>
      </c>
      <c r="C346" s="45" t="s">
        <v>87</v>
      </c>
      <c r="D346" s="46">
        <v>2</v>
      </c>
      <c r="E346" s="47" t="s">
        <v>50</v>
      </c>
      <c r="F346" s="48">
        <v>4.83</v>
      </c>
      <c r="G346" s="38">
        <v>1.84</v>
      </c>
      <c r="H346" s="39"/>
      <c r="I346" s="39"/>
      <c r="J346" s="39"/>
      <c r="K346" s="39"/>
      <c r="L346" s="39"/>
      <c r="M346" s="39"/>
      <c r="N346" s="39"/>
      <c r="O346" s="39"/>
      <c r="P346" s="39"/>
      <c r="Q346" s="39">
        <v>1.17</v>
      </c>
      <c r="R346" s="39"/>
      <c r="S346" s="39"/>
      <c r="T346" s="39">
        <v>0.5</v>
      </c>
      <c r="U346" s="39">
        <v>0.17</v>
      </c>
      <c r="V346" s="39"/>
      <c r="W346" s="39"/>
      <c r="X346" s="49">
        <v>1090</v>
      </c>
      <c r="Y346" s="50">
        <v>3187.8</v>
      </c>
      <c r="Z346" s="51">
        <v>2919</v>
      </c>
      <c r="AA346" s="52">
        <f t="shared" si="13"/>
        <v>0.915678524374177</v>
      </c>
      <c r="AB346" s="12">
        <v>2889</v>
      </c>
      <c r="AC346" s="12">
        <v>30</v>
      </c>
      <c r="AD346" s="19">
        <v>30</v>
      </c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  <c r="AQ346" s="43"/>
      <c r="AR346" s="43"/>
      <c r="AS346" s="43"/>
      <c r="AT346" s="43"/>
      <c r="AU346" s="43"/>
      <c r="AV346" s="43"/>
    </row>
    <row r="347" ht="15.75" spans="1:48">
      <c r="A347" s="12">
        <v>343</v>
      </c>
      <c r="B347" s="44">
        <v>4490</v>
      </c>
      <c r="C347" s="45" t="s">
        <v>91</v>
      </c>
      <c r="D347" s="46">
        <v>18</v>
      </c>
      <c r="E347" s="47" t="s">
        <v>50</v>
      </c>
      <c r="F347" s="48">
        <v>4</v>
      </c>
      <c r="G347" s="38">
        <v>1.51</v>
      </c>
      <c r="H347" s="39"/>
      <c r="I347" s="39"/>
      <c r="J347" s="39">
        <v>0.17</v>
      </c>
      <c r="K347" s="39"/>
      <c r="L347" s="39"/>
      <c r="M347" s="39"/>
      <c r="N347" s="39"/>
      <c r="O347" s="39"/>
      <c r="P347" s="39"/>
      <c r="Q347" s="39">
        <v>1.17</v>
      </c>
      <c r="R347" s="39"/>
      <c r="S347" s="39"/>
      <c r="T347" s="39"/>
      <c r="U347" s="39">
        <v>0.17</v>
      </c>
      <c r="V347" s="39"/>
      <c r="W347" s="39"/>
      <c r="X347" s="49">
        <v>9477</v>
      </c>
      <c r="Y347" s="50">
        <v>2420</v>
      </c>
      <c r="Z347" s="51">
        <v>2760</v>
      </c>
      <c r="AA347" s="52">
        <f t="shared" si="13"/>
        <v>1.1404958677686</v>
      </c>
      <c r="AB347" s="12">
        <v>2748</v>
      </c>
      <c r="AC347" s="12">
        <v>12</v>
      </c>
      <c r="AD347" s="19">
        <v>12</v>
      </c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  <c r="AQ347" s="43"/>
      <c r="AR347" s="43"/>
      <c r="AS347" s="43"/>
      <c r="AT347" s="43"/>
      <c r="AU347" s="43"/>
      <c r="AV347" s="43"/>
    </row>
    <row r="348" ht="15.75" spans="1:48">
      <c r="A348" s="12">
        <v>344</v>
      </c>
      <c r="B348" s="44">
        <v>4490</v>
      </c>
      <c r="C348" s="45" t="s">
        <v>91</v>
      </c>
      <c r="D348" s="46">
        <v>18</v>
      </c>
      <c r="E348" s="47" t="s">
        <v>50</v>
      </c>
      <c r="F348" s="48">
        <v>4</v>
      </c>
      <c r="G348" s="38">
        <v>0</v>
      </c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49">
        <v>9968</v>
      </c>
      <c r="Y348" s="50">
        <v>2420</v>
      </c>
      <c r="Z348" s="51">
        <v>2475</v>
      </c>
      <c r="AA348" s="52">
        <f t="shared" si="13"/>
        <v>1.02272727272727</v>
      </c>
      <c r="AB348" s="12">
        <v>2458</v>
      </c>
      <c r="AC348" s="12">
        <v>17</v>
      </c>
      <c r="AD348" s="19">
        <v>17</v>
      </c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  <c r="AQ348" s="43"/>
      <c r="AR348" s="43"/>
      <c r="AS348" s="43"/>
      <c r="AT348" s="43"/>
      <c r="AU348" s="43"/>
      <c r="AV348" s="43"/>
    </row>
    <row r="349" ht="15.75" spans="1:48">
      <c r="A349" s="12">
        <v>345</v>
      </c>
      <c r="B349" s="44">
        <v>4412</v>
      </c>
      <c r="C349" s="45" t="s">
        <v>177</v>
      </c>
      <c r="D349" s="46">
        <v>14</v>
      </c>
      <c r="E349" s="47" t="s">
        <v>50</v>
      </c>
      <c r="F349" s="48">
        <v>0.87</v>
      </c>
      <c r="G349" s="38">
        <v>1.17</v>
      </c>
      <c r="H349" s="39"/>
      <c r="I349" s="39"/>
      <c r="J349" s="39"/>
      <c r="K349" s="39"/>
      <c r="L349" s="39"/>
      <c r="M349" s="39"/>
      <c r="N349" s="39"/>
      <c r="O349" s="39"/>
      <c r="P349" s="39"/>
      <c r="Q349" s="39">
        <v>1.17</v>
      </c>
      <c r="R349" s="39"/>
      <c r="S349" s="39"/>
      <c r="T349" s="39"/>
      <c r="U349" s="39"/>
      <c r="V349" s="39"/>
      <c r="W349" s="39"/>
      <c r="X349" s="49">
        <v>8485</v>
      </c>
      <c r="Y349" s="50">
        <v>495.9</v>
      </c>
      <c r="Z349" s="51">
        <v>400</v>
      </c>
      <c r="AA349" s="52">
        <f t="shared" si="13"/>
        <v>0.806614236741279</v>
      </c>
      <c r="AB349" s="12">
        <v>400</v>
      </c>
      <c r="AC349" s="12">
        <v>0</v>
      </c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  <c r="AQ349" s="43"/>
      <c r="AR349" s="43"/>
      <c r="AS349" s="43"/>
      <c r="AT349" s="43"/>
      <c r="AU349" s="43"/>
      <c r="AV349" s="43"/>
    </row>
    <row r="350" ht="15.75" spans="1:48">
      <c r="A350" s="12">
        <v>346</v>
      </c>
      <c r="B350" s="44">
        <v>4412</v>
      </c>
      <c r="C350" s="45" t="s">
        <v>177</v>
      </c>
      <c r="D350" s="46">
        <v>21</v>
      </c>
      <c r="E350" s="47" t="s">
        <v>50</v>
      </c>
      <c r="F350" s="48">
        <v>5.8</v>
      </c>
      <c r="G350" s="38">
        <v>0.17</v>
      </c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>
        <v>0.17</v>
      </c>
      <c r="V350" s="39"/>
      <c r="W350" s="39"/>
      <c r="X350" s="49" t="s">
        <v>222</v>
      </c>
      <c r="Y350" s="50">
        <v>8410</v>
      </c>
      <c r="Z350" s="51">
        <v>6750</v>
      </c>
      <c r="AA350" s="52">
        <f t="shared" si="13"/>
        <v>0.802615933412604</v>
      </c>
      <c r="AB350" s="12">
        <v>6750</v>
      </c>
      <c r="AC350" s="12">
        <v>0</v>
      </c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  <c r="AQ350" s="43"/>
      <c r="AR350" s="43"/>
      <c r="AS350" s="43"/>
      <c r="AT350" s="43"/>
      <c r="AU350" s="43"/>
      <c r="AV350" s="43"/>
    </row>
    <row r="351" ht="15.75" spans="1:48">
      <c r="A351" s="12">
        <v>347</v>
      </c>
      <c r="B351" s="44" t="s">
        <v>211</v>
      </c>
      <c r="C351" s="45" t="s">
        <v>176</v>
      </c>
      <c r="D351" s="46">
        <v>8</v>
      </c>
      <c r="E351" s="47" t="s">
        <v>50</v>
      </c>
      <c r="F351" s="48">
        <v>5.67</v>
      </c>
      <c r="G351" s="38">
        <v>1.34</v>
      </c>
      <c r="H351" s="39"/>
      <c r="I351" s="39"/>
      <c r="J351" s="39"/>
      <c r="K351" s="39"/>
      <c r="L351" s="39"/>
      <c r="M351" s="39"/>
      <c r="N351" s="39"/>
      <c r="O351" s="39"/>
      <c r="P351" s="39"/>
      <c r="Q351" s="39">
        <v>1.17</v>
      </c>
      <c r="R351" s="39"/>
      <c r="S351" s="39"/>
      <c r="T351" s="39"/>
      <c r="U351" s="39">
        <v>0.17</v>
      </c>
      <c r="V351" s="39"/>
      <c r="W351" s="39"/>
      <c r="X351" s="49">
        <v>9477</v>
      </c>
      <c r="Y351" s="50">
        <v>3430.35</v>
      </c>
      <c r="Z351" s="51">
        <v>3403</v>
      </c>
      <c r="AA351" s="52">
        <f t="shared" si="13"/>
        <v>0.992027052633113</v>
      </c>
      <c r="AB351" s="12">
        <v>3403</v>
      </c>
      <c r="AC351" s="12">
        <v>0</v>
      </c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  <c r="AQ351" s="43"/>
      <c r="AR351" s="43"/>
      <c r="AS351" s="43"/>
      <c r="AT351" s="43"/>
      <c r="AU351" s="43"/>
      <c r="AV351" s="43"/>
    </row>
    <row r="352" ht="15.75" spans="1:48">
      <c r="A352" s="12">
        <v>348</v>
      </c>
      <c r="B352" s="44" t="s">
        <v>211</v>
      </c>
      <c r="C352" s="45" t="s">
        <v>176</v>
      </c>
      <c r="D352" s="46">
        <v>8</v>
      </c>
      <c r="E352" s="47" t="s">
        <v>50</v>
      </c>
      <c r="F352" s="48">
        <v>3.5</v>
      </c>
      <c r="G352" s="38">
        <v>0</v>
      </c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49">
        <v>9968</v>
      </c>
      <c r="Y352" s="50">
        <v>2117.5</v>
      </c>
      <c r="Z352" s="51">
        <v>1979</v>
      </c>
      <c r="AA352" s="52">
        <f t="shared" si="13"/>
        <v>0.934592680047226</v>
      </c>
      <c r="AB352" s="12">
        <v>1979</v>
      </c>
      <c r="AC352" s="12">
        <v>0</v>
      </c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  <c r="AQ352" s="43"/>
      <c r="AR352" s="43"/>
      <c r="AS352" s="43"/>
      <c r="AT352" s="43"/>
      <c r="AU352" s="43"/>
      <c r="AV352" s="43"/>
    </row>
    <row r="353" ht="15.75" spans="1:48">
      <c r="A353" s="12">
        <v>349</v>
      </c>
      <c r="B353" s="44" t="s">
        <v>211</v>
      </c>
      <c r="C353" s="45" t="s">
        <v>176</v>
      </c>
      <c r="D353" s="46"/>
      <c r="E353" s="47" t="s">
        <v>50</v>
      </c>
      <c r="F353" s="48">
        <v>1.49</v>
      </c>
      <c r="G353" s="38">
        <v>0</v>
      </c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49" t="s">
        <v>103</v>
      </c>
      <c r="Y353" s="50">
        <v>1251.6</v>
      </c>
      <c r="Z353" s="51">
        <v>1379</v>
      </c>
      <c r="AA353" s="52">
        <f t="shared" si="13"/>
        <v>1.10178970917226</v>
      </c>
      <c r="AB353" s="12">
        <v>1379</v>
      </c>
      <c r="AC353" s="12">
        <v>0</v>
      </c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  <c r="AQ353" s="43"/>
      <c r="AR353" s="43"/>
      <c r="AS353" s="43"/>
      <c r="AT353" s="43"/>
      <c r="AU353" s="43"/>
      <c r="AV353" s="43"/>
    </row>
    <row r="354" ht="15.75" spans="1:48">
      <c r="A354" s="12">
        <v>350</v>
      </c>
      <c r="B354" s="44" t="s">
        <v>187</v>
      </c>
      <c r="C354" s="45" t="s">
        <v>188</v>
      </c>
      <c r="D354" s="46">
        <v>6</v>
      </c>
      <c r="E354" s="47" t="s">
        <v>50</v>
      </c>
      <c r="F354" s="48">
        <v>5.5</v>
      </c>
      <c r="G354" s="38">
        <v>1.34</v>
      </c>
      <c r="H354" s="39"/>
      <c r="I354" s="39"/>
      <c r="J354" s="39"/>
      <c r="K354" s="39"/>
      <c r="L354" s="39"/>
      <c r="M354" s="39"/>
      <c r="N354" s="39"/>
      <c r="O354" s="39"/>
      <c r="P354" s="39"/>
      <c r="Q354" s="39">
        <v>1.17</v>
      </c>
      <c r="R354" s="39"/>
      <c r="S354" s="39"/>
      <c r="T354" s="39"/>
      <c r="U354" s="39">
        <v>0.17</v>
      </c>
      <c r="V354" s="39"/>
      <c r="W354" s="39"/>
      <c r="X354" s="49">
        <v>5770</v>
      </c>
      <c r="Y354" s="50">
        <v>3327.5</v>
      </c>
      <c r="Z354" s="51">
        <v>3310</v>
      </c>
      <c r="AA354" s="52">
        <f t="shared" si="13"/>
        <v>0.994740796393689</v>
      </c>
      <c r="AB354" s="12">
        <v>3310</v>
      </c>
      <c r="AC354" s="12">
        <v>0</v>
      </c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  <c r="AQ354" s="43"/>
      <c r="AR354" s="43"/>
      <c r="AS354" s="43"/>
      <c r="AT354" s="43"/>
      <c r="AU354" s="43"/>
      <c r="AV354" s="43"/>
    </row>
    <row r="355" ht="15.75" spans="1:48">
      <c r="A355" s="12">
        <v>351</v>
      </c>
      <c r="B355" s="44" t="s">
        <v>187</v>
      </c>
      <c r="C355" s="45" t="s">
        <v>188</v>
      </c>
      <c r="D355" s="46"/>
      <c r="E355" s="47" t="s">
        <v>50</v>
      </c>
      <c r="F355" s="48">
        <v>4.16</v>
      </c>
      <c r="G355" s="38">
        <v>0</v>
      </c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49" t="s">
        <v>103</v>
      </c>
      <c r="Y355" s="50">
        <v>3494.4</v>
      </c>
      <c r="Z355" s="51">
        <v>3310</v>
      </c>
      <c r="AA355" s="52">
        <f t="shared" si="13"/>
        <v>0.947229853479853</v>
      </c>
      <c r="AB355" s="12">
        <v>3310</v>
      </c>
      <c r="AC355" s="12">
        <v>0</v>
      </c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  <c r="AQ355" s="43"/>
      <c r="AR355" s="43"/>
      <c r="AS355" s="43"/>
      <c r="AT355" s="43"/>
      <c r="AU355" s="43"/>
      <c r="AV355" s="43"/>
    </row>
    <row r="356" ht="15.75" spans="1:48">
      <c r="A356" s="12">
        <v>352</v>
      </c>
      <c r="B356" s="44">
        <v>850</v>
      </c>
      <c r="C356" s="45" t="s">
        <v>109</v>
      </c>
      <c r="D356" s="46"/>
      <c r="E356" s="47" t="s">
        <v>183</v>
      </c>
      <c r="F356" s="48">
        <v>7.17</v>
      </c>
      <c r="G356" s="38">
        <v>0.83</v>
      </c>
      <c r="H356" s="39"/>
      <c r="I356" s="39"/>
      <c r="J356" s="39"/>
      <c r="K356" s="39"/>
      <c r="L356" s="39"/>
      <c r="M356" s="39"/>
      <c r="N356" s="39"/>
      <c r="O356" s="39"/>
      <c r="P356" s="39"/>
      <c r="Q356" s="39">
        <v>0.83</v>
      </c>
      <c r="R356" s="39"/>
      <c r="S356" s="39"/>
      <c r="T356" s="39"/>
      <c r="U356" s="39"/>
      <c r="V356" s="39"/>
      <c r="W356" s="39"/>
      <c r="X356" s="49" t="s">
        <v>103</v>
      </c>
      <c r="Y356" s="50">
        <v>5420.52</v>
      </c>
      <c r="Z356" s="51">
        <v>4800</v>
      </c>
      <c r="AA356" s="52">
        <f t="shared" si="13"/>
        <v>0.885523898076199</v>
      </c>
      <c r="AB356" s="12">
        <v>4800</v>
      </c>
      <c r="AC356" s="12">
        <v>0</v>
      </c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  <c r="AQ356" s="43"/>
      <c r="AR356" s="43"/>
      <c r="AS356" s="43"/>
      <c r="AT356" s="43"/>
      <c r="AU356" s="43"/>
      <c r="AV356" s="43"/>
    </row>
    <row r="357" ht="15.75" spans="1:48">
      <c r="A357" s="12">
        <v>353</v>
      </c>
      <c r="B357" s="44">
        <v>849</v>
      </c>
      <c r="C357" s="45" t="s">
        <v>108</v>
      </c>
      <c r="D357" s="46"/>
      <c r="E357" s="47" t="s">
        <v>183</v>
      </c>
      <c r="F357" s="48">
        <v>7.17</v>
      </c>
      <c r="G357" s="38">
        <v>0.83</v>
      </c>
      <c r="H357" s="39"/>
      <c r="I357" s="39"/>
      <c r="J357" s="39"/>
      <c r="K357" s="39"/>
      <c r="L357" s="39"/>
      <c r="M357" s="39"/>
      <c r="N357" s="39"/>
      <c r="O357" s="39"/>
      <c r="P357" s="39"/>
      <c r="Q357" s="39">
        <v>0.83</v>
      </c>
      <c r="R357" s="39"/>
      <c r="S357" s="39"/>
      <c r="T357" s="39"/>
      <c r="U357" s="39"/>
      <c r="V357" s="39"/>
      <c r="W357" s="39"/>
      <c r="X357" s="49" t="s">
        <v>103</v>
      </c>
      <c r="Y357" s="50">
        <v>5420.52</v>
      </c>
      <c r="Z357" s="51">
        <v>4006</v>
      </c>
      <c r="AA357" s="52">
        <f t="shared" si="13"/>
        <v>0.739043486602761</v>
      </c>
      <c r="AB357" s="12">
        <v>4006</v>
      </c>
      <c r="AC357" s="12">
        <v>0</v>
      </c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  <c r="AQ357" s="43"/>
      <c r="AR357" s="43"/>
      <c r="AS357" s="43"/>
      <c r="AT357" s="43"/>
      <c r="AU357" s="43"/>
      <c r="AV357" s="43"/>
    </row>
    <row r="358" ht="15.75" spans="1:48">
      <c r="A358" s="12">
        <v>354</v>
      </c>
      <c r="B358" s="44">
        <v>4489</v>
      </c>
      <c r="C358" s="45" t="s">
        <v>88</v>
      </c>
      <c r="D358" s="46"/>
      <c r="E358" s="47" t="s">
        <v>50</v>
      </c>
      <c r="F358" s="48">
        <v>2</v>
      </c>
      <c r="G358" s="38">
        <v>0</v>
      </c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49" t="s">
        <v>103</v>
      </c>
      <c r="Y358" s="50">
        <v>1680</v>
      </c>
      <c r="Z358" s="51">
        <v>1497</v>
      </c>
      <c r="AA358" s="52">
        <f t="shared" si="13"/>
        <v>0.891071428571429</v>
      </c>
      <c r="AB358" s="12">
        <v>1497</v>
      </c>
      <c r="AC358" s="12">
        <v>0</v>
      </c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  <c r="AQ358" s="43"/>
      <c r="AR358" s="43"/>
      <c r="AS358" s="43"/>
      <c r="AT358" s="43"/>
      <c r="AU358" s="43"/>
      <c r="AV358" s="43"/>
    </row>
    <row r="359" ht="15.75" spans="1:48">
      <c r="A359" s="12">
        <v>355</v>
      </c>
      <c r="B359" s="44">
        <v>4310</v>
      </c>
      <c r="C359" s="45" t="s">
        <v>99</v>
      </c>
      <c r="D359" s="46"/>
      <c r="E359" s="47" t="s">
        <v>50</v>
      </c>
      <c r="F359" s="48">
        <v>1.33</v>
      </c>
      <c r="G359" s="38">
        <v>0</v>
      </c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49" t="s">
        <v>103</v>
      </c>
      <c r="Y359" s="50">
        <v>1117.2</v>
      </c>
      <c r="Z359" s="51">
        <v>750</v>
      </c>
      <c r="AA359" s="52">
        <f t="shared" si="13"/>
        <v>0.671321160042964</v>
      </c>
      <c r="AB359" s="12">
        <v>750</v>
      </c>
      <c r="AC359" s="12">
        <v>0</v>
      </c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  <c r="AQ359" s="43"/>
      <c r="AR359" s="43"/>
      <c r="AS359" s="43"/>
      <c r="AT359" s="43"/>
      <c r="AU359" s="43"/>
      <c r="AV359" s="43"/>
    </row>
    <row r="360" ht="15.75" spans="1:48">
      <c r="A360" s="12">
        <v>356</v>
      </c>
      <c r="B360" s="44" t="s">
        <v>181</v>
      </c>
      <c r="C360" s="45" t="s">
        <v>182</v>
      </c>
      <c r="D360" s="46"/>
      <c r="E360" s="47" t="s">
        <v>183</v>
      </c>
      <c r="F360" s="48">
        <v>7.17</v>
      </c>
      <c r="G360" s="38">
        <v>0.83</v>
      </c>
      <c r="H360" s="39"/>
      <c r="I360" s="39"/>
      <c r="J360" s="39"/>
      <c r="K360" s="39"/>
      <c r="L360" s="39"/>
      <c r="M360" s="39"/>
      <c r="N360" s="39"/>
      <c r="O360" s="39"/>
      <c r="P360" s="39"/>
      <c r="Q360" s="39">
        <v>0.83</v>
      </c>
      <c r="R360" s="39"/>
      <c r="S360" s="39"/>
      <c r="T360" s="39"/>
      <c r="U360" s="39"/>
      <c r="V360" s="39"/>
      <c r="W360" s="39"/>
      <c r="X360" s="49" t="s">
        <v>103</v>
      </c>
      <c r="Y360" s="50">
        <v>4215.96</v>
      </c>
      <c r="Z360" s="51">
        <v>3600</v>
      </c>
      <c r="AA360" s="52">
        <f t="shared" si="13"/>
        <v>0.853898044573478</v>
      </c>
      <c r="AB360" s="12">
        <v>3600</v>
      </c>
      <c r="AC360" s="12">
        <v>0</v>
      </c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  <c r="AQ360" s="43"/>
      <c r="AR360" s="43"/>
      <c r="AS360" s="43"/>
      <c r="AT360" s="43"/>
      <c r="AU360" s="43"/>
      <c r="AV360" s="43"/>
    </row>
    <row r="361" ht="15.75" spans="1:48">
      <c r="A361" s="12">
        <v>357</v>
      </c>
      <c r="B361" s="44">
        <v>761</v>
      </c>
      <c r="C361" s="45" t="s">
        <v>89</v>
      </c>
      <c r="D361" s="46"/>
      <c r="E361" s="47" t="s">
        <v>50</v>
      </c>
      <c r="F361" s="48">
        <v>1.96</v>
      </c>
      <c r="G361" s="38">
        <v>1.5</v>
      </c>
      <c r="H361" s="39"/>
      <c r="I361" s="39"/>
      <c r="J361" s="39"/>
      <c r="K361" s="39"/>
      <c r="L361" s="39"/>
      <c r="M361" s="39"/>
      <c r="N361" s="39"/>
      <c r="O361" s="39"/>
      <c r="P361" s="39"/>
      <c r="Q361" s="39">
        <v>0.83</v>
      </c>
      <c r="R361" s="39"/>
      <c r="S361" s="39">
        <v>0.5</v>
      </c>
      <c r="T361" s="39"/>
      <c r="U361" s="39">
        <v>0.17</v>
      </c>
      <c r="V361" s="39"/>
      <c r="W361" s="39"/>
      <c r="X361" s="49" t="s">
        <v>101</v>
      </c>
      <c r="Y361" s="50">
        <v>3763.2</v>
      </c>
      <c r="Z361" s="51">
        <v>3060</v>
      </c>
      <c r="AA361" s="52">
        <f t="shared" si="13"/>
        <v>0.813137755102041</v>
      </c>
      <c r="AB361" s="12">
        <v>3060</v>
      </c>
      <c r="AC361" s="12">
        <v>0</v>
      </c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  <c r="AQ361" s="43"/>
      <c r="AR361" s="43"/>
      <c r="AS361" s="43"/>
      <c r="AT361" s="43"/>
      <c r="AU361" s="43"/>
      <c r="AV361" s="43"/>
    </row>
    <row r="362" ht="15.75" spans="1:48">
      <c r="A362" s="12">
        <v>358</v>
      </c>
      <c r="B362" s="44">
        <v>761</v>
      </c>
      <c r="C362" s="45" t="s">
        <v>89</v>
      </c>
      <c r="D362" s="46"/>
      <c r="E362" s="47" t="s">
        <v>50</v>
      </c>
      <c r="F362" s="48">
        <v>2.34</v>
      </c>
      <c r="G362" s="38">
        <v>0</v>
      </c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49" t="s">
        <v>102</v>
      </c>
      <c r="Y362" s="50">
        <v>10530</v>
      </c>
      <c r="Z362" s="51">
        <v>8500</v>
      </c>
      <c r="AA362" s="52">
        <f t="shared" si="13"/>
        <v>0.807217473884141</v>
      </c>
      <c r="AB362" s="12">
        <v>8500</v>
      </c>
      <c r="AC362" s="12">
        <v>0</v>
      </c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  <c r="AQ362" s="43"/>
      <c r="AR362" s="43"/>
      <c r="AS362" s="43"/>
      <c r="AT362" s="43"/>
      <c r="AU362" s="43"/>
      <c r="AV362" s="43"/>
    </row>
    <row r="363" ht="15.75" spans="1:48">
      <c r="A363" s="12">
        <v>359</v>
      </c>
      <c r="B363" s="44">
        <v>761</v>
      </c>
      <c r="C363" s="45" t="s">
        <v>89</v>
      </c>
      <c r="D363" s="46"/>
      <c r="E363" s="47" t="s">
        <v>50</v>
      </c>
      <c r="F363" s="48">
        <v>1.4</v>
      </c>
      <c r="G363" s="38">
        <v>0</v>
      </c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49" t="s">
        <v>100</v>
      </c>
      <c r="Y363" s="50">
        <v>2688</v>
      </c>
      <c r="Z363" s="51">
        <v>2160</v>
      </c>
      <c r="AA363" s="52">
        <f t="shared" si="13"/>
        <v>0.803571428571429</v>
      </c>
      <c r="AB363" s="12">
        <v>2160</v>
      </c>
      <c r="AC363" s="12">
        <v>0</v>
      </c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  <c r="AQ363" s="43"/>
      <c r="AR363" s="43"/>
      <c r="AS363" s="43"/>
      <c r="AT363" s="43"/>
      <c r="AU363" s="43"/>
      <c r="AV363" s="43"/>
    </row>
    <row r="364" ht="15.75" spans="1:48">
      <c r="A364" s="12">
        <v>360</v>
      </c>
      <c r="B364" s="44">
        <v>761</v>
      </c>
      <c r="C364" s="45" t="s">
        <v>89</v>
      </c>
      <c r="D364" s="46"/>
      <c r="E364" s="47" t="s">
        <v>50</v>
      </c>
      <c r="F364" s="48">
        <v>0.8</v>
      </c>
      <c r="G364" s="38">
        <v>0</v>
      </c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49" t="s">
        <v>152</v>
      </c>
      <c r="Y364" s="50">
        <v>3480</v>
      </c>
      <c r="Z364" s="51">
        <v>2800</v>
      </c>
      <c r="AA364" s="52">
        <f t="shared" si="13"/>
        <v>0.804597701149425</v>
      </c>
      <c r="AB364" s="12">
        <v>2800</v>
      </c>
      <c r="AC364" s="12">
        <v>0</v>
      </c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  <c r="AQ364" s="43"/>
      <c r="AR364" s="43"/>
      <c r="AS364" s="43"/>
      <c r="AT364" s="43"/>
      <c r="AU364" s="43"/>
      <c r="AV364" s="43"/>
    </row>
    <row r="365" ht="15.75" spans="1:48">
      <c r="A365" s="12">
        <v>361</v>
      </c>
      <c r="B365" s="44">
        <v>4360</v>
      </c>
      <c r="C365" s="45" t="s">
        <v>97</v>
      </c>
      <c r="D365" s="46"/>
      <c r="E365" s="47" t="s">
        <v>50</v>
      </c>
      <c r="F365" s="48">
        <v>2.83</v>
      </c>
      <c r="G365" s="38">
        <v>0</v>
      </c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49" t="s">
        <v>103</v>
      </c>
      <c r="Y365" s="50">
        <v>2377.2</v>
      </c>
      <c r="Z365" s="51">
        <v>2370</v>
      </c>
      <c r="AA365" s="52">
        <f t="shared" si="13"/>
        <v>0.996971226653205</v>
      </c>
      <c r="AB365" s="12">
        <v>2370</v>
      </c>
      <c r="AC365" s="12">
        <v>0</v>
      </c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  <c r="AQ365" s="43"/>
      <c r="AR365" s="43"/>
      <c r="AS365" s="43"/>
      <c r="AT365" s="43"/>
      <c r="AU365" s="43"/>
      <c r="AV365" s="43"/>
    </row>
    <row r="366" ht="15.75" spans="1:48">
      <c r="A366" s="12">
        <v>362</v>
      </c>
      <c r="B366" s="44">
        <v>676</v>
      </c>
      <c r="C366" s="45" t="s">
        <v>171</v>
      </c>
      <c r="D366" s="46"/>
      <c r="E366" s="47" t="s">
        <v>50</v>
      </c>
      <c r="F366" s="48">
        <v>0.83</v>
      </c>
      <c r="G366" s="38">
        <v>0</v>
      </c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49" t="s">
        <v>101</v>
      </c>
      <c r="Y366" s="50">
        <v>1593.6</v>
      </c>
      <c r="Z366" s="51">
        <v>1800</v>
      </c>
      <c r="AA366" s="52">
        <f t="shared" si="13"/>
        <v>1.12951807228916</v>
      </c>
      <c r="AB366" s="12">
        <v>1800</v>
      </c>
      <c r="AC366" s="12">
        <v>0</v>
      </c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  <c r="AQ366" s="43"/>
      <c r="AR366" s="43"/>
      <c r="AS366" s="43"/>
      <c r="AT366" s="43"/>
      <c r="AU366" s="43"/>
      <c r="AV366" s="43"/>
    </row>
    <row r="367" ht="15.75" spans="1:48">
      <c r="A367" s="12">
        <v>363</v>
      </c>
      <c r="B367" s="44">
        <v>676</v>
      </c>
      <c r="C367" s="45" t="s">
        <v>171</v>
      </c>
      <c r="D367" s="46"/>
      <c r="E367" s="47" t="s">
        <v>50</v>
      </c>
      <c r="F367" s="48">
        <v>0.33</v>
      </c>
      <c r="G367" s="38">
        <v>0</v>
      </c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49" t="s">
        <v>100</v>
      </c>
      <c r="Y367" s="50">
        <v>633.6</v>
      </c>
      <c r="Z367" s="51">
        <v>900</v>
      </c>
      <c r="AA367" s="52">
        <f t="shared" ref="AA367:AA398" si="14">IFERROR(Z367/Y367,0)</f>
        <v>1.42045454545455</v>
      </c>
      <c r="AB367" s="12">
        <v>900</v>
      </c>
      <c r="AC367" s="12">
        <v>0</v>
      </c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  <c r="AQ367" s="43"/>
      <c r="AR367" s="43"/>
      <c r="AS367" s="43"/>
      <c r="AT367" s="43"/>
      <c r="AU367" s="43"/>
      <c r="AV367" s="43"/>
    </row>
    <row r="368" ht="15.75" spans="1:48">
      <c r="A368" s="12">
        <v>364</v>
      </c>
      <c r="B368" s="44">
        <v>676</v>
      </c>
      <c r="C368" s="45" t="s">
        <v>171</v>
      </c>
      <c r="D368" s="46"/>
      <c r="E368" s="47" t="s">
        <v>50</v>
      </c>
      <c r="F368" s="48">
        <v>0.84</v>
      </c>
      <c r="G368" s="38">
        <v>0</v>
      </c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49" t="s">
        <v>152</v>
      </c>
      <c r="Y368" s="50">
        <v>3654</v>
      </c>
      <c r="Z368" s="51">
        <v>5600</v>
      </c>
      <c r="AA368" s="52">
        <f t="shared" si="14"/>
        <v>1.53256704980843</v>
      </c>
      <c r="AB368" s="12">
        <v>5600</v>
      </c>
      <c r="AC368" s="12">
        <v>0</v>
      </c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  <c r="AQ368" s="43"/>
      <c r="AR368" s="43"/>
      <c r="AS368" s="43"/>
      <c r="AT368" s="43"/>
      <c r="AU368" s="43"/>
      <c r="AV368" s="43"/>
    </row>
    <row r="369" ht="15.75" spans="1:48">
      <c r="A369" s="12">
        <v>365</v>
      </c>
      <c r="B369" s="44">
        <v>846</v>
      </c>
      <c r="C369" s="45" t="s">
        <v>87</v>
      </c>
      <c r="D369" s="46"/>
      <c r="E369" s="47" t="s">
        <v>50</v>
      </c>
      <c r="F369" s="48">
        <v>5.33</v>
      </c>
      <c r="G369" s="38">
        <v>0</v>
      </c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49" t="s">
        <v>105</v>
      </c>
      <c r="Y369" s="50">
        <v>3517.8</v>
      </c>
      <c r="Z369" s="51">
        <v>2889</v>
      </c>
      <c r="AA369" s="52">
        <f t="shared" si="14"/>
        <v>0.821251918812894</v>
      </c>
      <c r="AB369" s="12">
        <v>2889</v>
      </c>
      <c r="AC369" s="12">
        <v>0</v>
      </c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  <c r="AQ369" s="43"/>
      <c r="AR369" s="43"/>
      <c r="AS369" s="43"/>
      <c r="AT369" s="43"/>
      <c r="AU369" s="43"/>
      <c r="AV369" s="43"/>
    </row>
    <row r="370" ht="15.75" spans="1:48">
      <c r="A370" s="12">
        <v>366</v>
      </c>
      <c r="B370" s="44">
        <v>4490</v>
      </c>
      <c r="C370" s="45" t="s">
        <v>91</v>
      </c>
      <c r="D370" s="46"/>
      <c r="E370" s="47" t="s">
        <v>50</v>
      </c>
      <c r="F370" s="48">
        <v>1.5</v>
      </c>
      <c r="G370" s="38">
        <v>0</v>
      </c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49" t="s">
        <v>103</v>
      </c>
      <c r="Y370" s="50">
        <v>1260</v>
      </c>
      <c r="Z370" s="51">
        <v>1515</v>
      </c>
      <c r="AA370" s="52">
        <f t="shared" si="14"/>
        <v>1.20238095238095</v>
      </c>
      <c r="AB370" s="12">
        <v>1515</v>
      </c>
      <c r="AC370" s="12">
        <v>0</v>
      </c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  <c r="AQ370" s="43"/>
      <c r="AR370" s="43"/>
      <c r="AS370" s="43"/>
      <c r="AT370" s="43"/>
      <c r="AU370" s="43"/>
      <c r="AV370" s="43"/>
    </row>
    <row r="371" ht="15.75" spans="1:48">
      <c r="A371" s="12">
        <v>367</v>
      </c>
      <c r="B371" s="44">
        <v>4490</v>
      </c>
      <c r="C371" s="45" t="s">
        <v>91</v>
      </c>
      <c r="D371" s="46"/>
      <c r="E371" s="47" t="s">
        <v>50</v>
      </c>
      <c r="F371" s="48">
        <v>1</v>
      </c>
      <c r="G371" s="38">
        <v>0</v>
      </c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49" t="s">
        <v>223</v>
      </c>
      <c r="Y371" s="50">
        <v>1200</v>
      </c>
      <c r="Z371" s="51">
        <v>1170</v>
      </c>
      <c r="AA371" s="52">
        <f t="shared" si="14"/>
        <v>0.975</v>
      </c>
      <c r="AB371" s="12">
        <v>1170</v>
      </c>
      <c r="AC371" s="12">
        <v>0</v>
      </c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  <c r="AQ371" s="43"/>
      <c r="AR371" s="43"/>
      <c r="AS371" s="43"/>
      <c r="AT371" s="43"/>
      <c r="AU371" s="43"/>
      <c r="AV371" s="43"/>
    </row>
    <row r="372" ht="15.75" spans="1:48">
      <c r="A372" s="12">
        <v>368</v>
      </c>
      <c r="B372" s="44">
        <v>4412</v>
      </c>
      <c r="C372" s="45" t="s">
        <v>177</v>
      </c>
      <c r="D372" s="46"/>
      <c r="E372" s="47" t="s">
        <v>50</v>
      </c>
      <c r="F372" s="48">
        <v>0.7</v>
      </c>
      <c r="G372" s="38">
        <v>0</v>
      </c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49" t="s">
        <v>105</v>
      </c>
      <c r="Y372" s="50">
        <v>462</v>
      </c>
      <c r="Z372" s="51">
        <v>400</v>
      </c>
      <c r="AA372" s="52">
        <f t="shared" si="14"/>
        <v>0.865800865800866</v>
      </c>
      <c r="AB372" s="12">
        <v>400</v>
      </c>
      <c r="AC372" s="12">
        <v>0</v>
      </c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  <c r="AQ372" s="43"/>
      <c r="AR372" s="43"/>
      <c r="AS372" s="43"/>
      <c r="AT372" s="43"/>
      <c r="AU372" s="43"/>
      <c r="AV372" s="43"/>
    </row>
    <row r="373" ht="15.75" spans="1:48">
      <c r="A373" s="12">
        <v>369</v>
      </c>
      <c r="B373" s="44">
        <v>4412</v>
      </c>
      <c r="C373" s="45" t="s">
        <v>177</v>
      </c>
      <c r="D373" s="46"/>
      <c r="E373" s="47" t="s">
        <v>50</v>
      </c>
      <c r="F373" s="48">
        <v>3.3</v>
      </c>
      <c r="G373" s="38">
        <v>0</v>
      </c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49" t="s">
        <v>224</v>
      </c>
      <c r="Y373" s="50">
        <v>0</v>
      </c>
      <c r="Z373" s="51"/>
      <c r="AA373" s="52">
        <f t="shared" si="14"/>
        <v>0</v>
      </c>
      <c r="AB373" s="12">
        <v>0</v>
      </c>
      <c r="AC373" s="12">
        <v>0</v>
      </c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  <c r="AQ373" s="43"/>
      <c r="AR373" s="43"/>
      <c r="AS373" s="43"/>
      <c r="AT373" s="43"/>
      <c r="AU373" s="43"/>
      <c r="AV373" s="43"/>
    </row>
    <row r="374" ht="15.75" spans="1:48">
      <c r="A374" s="12">
        <v>370</v>
      </c>
      <c r="B374" s="44">
        <v>3353</v>
      </c>
      <c r="C374" s="45" t="s">
        <v>48</v>
      </c>
      <c r="D374" s="46" t="s">
        <v>112</v>
      </c>
      <c r="E374" s="47" t="s">
        <v>50</v>
      </c>
      <c r="F374" s="48">
        <v>7</v>
      </c>
      <c r="G374" s="38">
        <v>5</v>
      </c>
      <c r="H374" s="39"/>
      <c r="I374" s="39"/>
      <c r="J374" s="39"/>
      <c r="K374" s="39">
        <v>0.33</v>
      </c>
      <c r="L374" s="39"/>
      <c r="M374" s="39"/>
      <c r="N374" s="39"/>
      <c r="O374" s="39"/>
      <c r="P374" s="39"/>
      <c r="Q374" s="39">
        <v>1.17</v>
      </c>
      <c r="R374" s="39"/>
      <c r="S374" s="39">
        <v>3.33</v>
      </c>
      <c r="T374" s="39"/>
      <c r="U374" s="39">
        <v>0.17</v>
      </c>
      <c r="V374" s="39"/>
      <c r="W374" s="39"/>
      <c r="X374" s="49" t="s">
        <v>190</v>
      </c>
      <c r="Y374" s="50">
        <v>6300</v>
      </c>
      <c r="Z374" s="51">
        <v>5900</v>
      </c>
      <c r="AA374" s="52">
        <f t="shared" si="14"/>
        <v>0.936507936507937</v>
      </c>
      <c r="AB374" s="12">
        <v>5900</v>
      </c>
      <c r="AC374" s="12">
        <v>0</v>
      </c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  <c r="AQ374" s="43"/>
      <c r="AR374" s="43"/>
      <c r="AS374" s="43"/>
      <c r="AT374" s="43"/>
      <c r="AU374" s="43"/>
      <c r="AV374" s="43"/>
    </row>
    <row r="375" ht="15.75" spans="1:48">
      <c r="A375" s="12">
        <v>371</v>
      </c>
      <c r="B375" s="44">
        <v>2516</v>
      </c>
      <c r="C375" s="45" t="s">
        <v>189</v>
      </c>
      <c r="D375" s="46" t="s">
        <v>53</v>
      </c>
      <c r="E375" s="47" t="s">
        <v>50</v>
      </c>
      <c r="F375" s="48">
        <v>10.33</v>
      </c>
      <c r="G375" s="38">
        <v>1.67</v>
      </c>
      <c r="H375" s="39"/>
      <c r="I375" s="39"/>
      <c r="J375" s="39"/>
      <c r="K375" s="39"/>
      <c r="L375" s="39"/>
      <c r="M375" s="39"/>
      <c r="N375" s="39"/>
      <c r="O375" s="39"/>
      <c r="P375" s="39"/>
      <c r="Q375" s="39">
        <v>1.17</v>
      </c>
      <c r="R375" s="39"/>
      <c r="S375" s="39">
        <v>0.33</v>
      </c>
      <c r="T375" s="39"/>
      <c r="U375" s="39">
        <v>0.17</v>
      </c>
      <c r="V375" s="39"/>
      <c r="W375" s="39"/>
      <c r="X375" s="49" t="s">
        <v>55</v>
      </c>
      <c r="Y375" s="50">
        <v>24946.95</v>
      </c>
      <c r="Z375" s="51">
        <v>25448</v>
      </c>
      <c r="AA375" s="52">
        <f t="shared" si="14"/>
        <v>1.02008461956271</v>
      </c>
      <c r="AB375" s="12">
        <v>25440</v>
      </c>
      <c r="AC375" s="12">
        <v>8</v>
      </c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19">
        <v>8</v>
      </c>
      <c r="AO375" s="43"/>
      <c r="AP375" s="43"/>
      <c r="AQ375" s="43"/>
      <c r="AR375" s="43"/>
      <c r="AS375" s="43"/>
      <c r="AT375" s="43"/>
      <c r="AU375" s="43"/>
      <c r="AV375" s="43"/>
    </row>
    <row r="376" ht="15.75" spans="1:48">
      <c r="A376" s="12">
        <v>372</v>
      </c>
      <c r="B376" s="44">
        <v>4031</v>
      </c>
      <c r="C376" s="45" t="s">
        <v>64</v>
      </c>
      <c r="D376" s="46">
        <v>9</v>
      </c>
      <c r="E376" s="47" t="s">
        <v>50</v>
      </c>
      <c r="F376" s="48">
        <v>10.67</v>
      </c>
      <c r="G376" s="38">
        <v>1.34</v>
      </c>
      <c r="H376" s="39"/>
      <c r="I376" s="39"/>
      <c r="J376" s="39"/>
      <c r="K376" s="39"/>
      <c r="L376" s="39"/>
      <c r="M376" s="39"/>
      <c r="N376" s="39"/>
      <c r="O376" s="39"/>
      <c r="P376" s="39"/>
      <c r="Q376" s="39">
        <v>1.17</v>
      </c>
      <c r="R376" s="39"/>
      <c r="S376" s="39"/>
      <c r="T376" s="39"/>
      <c r="U376" s="39">
        <v>0.17</v>
      </c>
      <c r="V376" s="39"/>
      <c r="W376" s="39"/>
      <c r="X376" s="49">
        <v>9140</v>
      </c>
      <c r="Y376" s="50">
        <v>5335</v>
      </c>
      <c r="Z376" s="51">
        <v>4320</v>
      </c>
      <c r="AA376" s="52">
        <f t="shared" si="14"/>
        <v>0.809746954076851</v>
      </c>
      <c r="AB376" s="12">
        <v>4320</v>
      </c>
      <c r="AC376" s="12">
        <v>0</v>
      </c>
      <c r="AD376" s="43"/>
      <c r="AE376" s="43"/>
      <c r="AF376" s="43"/>
      <c r="AG376" s="43"/>
      <c r="AH376" s="43"/>
      <c r="AI376" s="43"/>
      <c r="AJ376" s="43"/>
      <c r="AK376" s="43"/>
      <c r="AL376" s="43"/>
      <c r="AM376" s="43"/>
      <c r="AN376" s="43"/>
      <c r="AO376" s="43"/>
      <c r="AP376" s="43"/>
      <c r="AQ376" s="43"/>
      <c r="AR376" s="43"/>
      <c r="AS376" s="43"/>
      <c r="AT376" s="43"/>
      <c r="AU376" s="43"/>
      <c r="AV376" s="43"/>
    </row>
    <row r="377" ht="15.75" spans="1:48">
      <c r="A377" s="12">
        <v>373</v>
      </c>
      <c r="B377" s="44">
        <v>4424</v>
      </c>
      <c r="C377" s="45" t="s">
        <v>115</v>
      </c>
      <c r="D377" s="46">
        <v>12</v>
      </c>
      <c r="E377" s="47" t="s">
        <v>50</v>
      </c>
      <c r="F377" s="48">
        <v>10.33</v>
      </c>
      <c r="G377" s="38">
        <v>1.67</v>
      </c>
      <c r="H377" s="39"/>
      <c r="I377" s="39"/>
      <c r="J377" s="39"/>
      <c r="K377" s="39"/>
      <c r="L377" s="39"/>
      <c r="M377" s="39"/>
      <c r="N377" s="39"/>
      <c r="O377" s="39"/>
      <c r="P377" s="39"/>
      <c r="Q377" s="39">
        <v>1.17</v>
      </c>
      <c r="R377" s="39"/>
      <c r="S377" s="39"/>
      <c r="T377" s="39">
        <v>0.33</v>
      </c>
      <c r="U377" s="39">
        <v>0.17</v>
      </c>
      <c r="V377" s="39"/>
      <c r="W377" s="39"/>
      <c r="X377" s="49" t="s">
        <v>194</v>
      </c>
      <c r="Y377" s="50">
        <v>3460.55</v>
      </c>
      <c r="Z377" s="51">
        <v>3360</v>
      </c>
      <c r="AA377" s="52">
        <f t="shared" si="14"/>
        <v>0.970943925098611</v>
      </c>
      <c r="AB377" s="12">
        <v>3200</v>
      </c>
      <c r="AC377" s="12">
        <v>160</v>
      </c>
      <c r="AD377" s="19">
        <v>160</v>
      </c>
      <c r="AE377" s="43"/>
      <c r="AF377" s="43"/>
      <c r="AG377" s="43"/>
      <c r="AH377" s="43"/>
      <c r="AI377" s="43"/>
      <c r="AJ377" s="43"/>
      <c r="AK377" s="43"/>
      <c r="AL377" s="43"/>
      <c r="AM377" s="43"/>
      <c r="AN377" s="43"/>
      <c r="AO377" s="43"/>
      <c r="AP377" s="43"/>
      <c r="AQ377" s="43"/>
      <c r="AR377" s="43"/>
      <c r="AS377" s="43"/>
      <c r="AT377" s="43"/>
      <c r="AU377" s="43"/>
      <c r="AV377" s="43"/>
    </row>
    <row r="378" ht="15.75" spans="1:48">
      <c r="A378" s="12">
        <v>374</v>
      </c>
      <c r="B378" s="44">
        <v>834</v>
      </c>
      <c r="C378" s="45" t="s">
        <v>61</v>
      </c>
      <c r="D378" s="46"/>
      <c r="E378" s="47" t="s">
        <v>50</v>
      </c>
      <c r="F378" s="48">
        <v>4.665</v>
      </c>
      <c r="G378" s="38">
        <v>2.67</v>
      </c>
      <c r="H378" s="39"/>
      <c r="I378" s="39"/>
      <c r="J378" s="39"/>
      <c r="K378" s="39"/>
      <c r="L378" s="39"/>
      <c r="M378" s="39"/>
      <c r="N378" s="39"/>
      <c r="O378" s="39"/>
      <c r="P378" s="39"/>
      <c r="Q378" s="39">
        <v>1.17</v>
      </c>
      <c r="R378" s="39"/>
      <c r="S378" s="39">
        <v>1.5</v>
      </c>
      <c r="T378" s="39"/>
      <c r="U378" s="39"/>
      <c r="V378" s="39"/>
      <c r="W378" s="39"/>
      <c r="X378" s="49" t="s">
        <v>63</v>
      </c>
      <c r="Y378" s="50">
        <v>839.7</v>
      </c>
      <c r="Z378" s="51">
        <v>850</v>
      </c>
      <c r="AA378" s="52">
        <f t="shared" si="14"/>
        <v>1.01226628557818</v>
      </c>
      <c r="AB378" s="12">
        <v>850</v>
      </c>
      <c r="AC378" s="12">
        <v>0</v>
      </c>
      <c r="AD378" s="43"/>
      <c r="AE378" s="43"/>
      <c r="AF378" s="43"/>
      <c r="AG378" s="43"/>
      <c r="AH378" s="43"/>
      <c r="AI378" s="43"/>
      <c r="AJ378" s="43"/>
      <c r="AK378" s="43"/>
      <c r="AL378" s="43"/>
      <c r="AM378" s="43"/>
      <c r="AN378" s="43"/>
      <c r="AO378" s="43"/>
      <c r="AP378" s="43"/>
      <c r="AQ378" s="43"/>
      <c r="AR378" s="43"/>
      <c r="AS378" s="43"/>
      <c r="AT378" s="43"/>
      <c r="AU378" s="43"/>
      <c r="AV378" s="43"/>
    </row>
    <row r="379" ht="15.75" spans="1:48">
      <c r="A379" s="12">
        <v>375</v>
      </c>
      <c r="B379" s="44">
        <v>834</v>
      </c>
      <c r="C379" s="45" t="s">
        <v>61</v>
      </c>
      <c r="D379" s="46"/>
      <c r="E379" s="47" t="s">
        <v>50</v>
      </c>
      <c r="F379" s="48">
        <v>4.665</v>
      </c>
      <c r="G379" s="38">
        <v>0</v>
      </c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49" t="s">
        <v>62</v>
      </c>
      <c r="Y379" s="50">
        <v>839.7</v>
      </c>
      <c r="Z379" s="51">
        <v>850</v>
      </c>
      <c r="AA379" s="52">
        <f t="shared" si="14"/>
        <v>1.01226628557818</v>
      </c>
      <c r="AB379" s="12">
        <v>850</v>
      </c>
      <c r="AC379" s="12">
        <v>0</v>
      </c>
      <c r="AD379" s="43"/>
      <c r="AE379" s="43"/>
      <c r="AF379" s="43"/>
      <c r="AG379" s="43"/>
      <c r="AH379" s="43"/>
      <c r="AI379" s="43"/>
      <c r="AJ379" s="43"/>
      <c r="AK379" s="43"/>
      <c r="AL379" s="43"/>
      <c r="AM379" s="43"/>
      <c r="AN379" s="43"/>
      <c r="AO379" s="43"/>
      <c r="AP379" s="43"/>
      <c r="AQ379" s="43"/>
      <c r="AR379" s="43"/>
      <c r="AS379" s="43"/>
      <c r="AT379" s="43"/>
      <c r="AU379" s="43"/>
      <c r="AV379" s="43"/>
    </row>
    <row r="380" ht="15.75" spans="1:48">
      <c r="A380" s="12">
        <v>376</v>
      </c>
      <c r="B380" s="44">
        <v>3187</v>
      </c>
      <c r="C380" s="45" t="s">
        <v>52</v>
      </c>
      <c r="D380" s="46">
        <v>4</v>
      </c>
      <c r="E380" s="47" t="s">
        <v>50</v>
      </c>
      <c r="F380" s="48">
        <v>10.67</v>
      </c>
      <c r="G380" s="38">
        <v>1.34</v>
      </c>
      <c r="H380" s="39"/>
      <c r="I380" s="39"/>
      <c r="J380" s="39"/>
      <c r="K380" s="39"/>
      <c r="L380" s="39"/>
      <c r="M380" s="39"/>
      <c r="N380" s="39"/>
      <c r="O380" s="39"/>
      <c r="P380" s="39"/>
      <c r="Q380" s="39">
        <v>1.17</v>
      </c>
      <c r="R380" s="39"/>
      <c r="S380" s="39"/>
      <c r="T380" s="39"/>
      <c r="U380" s="39">
        <v>0.17</v>
      </c>
      <c r="V380" s="39"/>
      <c r="W380" s="39"/>
      <c r="X380" s="49">
        <v>9116</v>
      </c>
      <c r="Y380" s="50">
        <v>3201</v>
      </c>
      <c r="Z380" s="51">
        <v>3200</v>
      </c>
      <c r="AA380" s="52">
        <f t="shared" si="14"/>
        <v>0.999687597625742</v>
      </c>
      <c r="AB380" s="12">
        <v>3200</v>
      </c>
      <c r="AC380" s="12">
        <v>0</v>
      </c>
      <c r="AD380" s="43"/>
      <c r="AE380" s="43"/>
      <c r="AF380" s="43"/>
      <c r="AG380" s="43"/>
      <c r="AH380" s="43"/>
      <c r="AI380" s="43"/>
      <c r="AJ380" s="43"/>
      <c r="AK380" s="43"/>
      <c r="AL380" s="43"/>
      <c r="AM380" s="43"/>
      <c r="AN380" s="43"/>
      <c r="AO380" s="43"/>
      <c r="AP380" s="43"/>
      <c r="AQ380" s="43"/>
      <c r="AR380" s="43"/>
      <c r="AS380" s="43"/>
      <c r="AT380" s="43"/>
      <c r="AU380" s="43"/>
      <c r="AV380" s="43"/>
    </row>
    <row r="381" ht="15.75" spans="1:48">
      <c r="A381" s="12">
        <v>377</v>
      </c>
      <c r="B381" s="44">
        <v>3352</v>
      </c>
      <c r="C381" s="45" t="s">
        <v>66</v>
      </c>
      <c r="D381" s="46"/>
      <c r="E381" s="47" t="s">
        <v>50</v>
      </c>
      <c r="F381" s="48">
        <v>10.83</v>
      </c>
      <c r="G381" s="38">
        <v>1.17</v>
      </c>
      <c r="H381" s="39"/>
      <c r="I381" s="39"/>
      <c r="J381" s="39"/>
      <c r="K381" s="39"/>
      <c r="L381" s="39"/>
      <c r="M381" s="39"/>
      <c r="N381" s="39"/>
      <c r="O381" s="39"/>
      <c r="P381" s="39"/>
      <c r="Q381" s="39">
        <v>1.17</v>
      </c>
      <c r="R381" s="39"/>
      <c r="S381" s="39"/>
      <c r="T381" s="39"/>
      <c r="U381" s="39"/>
      <c r="V381" s="39"/>
      <c r="W381" s="39"/>
      <c r="X381" s="49" t="s">
        <v>67</v>
      </c>
      <c r="Y381" s="50">
        <v>2707.5</v>
      </c>
      <c r="Z381" s="51">
        <v>2600</v>
      </c>
      <c r="AA381" s="52">
        <f t="shared" si="14"/>
        <v>0.960295475530933</v>
      </c>
      <c r="AB381" s="12">
        <v>2600</v>
      </c>
      <c r="AC381" s="12">
        <v>0</v>
      </c>
      <c r="AD381" s="43"/>
      <c r="AE381" s="43"/>
      <c r="AF381" s="43"/>
      <c r="AG381" s="43"/>
      <c r="AH381" s="43"/>
      <c r="AI381" s="43"/>
      <c r="AJ381" s="43"/>
      <c r="AK381" s="43"/>
      <c r="AL381" s="43"/>
      <c r="AM381" s="43"/>
      <c r="AN381" s="43"/>
      <c r="AO381" s="43"/>
      <c r="AP381" s="43"/>
      <c r="AQ381" s="43"/>
      <c r="AR381" s="43"/>
      <c r="AS381" s="43"/>
      <c r="AT381" s="43"/>
      <c r="AU381" s="43"/>
      <c r="AV381" s="43"/>
    </row>
    <row r="382" ht="15.75" spans="1:48">
      <c r="A382" s="12">
        <v>378</v>
      </c>
      <c r="B382" s="44">
        <v>698</v>
      </c>
      <c r="C382" s="45" t="s">
        <v>68</v>
      </c>
      <c r="D382" s="46"/>
      <c r="E382" s="47" t="s">
        <v>50</v>
      </c>
      <c r="F382" s="48">
        <v>10.67</v>
      </c>
      <c r="G382" s="38">
        <v>1.34</v>
      </c>
      <c r="H382" s="39"/>
      <c r="I382" s="39"/>
      <c r="J382" s="39"/>
      <c r="K382" s="39"/>
      <c r="L382" s="39"/>
      <c r="M382" s="39"/>
      <c r="N382" s="39"/>
      <c r="O382" s="39"/>
      <c r="P382" s="39"/>
      <c r="Q382" s="39">
        <v>1.17</v>
      </c>
      <c r="R382" s="39"/>
      <c r="S382" s="39"/>
      <c r="T382" s="39"/>
      <c r="U382" s="39">
        <v>0.17</v>
      </c>
      <c r="V382" s="39"/>
      <c r="W382" s="39"/>
      <c r="X382" s="49" t="s">
        <v>69</v>
      </c>
      <c r="Y382" s="50">
        <v>5441.7</v>
      </c>
      <c r="Z382" s="51">
        <v>5400</v>
      </c>
      <c r="AA382" s="52">
        <f t="shared" si="14"/>
        <v>0.992336953525553</v>
      </c>
      <c r="AB382" s="12">
        <v>5400</v>
      </c>
      <c r="AC382" s="12">
        <v>0</v>
      </c>
      <c r="AD382" s="43"/>
      <c r="AE382" s="43"/>
      <c r="AF382" s="43"/>
      <c r="AG382" s="43"/>
      <c r="AH382" s="43"/>
      <c r="AI382" s="43"/>
      <c r="AJ382" s="43"/>
      <c r="AK382" s="43"/>
      <c r="AL382" s="43"/>
      <c r="AM382" s="43"/>
      <c r="AN382" s="43"/>
      <c r="AO382" s="43"/>
      <c r="AP382" s="43"/>
      <c r="AQ382" s="43"/>
      <c r="AR382" s="43"/>
      <c r="AS382" s="43"/>
      <c r="AT382" s="43"/>
      <c r="AU382" s="43"/>
      <c r="AV382" s="43"/>
    </row>
    <row r="383" ht="15.75" spans="1:48">
      <c r="A383" s="12">
        <v>379</v>
      </c>
      <c r="B383" s="44" t="s">
        <v>225</v>
      </c>
      <c r="C383" s="45" t="e">
        <v>#N/A</v>
      </c>
      <c r="D383" s="46">
        <v>1</v>
      </c>
      <c r="E383" s="47" t="s">
        <v>50</v>
      </c>
      <c r="F383" s="48">
        <v>10.33</v>
      </c>
      <c r="G383" s="38">
        <v>1.67</v>
      </c>
      <c r="H383" s="39"/>
      <c r="I383" s="39"/>
      <c r="J383" s="39"/>
      <c r="K383" s="39"/>
      <c r="L383" s="39"/>
      <c r="M383" s="39"/>
      <c r="N383" s="39"/>
      <c r="O383" s="39"/>
      <c r="P383" s="39"/>
      <c r="Q383" s="39">
        <v>1.17</v>
      </c>
      <c r="R383" s="39"/>
      <c r="S383" s="39"/>
      <c r="T383" s="39">
        <v>0.33</v>
      </c>
      <c r="U383" s="39">
        <v>0.17</v>
      </c>
      <c r="V383" s="39"/>
      <c r="W383" s="39"/>
      <c r="X383" s="49" t="s">
        <v>58</v>
      </c>
      <c r="Y383" s="50">
        <v>3615.5</v>
      </c>
      <c r="Z383" s="51">
        <v>3720</v>
      </c>
      <c r="AA383" s="52">
        <f t="shared" si="14"/>
        <v>1.02890333287236</v>
      </c>
      <c r="AB383" s="12">
        <v>3590</v>
      </c>
      <c r="AC383" s="12">
        <v>130</v>
      </c>
      <c r="AD383" s="19">
        <v>130</v>
      </c>
      <c r="AE383" s="43"/>
      <c r="AF383" s="43"/>
      <c r="AG383" s="43"/>
      <c r="AH383" s="43"/>
      <c r="AI383" s="43"/>
      <c r="AJ383" s="43"/>
      <c r="AK383" s="43"/>
      <c r="AL383" s="43"/>
      <c r="AM383" s="43"/>
      <c r="AN383" s="43"/>
      <c r="AO383" s="43"/>
      <c r="AP383" s="43"/>
      <c r="AQ383" s="43"/>
      <c r="AR383" s="43"/>
      <c r="AS383" s="43"/>
      <c r="AT383" s="43"/>
      <c r="AU383" s="43"/>
      <c r="AV383" s="43"/>
    </row>
    <row r="384" ht="15.75" spans="1:48">
      <c r="A384" s="12">
        <v>380</v>
      </c>
      <c r="B384" s="44">
        <v>3526</v>
      </c>
      <c r="C384" s="45" t="s">
        <v>65</v>
      </c>
      <c r="D384" s="46"/>
      <c r="E384" s="47" t="s">
        <v>50</v>
      </c>
      <c r="F384" s="48">
        <v>10.83</v>
      </c>
      <c r="G384" s="38">
        <v>1.17</v>
      </c>
      <c r="H384" s="39"/>
      <c r="I384" s="39"/>
      <c r="J384" s="39"/>
      <c r="K384" s="39"/>
      <c r="L384" s="39"/>
      <c r="M384" s="39"/>
      <c r="N384" s="39"/>
      <c r="O384" s="39"/>
      <c r="P384" s="39"/>
      <c r="Q384" s="39">
        <v>1.17</v>
      </c>
      <c r="R384" s="39"/>
      <c r="S384" s="39"/>
      <c r="T384" s="39"/>
      <c r="U384" s="39"/>
      <c r="V384" s="39"/>
      <c r="W384" s="39"/>
      <c r="X384" s="49" t="s">
        <v>191</v>
      </c>
      <c r="Y384" s="50">
        <v>3628.05</v>
      </c>
      <c r="Z384" s="51">
        <v>3400</v>
      </c>
      <c r="AA384" s="52">
        <f t="shared" si="14"/>
        <v>0.937142542136961</v>
      </c>
      <c r="AB384" s="12">
        <v>3400</v>
      </c>
      <c r="AC384" s="12">
        <v>0</v>
      </c>
      <c r="AD384" s="43"/>
      <c r="AE384" s="43"/>
      <c r="AF384" s="43"/>
      <c r="AG384" s="43"/>
      <c r="AH384" s="43"/>
      <c r="AI384" s="43"/>
      <c r="AJ384" s="43"/>
      <c r="AK384" s="43"/>
      <c r="AL384" s="43"/>
      <c r="AM384" s="43"/>
      <c r="AN384" s="43"/>
      <c r="AO384" s="43"/>
      <c r="AP384" s="43"/>
      <c r="AQ384" s="43"/>
      <c r="AR384" s="43"/>
      <c r="AS384" s="43"/>
      <c r="AT384" s="43"/>
      <c r="AU384" s="43"/>
      <c r="AV384" s="43"/>
    </row>
    <row r="385" ht="15.75" spans="1:48">
      <c r="A385" s="12">
        <v>381</v>
      </c>
      <c r="B385" s="44">
        <v>2284</v>
      </c>
      <c r="C385" s="45" t="s">
        <v>59</v>
      </c>
      <c r="D385" s="46">
        <v>19</v>
      </c>
      <c r="E385" s="47" t="s">
        <v>50</v>
      </c>
      <c r="F385" s="48">
        <v>1.83</v>
      </c>
      <c r="G385" s="38">
        <v>0</v>
      </c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49">
        <v>8014</v>
      </c>
      <c r="Y385" s="50">
        <v>1006.5</v>
      </c>
      <c r="Z385" s="51">
        <v>1126</v>
      </c>
      <c r="AA385" s="52">
        <f t="shared" si="14"/>
        <v>1.11872826626925</v>
      </c>
      <c r="AB385" s="12">
        <v>1126</v>
      </c>
      <c r="AC385" s="12">
        <v>0</v>
      </c>
      <c r="AD385" s="43"/>
      <c r="AE385" s="43"/>
      <c r="AF385" s="43"/>
      <c r="AG385" s="43"/>
      <c r="AH385" s="43"/>
      <c r="AI385" s="43"/>
      <c r="AJ385" s="43"/>
      <c r="AK385" s="43"/>
      <c r="AL385" s="43"/>
      <c r="AM385" s="43"/>
      <c r="AN385" s="43"/>
      <c r="AO385" s="43"/>
      <c r="AP385" s="43"/>
      <c r="AQ385" s="43"/>
      <c r="AR385" s="43"/>
      <c r="AS385" s="43"/>
      <c r="AT385" s="43"/>
      <c r="AU385" s="43"/>
      <c r="AV385" s="43"/>
    </row>
    <row r="386" ht="15.75" spans="1:48">
      <c r="A386" s="12">
        <v>382</v>
      </c>
      <c r="B386" s="44">
        <v>2284</v>
      </c>
      <c r="C386" s="45" t="s">
        <v>59</v>
      </c>
      <c r="D386" s="46">
        <v>19</v>
      </c>
      <c r="E386" s="47" t="s">
        <v>50</v>
      </c>
      <c r="F386" s="48">
        <v>2.83</v>
      </c>
      <c r="G386" s="38">
        <v>7.34</v>
      </c>
      <c r="H386" s="39"/>
      <c r="I386" s="39"/>
      <c r="J386" s="39"/>
      <c r="K386" s="39"/>
      <c r="L386" s="39"/>
      <c r="M386" s="39"/>
      <c r="N386" s="39"/>
      <c r="O386" s="39"/>
      <c r="P386" s="39"/>
      <c r="Q386" s="39">
        <v>1.17</v>
      </c>
      <c r="R386" s="39"/>
      <c r="S386" s="39">
        <v>6</v>
      </c>
      <c r="T386" s="39"/>
      <c r="U386" s="39">
        <v>0.17</v>
      </c>
      <c r="V386" s="39"/>
      <c r="W386" s="39"/>
      <c r="X386" s="49" t="s">
        <v>226</v>
      </c>
      <c r="Y386" s="50">
        <v>948.05</v>
      </c>
      <c r="Z386" s="51">
        <v>960</v>
      </c>
      <c r="AA386" s="52">
        <f t="shared" si="14"/>
        <v>1.01260482042086</v>
      </c>
      <c r="AB386" s="12">
        <v>960</v>
      </c>
      <c r="AC386" s="12">
        <v>0</v>
      </c>
      <c r="AD386" s="43"/>
      <c r="AE386" s="43"/>
      <c r="AF386" s="43"/>
      <c r="AG386" s="43"/>
      <c r="AH386" s="43"/>
      <c r="AI386" s="43"/>
      <c r="AJ386" s="43"/>
      <c r="AK386" s="43"/>
      <c r="AL386" s="43"/>
      <c r="AM386" s="43"/>
      <c r="AN386" s="43"/>
      <c r="AO386" s="43"/>
      <c r="AP386" s="43"/>
      <c r="AQ386" s="43"/>
      <c r="AR386" s="43"/>
      <c r="AS386" s="43"/>
      <c r="AT386" s="43"/>
      <c r="AU386" s="43"/>
      <c r="AV386" s="43"/>
    </row>
    <row r="387" ht="15.75" spans="1:48">
      <c r="A387" s="12">
        <v>383</v>
      </c>
      <c r="B387" s="44">
        <v>845</v>
      </c>
      <c r="C387" s="45" t="s">
        <v>70</v>
      </c>
      <c r="D387" s="46"/>
      <c r="E387" s="47" t="s">
        <v>50</v>
      </c>
      <c r="F387" s="48">
        <v>3.335</v>
      </c>
      <c r="G387" s="38">
        <v>1.84</v>
      </c>
      <c r="H387" s="39"/>
      <c r="I387" s="39"/>
      <c r="J387" s="39"/>
      <c r="K387" s="39"/>
      <c r="L387" s="39"/>
      <c r="M387" s="39"/>
      <c r="N387" s="39"/>
      <c r="O387" s="39"/>
      <c r="P387" s="39"/>
      <c r="Q387" s="39">
        <v>1.17</v>
      </c>
      <c r="R387" s="39"/>
      <c r="S387" s="39">
        <v>0.67</v>
      </c>
      <c r="T387" s="39"/>
      <c r="U387" s="39"/>
      <c r="V387" s="39"/>
      <c r="W387" s="39"/>
      <c r="X387" s="49" t="s">
        <v>63</v>
      </c>
      <c r="Y387" s="50">
        <v>600.3</v>
      </c>
      <c r="Z387" s="51">
        <v>600</v>
      </c>
      <c r="AA387" s="52">
        <f t="shared" si="14"/>
        <v>0.999500249875063</v>
      </c>
      <c r="AB387" s="12">
        <v>600</v>
      </c>
      <c r="AC387" s="12">
        <v>0</v>
      </c>
      <c r="AD387" s="43"/>
      <c r="AE387" s="43"/>
      <c r="AF387" s="43"/>
      <c r="AG387" s="43"/>
      <c r="AH387" s="43"/>
      <c r="AI387" s="43"/>
      <c r="AJ387" s="43"/>
      <c r="AK387" s="43"/>
      <c r="AL387" s="43"/>
      <c r="AM387" s="43"/>
      <c r="AN387" s="43"/>
      <c r="AO387" s="43"/>
      <c r="AP387" s="43"/>
      <c r="AQ387" s="43"/>
      <c r="AR387" s="43"/>
      <c r="AS387" s="43"/>
      <c r="AT387" s="43"/>
      <c r="AU387" s="43"/>
      <c r="AV387" s="43"/>
    </row>
    <row r="388" ht="15.75" spans="1:48">
      <c r="A388" s="12">
        <v>384</v>
      </c>
      <c r="B388" s="44">
        <v>845</v>
      </c>
      <c r="C388" s="45" t="s">
        <v>70</v>
      </c>
      <c r="D388" s="46"/>
      <c r="E388" s="47" t="s">
        <v>50</v>
      </c>
      <c r="F388" s="48">
        <v>3.335</v>
      </c>
      <c r="G388" s="38">
        <v>0</v>
      </c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49" t="s">
        <v>62</v>
      </c>
      <c r="Y388" s="50">
        <v>600.3</v>
      </c>
      <c r="Z388" s="51">
        <v>600</v>
      </c>
      <c r="AA388" s="52">
        <f t="shared" si="14"/>
        <v>0.999500249875063</v>
      </c>
      <c r="AB388" s="12">
        <v>600</v>
      </c>
      <c r="AC388" s="12">
        <v>0</v>
      </c>
      <c r="AD388" s="43"/>
      <c r="AE388" s="43"/>
      <c r="AF388" s="43"/>
      <c r="AG388" s="43"/>
      <c r="AH388" s="43"/>
      <c r="AI388" s="43"/>
      <c r="AJ388" s="43"/>
      <c r="AK388" s="43"/>
      <c r="AL388" s="43"/>
      <c r="AM388" s="43"/>
      <c r="AN388" s="43"/>
      <c r="AO388" s="43"/>
      <c r="AP388" s="43"/>
      <c r="AQ388" s="43"/>
      <c r="AR388" s="43"/>
      <c r="AS388" s="43"/>
      <c r="AT388" s="43"/>
      <c r="AU388" s="43"/>
      <c r="AV388" s="43"/>
    </row>
    <row r="389" ht="15.75" spans="1:48">
      <c r="A389" s="12">
        <v>385</v>
      </c>
      <c r="B389" s="44">
        <v>845</v>
      </c>
      <c r="C389" s="45" t="s">
        <v>70</v>
      </c>
      <c r="D389" s="46">
        <v>12</v>
      </c>
      <c r="E389" s="47" t="s">
        <v>50</v>
      </c>
      <c r="F389" s="48">
        <v>3.5</v>
      </c>
      <c r="G389" s="38">
        <v>0</v>
      </c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49" t="s">
        <v>194</v>
      </c>
      <c r="Y389" s="50">
        <v>1172.5</v>
      </c>
      <c r="Z389" s="51">
        <v>1200</v>
      </c>
      <c r="AA389" s="52">
        <f t="shared" si="14"/>
        <v>1.02345415778252</v>
      </c>
      <c r="AB389" s="12">
        <v>1200</v>
      </c>
      <c r="AC389" s="12">
        <v>0</v>
      </c>
      <c r="AD389" s="43"/>
      <c r="AE389" s="43"/>
      <c r="AF389" s="43"/>
      <c r="AG389" s="43"/>
      <c r="AH389" s="43"/>
      <c r="AI389" s="43"/>
      <c r="AJ389" s="43"/>
      <c r="AK389" s="43"/>
      <c r="AL389" s="43"/>
      <c r="AM389" s="43"/>
      <c r="AN389" s="43"/>
      <c r="AO389" s="43"/>
      <c r="AP389" s="43"/>
      <c r="AQ389" s="43"/>
      <c r="AR389" s="43"/>
      <c r="AS389" s="43"/>
      <c r="AT389" s="43"/>
      <c r="AU389" s="43"/>
      <c r="AV389" s="43"/>
    </row>
    <row r="390" ht="15.75" spans="1:48">
      <c r="A390" s="12">
        <v>386</v>
      </c>
      <c r="B390" s="44">
        <v>2890</v>
      </c>
      <c r="C390" s="45" t="s">
        <v>111</v>
      </c>
      <c r="D390" s="46" t="s">
        <v>202</v>
      </c>
      <c r="E390" s="47" t="s">
        <v>113</v>
      </c>
      <c r="F390" s="48">
        <v>10.5</v>
      </c>
      <c r="G390" s="38">
        <v>1.5</v>
      </c>
      <c r="H390" s="39"/>
      <c r="I390" s="39"/>
      <c r="J390" s="39"/>
      <c r="K390" s="39"/>
      <c r="L390" s="39"/>
      <c r="M390" s="39"/>
      <c r="N390" s="39"/>
      <c r="O390" s="39"/>
      <c r="P390" s="39"/>
      <c r="Q390" s="39">
        <v>1.33</v>
      </c>
      <c r="R390" s="39"/>
      <c r="S390" s="39"/>
      <c r="T390" s="39"/>
      <c r="U390" s="39">
        <v>0.17</v>
      </c>
      <c r="V390" s="39"/>
      <c r="W390" s="39"/>
      <c r="X390" s="49" t="s">
        <v>216</v>
      </c>
      <c r="Y390" s="50">
        <v>8925</v>
      </c>
      <c r="Z390" s="51">
        <v>8600</v>
      </c>
      <c r="AA390" s="52">
        <f t="shared" si="14"/>
        <v>0.963585434173669</v>
      </c>
      <c r="AB390" s="12">
        <v>8600</v>
      </c>
      <c r="AC390" s="12">
        <v>0</v>
      </c>
      <c r="AD390" s="43"/>
      <c r="AE390" s="43"/>
      <c r="AF390" s="43"/>
      <c r="AG390" s="43"/>
      <c r="AH390" s="43"/>
      <c r="AI390" s="43"/>
      <c r="AJ390" s="43"/>
      <c r="AK390" s="43"/>
      <c r="AL390" s="43"/>
      <c r="AM390" s="43"/>
      <c r="AN390" s="43"/>
      <c r="AO390" s="43"/>
      <c r="AP390" s="43"/>
      <c r="AQ390" s="43"/>
      <c r="AR390" s="43"/>
      <c r="AS390" s="43"/>
      <c r="AT390" s="43"/>
      <c r="AU390" s="43"/>
      <c r="AV390" s="43"/>
    </row>
    <row r="391" ht="15.75" spans="1:48">
      <c r="A391" s="12">
        <v>387</v>
      </c>
      <c r="B391" s="44">
        <v>3111</v>
      </c>
      <c r="C391" s="45" t="s">
        <v>124</v>
      </c>
      <c r="D391" s="46" t="s">
        <v>217</v>
      </c>
      <c r="E391" s="47" t="s">
        <v>113</v>
      </c>
      <c r="F391" s="48">
        <v>5.66</v>
      </c>
      <c r="G391" s="38">
        <v>0.5</v>
      </c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>
        <v>0.5</v>
      </c>
      <c r="V391" s="39"/>
      <c r="W391" s="39"/>
      <c r="X391" s="49" t="s">
        <v>218</v>
      </c>
      <c r="Y391" s="50">
        <v>13668.9</v>
      </c>
      <c r="Z391" s="51">
        <v>13860</v>
      </c>
      <c r="AA391" s="52">
        <f t="shared" si="14"/>
        <v>1.01398064218774</v>
      </c>
      <c r="AB391" s="12">
        <v>13860</v>
      </c>
      <c r="AC391" s="12">
        <v>0</v>
      </c>
      <c r="AD391" s="43"/>
      <c r="AE391" s="43"/>
      <c r="AF391" s="43"/>
      <c r="AG391" s="43"/>
      <c r="AH391" s="43"/>
      <c r="AI391" s="43"/>
      <c r="AJ391" s="43"/>
      <c r="AK391" s="43"/>
      <c r="AL391" s="43"/>
      <c r="AM391" s="43"/>
      <c r="AN391" s="43"/>
      <c r="AO391" s="43"/>
      <c r="AP391" s="43"/>
      <c r="AQ391" s="43"/>
      <c r="AR391" s="43"/>
      <c r="AS391" s="43"/>
      <c r="AT391" s="43"/>
      <c r="AU391" s="43"/>
      <c r="AV391" s="43"/>
    </row>
    <row r="392" ht="15.75" spans="1:48">
      <c r="A392" s="12">
        <v>388</v>
      </c>
      <c r="B392" s="44">
        <v>3111</v>
      </c>
      <c r="C392" s="45" t="s">
        <v>124</v>
      </c>
      <c r="D392" s="46" t="s">
        <v>116</v>
      </c>
      <c r="E392" s="47" t="s">
        <v>113</v>
      </c>
      <c r="F392" s="48">
        <v>4.33</v>
      </c>
      <c r="G392" s="38">
        <v>1.5</v>
      </c>
      <c r="H392" s="39"/>
      <c r="I392" s="39"/>
      <c r="J392" s="39"/>
      <c r="K392" s="39"/>
      <c r="L392" s="39"/>
      <c r="M392" s="39"/>
      <c r="N392" s="39"/>
      <c r="O392" s="39"/>
      <c r="P392" s="39"/>
      <c r="Q392" s="39">
        <v>1.33</v>
      </c>
      <c r="R392" s="39"/>
      <c r="S392" s="39"/>
      <c r="T392" s="39"/>
      <c r="U392" s="39">
        <v>0.17</v>
      </c>
      <c r="V392" s="39"/>
      <c r="W392" s="39"/>
      <c r="X392" s="49" t="s">
        <v>117</v>
      </c>
      <c r="Y392" s="50">
        <v>13444.65</v>
      </c>
      <c r="Z392" s="51">
        <v>13500</v>
      </c>
      <c r="AA392" s="52">
        <f t="shared" si="14"/>
        <v>1.00411687920474</v>
      </c>
      <c r="AB392" s="12">
        <v>13500</v>
      </c>
      <c r="AC392" s="12">
        <v>0</v>
      </c>
      <c r="AD392" s="43"/>
      <c r="AE392" s="43"/>
      <c r="AF392" s="43"/>
      <c r="AG392" s="43"/>
      <c r="AH392" s="43"/>
      <c r="AI392" s="43"/>
      <c r="AJ392" s="43"/>
      <c r="AK392" s="43"/>
      <c r="AL392" s="43"/>
      <c r="AM392" s="43"/>
      <c r="AN392" s="43"/>
      <c r="AO392" s="43"/>
      <c r="AP392" s="43"/>
      <c r="AQ392" s="43"/>
      <c r="AR392" s="43"/>
      <c r="AS392" s="43"/>
      <c r="AT392" s="43"/>
      <c r="AU392" s="43"/>
      <c r="AV392" s="43"/>
    </row>
    <row r="393" ht="15.75" spans="1:48">
      <c r="A393" s="12">
        <v>389</v>
      </c>
      <c r="B393" s="44">
        <v>4456</v>
      </c>
      <c r="C393" s="45" t="s">
        <v>119</v>
      </c>
      <c r="D393" s="46"/>
      <c r="E393" s="47" t="s">
        <v>113</v>
      </c>
      <c r="F393" s="48">
        <v>10.66</v>
      </c>
      <c r="G393" s="38">
        <v>1.33</v>
      </c>
      <c r="H393" s="39"/>
      <c r="I393" s="39"/>
      <c r="J393" s="39"/>
      <c r="K393" s="39"/>
      <c r="L393" s="39"/>
      <c r="M393" s="39"/>
      <c r="N393" s="39"/>
      <c r="O393" s="39"/>
      <c r="P393" s="39"/>
      <c r="Q393" s="39">
        <v>1.33</v>
      </c>
      <c r="R393" s="39"/>
      <c r="S393" s="39"/>
      <c r="T393" s="39"/>
      <c r="U393" s="39"/>
      <c r="V393" s="39"/>
      <c r="W393" s="39"/>
      <c r="X393" s="49" t="s">
        <v>120</v>
      </c>
      <c r="Y393" s="50">
        <v>2665</v>
      </c>
      <c r="Z393" s="51">
        <v>2550</v>
      </c>
      <c r="AA393" s="52">
        <f t="shared" si="14"/>
        <v>0.956848030018762</v>
      </c>
      <c r="AB393" s="12">
        <v>2550</v>
      </c>
      <c r="AC393" s="12">
        <v>0</v>
      </c>
      <c r="AD393" s="43"/>
      <c r="AE393" s="43"/>
      <c r="AF393" s="43"/>
      <c r="AG393" s="43"/>
      <c r="AH393" s="43"/>
      <c r="AI393" s="43"/>
      <c r="AJ393" s="43"/>
      <c r="AK393" s="43"/>
      <c r="AL393" s="43"/>
      <c r="AM393" s="43"/>
      <c r="AN393" s="43"/>
      <c r="AO393" s="43"/>
      <c r="AP393" s="43"/>
      <c r="AQ393" s="43"/>
      <c r="AR393" s="43"/>
      <c r="AS393" s="43"/>
      <c r="AT393" s="43"/>
      <c r="AU393" s="43"/>
      <c r="AV393" s="43"/>
    </row>
    <row r="394" ht="15.75" spans="1:48">
      <c r="A394" s="12">
        <v>390</v>
      </c>
      <c r="B394" s="44">
        <v>2649</v>
      </c>
      <c r="C394" s="45" t="s">
        <v>121</v>
      </c>
      <c r="D394" s="46"/>
      <c r="E394" s="47" t="s">
        <v>113</v>
      </c>
      <c r="F394" s="48">
        <v>8</v>
      </c>
      <c r="G394" s="38">
        <v>1.33</v>
      </c>
      <c r="H394" s="39"/>
      <c r="I394" s="39"/>
      <c r="J394" s="39"/>
      <c r="K394" s="39"/>
      <c r="L394" s="39"/>
      <c r="M394" s="39"/>
      <c r="N394" s="39"/>
      <c r="O394" s="39"/>
      <c r="P394" s="39"/>
      <c r="Q394" s="39">
        <v>1.33</v>
      </c>
      <c r="R394" s="39"/>
      <c r="S394" s="39"/>
      <c r="T394" s="39"/>
      <c r="U394" s="39"/>
      <c r="V394" s="39"/>
      <c r="W394" s="39"/>
      <c r="X394" s="49" t="s">
        <v>120</v>
      </c>
      <c r="Y394" s="50">
        <v>2000</v>
      </c>
      <c r="Z394" s="51">
        <v>1950</v>
      </c>
      <c r="AA394" s="52">
        <f t="shared" si="14"/>
        <v>0.975</v>
      </c>
      <c r="AB394" s="12">
        <v>1950</v>
      </c>
      <c r="AC394" s="12">
        <v>0</v>
      </c>
      <c r="AD394" s="43"/>
      <c r="AE394" s="43"/>
      <c r="AF394" s="43"/>
      <c r="AG394" s="43"/>
      <c r="AH394" s="43"/>
      <c r="AI394" s="43"/>
      <c r="AJ394" s="43"/>
      <c r="AK394" s="43"/>
      <c r="AL394" s="43"/>
      <c r="AM394" s="43"/>
      <c r="AN394" s="43"/>
      <c r="AO394" s="43"/>
      <c r="AP394" s="43"/>
      <c r="AQ394" s="43"/>
      <c r="AR394" s="43"/>
      <c r="AS394" s="43"/>
      <c r="AT394" s="43"/>
      <c r="AU394" s="43"/>
      <c r="AV394" s="43"/>
    </row>
    <row r="395" ht="15.75" spans="1:48">
      <c r="A395" s="12">
        <v>391</v>
      </c>
      <c r="B395" s="44">
        <v>2649</v>
      </c>
      <c r="C395" s="45" t="s">
        <v>121</v>
      </c>
      <c r="D395" s="46"/>
      <c r="E395" s="47" t="s">
        <v>113</v>
      </c>
      <c r="F395" s="48">
        <v>2.66</v>
      </c>
      <c r="G395" s="38">
        <v>0</v>
      </c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49" t="s">
        <v>122</v>
      </c>
      <c r="Y395" s="50">
        <v>0</v>
      </c>
      <c r="Z395" s="51"/>
      <c r="AA395" s="52">
        <f t="shared" si="14"/>
        <v>0</v>
      </c>
      <c r="AB395" s="12">
        <v>0</v>
      </c>
      <c r="AC395" s="12">
        <v>0</v>
      </c>
      <c r="AD395" s="43"/>
      <c r="AE395" s="43"/>
      <c r="AF395" s="43"/>
      <c r="AG395" s="43"/>
      <c r="AH395" s="43"/>
      <c r="AI395" s="43"/>
      <c r="AJ395" s="43"/>
      <c r="AK395" s="43"/>
      <c r="AL395" s="43"/>
      <c r="AM395" s="43"/>
      <c r="AN395" s="43"/>
      <c r="AO395" s="43"/>
      <c r="AP395" s="43"/>
      <c r="AQ395" s="43"/>
      <c r="AR395" s="43"/>
      <c r="AS395" s="43"/>
      <c r="AT395" s="43"/>
      <c r="AU395" s="43"/>
      <c r="AV395" s="43"/>
    </row>
    <row r="396" ht="15.75" spans="1:48">
      <c r="A396" s="12">
        <v>392</v>
      </c>
      <c r="B396" s="44">
        <v>4418</v>
      </c>
      <c r="C396" s="45" t="s">
        <v>125</v>
      </c>
      <c r="D396" s="46">
        <v>1</v>
      </c>
      <c r="E396" s="47" t="s">
        <v>113</v>
      </c>
      <c r="F396" s="48">
        <v>10.33</v>
      </c>
      <c r="G396" s="38">
        <v>1.67</v>
      </c>
      <c r="H396" s="39"/>
      <c r="I396" s="39"/>
      <c r="J396" s="39"/>
      <c r="K396" s="39">
        <v>0.17</v>
      </c>
      <c r="L396" s="39"/>
      <c r="M396" s="39"/>
      <c r="N396" s="39"/>
      <c r="O396" s="39"/>
      <c r="P396" s="39"/>
      <c r="Q396" s="39">
        <v>1.33</v>
      </c>
      <c r="R396" s="39"/>
      <c r="S396" s="39"/>
      <c r="T396" s="39"/>
      <c r="U396" s="39">
        <v>0.17</v>
      </c>
      <c r="V396" s="39"/>
      <c r="W396" s="39"/>
      <c r="X396" s="49" t="s">
        <v>199</v>
      </c>
      <c r="Y396" s="50">
        <v>3615.5</v>
      </c>
      <c r="Z396" s="51">
        <v>3600</v>
      </c>
      <c r="AA396" s="52">
        <f t="shared" si="14"/>
        <v>0.995712902779698</v>
      </c>
      <c r="AB396" s="12">
        <v>3600</v>
      </c>
      <c r="AC396" s="12">
        <v>0</v>
      </c>
      <c r="AD396" s="43"/>
      <c r="AE396" s="43"/>
      <c r="AF396" s="43"/>
      <c r="AG396" s="43"/>
      <c r="AH396" s="43"/>
      <c r="AI396" s="43"/>
      <c r="AJ396" s="43"/>
      <c r="AK396" s="43"/>
      <c r="AL396" s="43"/>
      <c r="AM396" s="43"/>
      <c r="AN396" s="43"/>
      <c r="AO396" s="43"/>
      <c r="AP396" s="43"/>
      <c r="AQ396" s="43"/>
      <c r="AR396" s="43"/>
      <c r="AS396" s="43"/>
      <c r="AT396" s="43"/>
      <c r="AU396" s="43"/>
      <c r="AV396" s="43"/>
    </row>
    <row r="397" ht="15.75" spans="1:48">
      <c r="A397" s="12">
        <v>393</v>
      </c>
      <c r="B397" s="44">
        <v>655</v>
      </c>
      <c r="C397" s="45" t="s">
        <v>198</v>
      </c>
      <c r="D397" s="46">
        <v>9</v>
      </c>
      <c r="E397" s="47" t="s">
        <v>113</v>
      </c>
      <c r="F397" s="48">
        <v>10.5</v>
      </c>
      <c r="G397" s="38">
        <v>1.5</v>
      </c>
      <c r="H397" s="39"/>
      <c r="I397" s="39"/>
      <c r="J397" s="39"/>
      <c r="K397" s="39"/>
      <c r="L397" s="39"/>
      <c r="M397" s="39"/>
      <c r="N397" s="39"/>
      <c r="O397" s="39"/>
      <c r="P397" s="39"/>
      <c r="Q397" s="39">
        <v>1.33</v>
      </c>
      <c r="R397" s="39"/>
      <c r="S397" s="39"/>
      <c r="T397" s="39"/>
      <c r="U397" s="39">
        <v>0.17</v>
      </c>
      <c r="V397" s="39"/>
      <c r="W397" s="39"/>
      <c r="X397" s="49">
        <v>9140</v>
      </c>
      <c r="Y397" s="50">
        <v>5250</v>
      </c>
      <c r="Z397" s="51">
        <v>4320</v>
      </c>
      <c r="AA397" s="52">
        <f t="shared" si="14"/>
        <v>0.822857142857143</v>
      </c>
      <c r="AB397" s="12">
        <v>4320</v>
      </c>
      <c r="AC397" s="12">
        <v>0</v>
      </c>
      <c r="AD397" s="43"/>
      <c r="AE397" s="43"/>
      <c r="AF397" s="43"/>
      <c r="AG397" s="43"/>
      <c r="AH397" s="43"/>
      <c r="AI397" s="43"/>
      <c r="AJ397" s="43"/>
      <c r="AK397" s="43"/>
      <c r="AL397" s="43"/>
      <c r="AM397" s="43"/>
      <c r="AN397" s="43"/>
      <c r="AO397" s="43"/>
      <c r="AP397" s="43"/>
      <c r="AQ397" s="43"/>
      <c r="AR397" s="43"/>
      <c r="AS397" s="43"/>
      <c r="AT397" s="43"/>
      <c r="AU397" s="43"/>
      <c r="AV397" s="43"/>
    </row>
    <row r="398" ht="15.75" spans="1:48">
      <c r="A398" s="12">
        <v>394</v>
      </c>
      <c r="B398" s="44">
        <v>656</v>
      </c>
      <c r="C398" s="45" t="s">
        <v>195</v>
      </c>
      <c r="D398" s="46">
        <v>12</v>
      </c>
      <c r="E398" s="47" t="s">
        <v>113</v>
      </c>
      <c r="F398" s="48">
        <v>7</v>
      </c>
      <c r="G398" s="38">
        <v>1.33</v>
      </c>
      <c r="H398" s="39"/>
      <c r="I398" s="39"/>
      <c r="J398" s="39"/>
      <c r="K398" s="39"/>
      <c r="L398" s="39"/>
      <c r="M398" s="39"/>
      <c r="N398" s="39"/>
      <c r="O398" s="39"/>
      <c r="P398" s="39"/>
      <c r="Q398" s="39">
        <v>1.33</v>
      </c>
      <c r="R398" s="39"/>
      <c r="S398" s="39"/>
      <c r="T398" s="39"/>
      <c r="U398" s="39"/>
      <c r="V398" s="39"/>
      <c r="W398" s="39"/>
      <c r="X398" s="49" t="s">
        <v>71</v>
      </c>
      <c r="Y398" s="50">
        <v>2345</v>
      </c>
      <c r="Z398" s="51">
        <v>2280</v>
      </c>
      <c r="AA398" s="52">
        <f t="shared" si="14"/>
        <v>0.97228144989339</v>
      </c>
      <c r="AB398" s="12">
        <v>2280</v>
      </c>
      <c r="AC398" s="12">
        <v>0</v>
      </c>
      <c r="AD398" s="43"/>
      <c r="AE398" s="43"/>
      <c r="AF398" s="43"/>
      <c r="AG398" s="43"/>
      <c r="AH398" s="43"/>
      <c r="AI398" s="43"/>
      <c r="AJ398" s="43"/>
      <c r="AK398" s="43"/>
      <c r="AL398" s="43"/>
      <c r="AM398" s="43"/>
      <c r="AN398" s="43"/>
      <c r="AO398" s="43"/>
      <c r="AP398" s="43"/>
      <c r="AQ398" s="43"/>
      <c r="AR398" s="43"/>
      <c r="AS398" s="43"/>
      <c r="AT398" s="43"/>
      <c r="AU398" s="43"/>
      <c r="AV398" s="43"/>
    </row>
    <row r="399" ht="15.75" spans="1:48">
      <c r="A399" s="12">
        <v>395</v>
      </c>
      <c r="B399" s="44">
        <v>656</v>
      </c>
      <c r="C399" s="45" t="s">
        <v>195</v>
      </c>
      <c r="D399" s="46"/>
      <c r="E399" s="47" t="s">
        <v>113</v>
      </c>
      <c r="F399" s="48">
        <v>1.83</v>
      </c>
      <c r="G399" s="38">
        <v>0</v>
      </c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49" t="s">
        <v>63</v>
      </c>
      <c r="Y399" s="50">
        <v>329.4</v>
      </c>
      <c r="Z399" s="51">
        <v>350</v>
      </c>
      <c r="AA399" s="52">
        <f>IFERROR(Z399/Y399,0)</f>
        <v>1.06253794778385</v>
      </c>
      <c r="AB399" s="12">
        <v>350</v>
      </c>
      <c r="AC399" s="12">
        <v>0</v>
      </c>
      <c r="AD399" s="43"/>
      <c r="AE399" s="43"/>
      <c r="AF399" s="43"/>
      <c r="AG399" s="43"/>
      <c r="AH399" s="43"/>
      <c r="AI399" s="43"/>
      <c r="AJ399" s="43"/>
      <c r="AK399" s="43"/>
      <c r="AL399" s="43"/>
      <c r="AM399" s="43"/>
      <c r="AN399" s="43"/>
      <c r="AO399" s="43"/>
      <c r="AP399" s="43"/>
      <c r="AQ399" s="43"/>
      <c r="AR399" s="43"/>
      <c r="AS399" s="43"/>
      <c r="AT399" s="43"/>
      <c r="AU399" s="43"/>
      <c r="AV399" s="43"/>
    </row>
    <row r="400" ht="15.75" spans="1:48">
      <c r="A400" s="12">
        <v>396</v>
      </c>
      <c r="B400" s="44">
        <v>656</v>
      </c>
      <c r="C400" s="45" t="s">
        <v>195</v>
      </c>
      <c r="D400" s="46"/>
      <c r="E400" s="47" t="s">
        <v>113</v>
      </c>
      <c r="F400" s="48">
        <v>1.83</v>
      </c>
      <c r="G400" s="38">
        <v>0</v>
      </c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49" t="s">
        <v>62</v>
      </c>
      <c r="Y400" s="50">
        <v>329.4</v>
      </c>
      <c r="Z400" s="51">
        <v>350</v>
      </c>
      <c r="AA400" s="52">
        <f>IFERROR(Z400/Y400,0)</f>
        <v>1.06253794778385</v>
      </c>
      <c r="AB400" s="12">
        <v>350</v>
      </c>
      <c r="AC400" s="12">
        <v>0</v>
      </c>
      <c r="AD400" s="43"/>
      <c r="AE400" s="43"/>
      <c r="AF400" s="43"/>
      <c r="AG400" s="43"/>
      <c r="AH400" s="43"/>
      <c r="AI400" s="43"/>
      <c r="AJ400" s="43"/>
      <c r="AK400" s="43"/>
      <c r="AL400" s="43"/>
      <c r="AM400" s="43"/>
      <c r="AN400" s="43"/>
      <c r="AO400" s="43"/>
      <c r="AP400" s="43"/>
      <c r="AQ400" s="43"/>
      <c r="AR400" s="43"/>
      <c r="AS400" s="43"/>
      <c r="AT400" s="43"/>
      <c r="AU400" s="43"/>
      <c r="AV400" s="43"/>
    </row>
    <row r="401" ht="15.75" spans="1:48">
      <c r="A401" s="12">
        <v>397</v>
      </c>
      <c r="B401" s="44">
        <v>4325</v>
      </c>
      <c r="C401" s="45" t="s">
        <v>118</v>
      </c>
      <c r="D401" s="46">
        <v>4</v>
      </c>
      <c r="E401" s="47" t="s">
        <v>113</v>
      </c>
      <c r="F401" s="48">
        <v>9.17</v>
      </c>
      <c r="G401" s="38">
        <v>1.5</v>
      </c>
      <c r="H401" s="39"/>
      <c r="I401" s="39"/>
      <c r="J401" s="39"/>
      <c r="K401" s="39"/>
      <c r="L401" s="39"/>
      <c r="M401" s="39"/>
      <c r="N401" s="39"/>
      <c r="O401" s="39"/>
      <c r="P401" s="39"/>
      <c r="Q401" s="39">
        <v>1.33</v>
      </c>
      <c r="R401" s="39"/>
      <c r="S401" s="39"/>
      <c r="T401" s="39"/>
      <c r="U401" s="39">
        <v>0.17</v>
      </c>
      <c r="V401" s="39"/>
      <c r="W401" s="39"/>
      <c r="X401" s="49">
        <v>9116</v>
      </c>
      <c r="Y401" s="50">
        <v>2751</v>
      </c>
      <c r="Z401" s="51">
        <v>2794</v>
      </c>
      <c r="AA401" s="52">
        <f>IFERROR(Z401/Y401,0)</f>
        <v>1.01563067975282</v>
      </c>
      <c r="AB401" s="12">
        <v>2794</v>
      </c>
      <c r="AC401" s="12">
        <v>0</v>
      </c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  <c r="AO401" s="43"/>
      <c r="AP401" s="43"/>
      <c r="AQ401" s="43"/>
      <c r="AR401" s="43"/>
      <c r="AS401" s="43"/>
      <c r="AT401" s="43"/>
      <c r="AU401" s="43"/>
      <c r="AV401" s="43"/>
    </row>
    <row r="402" ht="15.75" spans="1:48">
      <c r="A402" s="12">
        <v>398</v>
      </c>
      <c r="B402" s="44">
        <v>4325</v>
      </c>
      <c r="C402" s="45" t="s">
        <v>118</v>
      </c>
      <c r="D402" s="46"/>
      <c r="E402" s="47" t="s">
        <v>113</v>
      </c>
      <c r="F402" s="48">
        <v>1.33</v>
      </c>
      <c r="G402" s="38">
        <v>0</v>
      </c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49" t="s">
        <v>71</v>
      </c>
      <c r="Y402" s="50">
        <v>445.55</v>
      </c>
      <c r="Z402" s="51">
        <v>460</v>
      </c>
      <c r="AA402" s="52">
        <f>IFERROR(Z402/Y402,0)</f>
        <v>1.03243182583324</v>
      </c>
      <c r="AB402" s="12">
        <v>460</v>
      </c>
      <c r="AC402" s="12">
        <v>0</v>
      </c>
      <c r="AD402" s="43"/>
      <c r="AE402" s="43"/>
      <c r="AF402" s="43"/>
      <c r="AG402" s="43"/>
      <c r="AH402" s="43"/>
      <c r="AI402" s="43"/>
      <c r="AJ402" s="43"/>
      <c r="AK402" s="43"/>
      <c r="AL402" s="43"/>
      <c r="AM402" s="43"/>
      <c r="AN402" s="43"/>
      <c r="AO402" s="43"/>
      <c r="AP402" s="43"/>
      <c r="AQ402" s="43"/>
      <c r="AR402" s="43"/>
      <c r="AS402" s="43"/>
      <c r="AT402" s="43"/>
      <c r="AU402" s="43"/>
      <c r="AV402" s="43"/>
    </row>
    <row r="403" ht="15.75" spans="1:48">
      <c r="A403" s="12">
        <v>399</v>
      </c>
      <c r="B403" s="44">
        <v>4496</v>
      </c>
      <c r="C403" s="45" t="s">
        <v>133</v>
      </c>
      <c r="D403" s="46" t="s">
        <v>138</v>
      </c>
      <c r="E403" s="47" t="s">
        <v>113</v>
      </c>
      <c r="F403" s="48">
        <v>10.17</v>
      </c>
      <c r="G403" s="38">
        <v>1.83</v>
      </c>
      <c r="H403" s="39"/>
      <c r="I403" s="39"/>
      <c r="J403" s="39"/>
      <c r="K403" s="39">
        <v>0.33</v>
      </c>
      <c r="L403" s="39"/>
      <c r="M403" s="39"/>
      <c r="N403" s="39"/>
      <c r="O403" s="39"/>
      <c r="P403" s="39"/>
      <c r="Q403" s="39">
        <v>1.33</v>
      </c>
      <c r="R403" s="39"/>
      <c r="S403" s="39"/>
      <c r="T403" s="39"/>
      <c r="U403" s="39">
        <v>0.17</v>
      </c>
      <c r="V403" s="39"/>
      <c r="W403" s="39"/>
      <c r="X403" s="49" t="s">
        <v>208</v>
      </c>
      <c r="Y403" s="50">
        <v>15509.25</v>
      </c>
      <c r="Z403" s="51">
        <v>15480</v>
      </c>
      <c r="AA403" s="52">
        <f>IFERROR(Z403/Y403,0)</f>
        <v>0.998114028724793</v>
      </c>
      <c r="AB403" s="12">
        <v>15480</v>
      </c>
      <c r="AC403" s="12">
        <v>0</v>
      </c>
      <c r="AD403" s="43"/>
      <c r="AE403" s="43"/>
      <c r="AF403" s="43"/>
      <c r="AG403" s="43"/>
      <c r="AH403" s="43"/>
      <c r="AI403" s="43"/>
      <c r="AJ403" s="43"/>
      <c r="AK403" s="43"/>
      <c r="AL403" s="43"/>
      <c r="AM403" s="43"/>
      <c r="AN403" s="43"/>
      <c r="AO403" s="43"/>
      <c r="AP403" s="43"/>
      <c r="AQ403" s="43"/>
      <c r="AR403" s="43"/>
      <c r="AS403" s="43"/>
      <c r="AT403" s="43"/>
      <c r="AU403" s="43"/>
      <c r="AV403" s="43"/>
    </row>
    <row r="404" ht="15.75" spans="1:48">
      <c r="A404" s="12">
        <v>400</v>
      </c>
      <c r="B404" s="44">
        <v>4352</v>
      </c>
      <c r="C404" s="45" t="s">
        <v>132</v>
      </c>
      <c r="D404" s="46" t="s">
        <v>81</v>
      </c>
      <c r="E404" s="47"/>
      <c r="F404" s="48">
        <v>10.5</v>
      </c>
      <c r="G404" s="38">
        <v>1.5</v>
      </c>
      <c r="H404" s="39"/>
      <c r="I404" s="39"/>
      <c r="J404" s="39"/>
      <c r="K404" s="39"/>
      <c r="L404" s="39"/>
      <c r="M404" s="39"/>
      <c r="N404" s="39"/>
      <c r="O404" s="39"/>
      <c r="P404" s="39"/>
      <c r="Q404" s="39">
        <v>1.33</v>
      </c>
      <c r="R404" s="39"/>
      <c r="S404" s="39"/>
      <c r="T404" s="39"/>
      <c r="U404" s="39">
        <v>0.17</v>
      </c>
      <c r="V404" s="39"/>
      <c r="W404" s="39"/>
      <c r="X404" s="49" t="s">
        <v>210</v>
      </c>
      <c r="Y404" s="50">
        <v>17062.5</v>
      </c>
      <c r="Z404" s="51">
        <v>17080</v>
      </c>
      <c r="AA404" s="52">
        <f>IFERROR(Z404/Y404,0)</f>
        <v>1.00102564102564</v>
      </c>
      <c r="AB404" s="12">
        <v>17068</v>
      </c>
      <c r="AC404" s="12">
        <v>12</v>
      </c>
      <c r="AD404" s="43"/>
      <c r="AE404" s="43"/>
      <c r="AF404" s="43"/>
      <c r="AG404" s="19">
        <v>12</v>
      </c>
      <c r="AH404" s="43"/>
      <c r="AI404" s="43"/>
      <c r="AJ404" s="43"/>
      <c r="AK404" s="43"/>
      <c r="AL404" s="43"/>
      <c r="AM404" s="43"/>
      <c r="AN404" s="43"/>
      <c r="AO404" s="43"/>
      <c r="AP404" s="43"/>
      <c r="AQ404" s="43"/>
      <c r="AR404" s="43"/>
      <c r="AS404" s="43"/>
      <c r="AT404" s="43"/>
      <c r="AU404" s="43"/>
      <c r="AV404" s="43"/>
    </row>
    <row r="405" ht="15.75" spans="1:48">
      <c r="A405" s="12">
        <v>401</v>
      </c>
      <c r="B405" s="44">
        <v>4019</v>
      </c>
      <c r="C405" s="45" t="s">
        <v>134</v>
      </c>
      <c r="D405" s="46" t="s">
        <v>76</v>
      </c>
      <c r="E405" s="47"/>
      <c r="F405" s="48">
        <v>10.17</v>
      </c>
      <c r="G405" s="38">
        <v>1.66</v>
      </c>
      <c r="H405" s="39"/>
      <c r="I405" s="39"/>
      <c r="J405" s="39"/>
      <c r="K405" s="39"/>
      <c r="L405" s="39"/>
      <c r="M405" s="39"/>
      <c r="N405" s="39"/>
      <c r="O405" s="39"/>
      <c r="P405" s="39"/>
      <c r="Q405" s="39">
        <v>1.33</v>
      </c>
      <c r="R405" s="39"/>
      <c r="S405" s="39"/>
      <c r="T405" s="39"/>
      <c r="U405" s="39">
        <v>0.33</v>
      </c>
      <c r="V405" s="39"/>
      <c r="W405" s="39"/>
      <c r="X405" s="49" t="s">
        <v>77</v>
      </c>
      <c r="Y405" s="50">
        <v>61020</v>
      </c>
      <c r="Z405" s="51">
        <v>58080</v>
      </c>
      <c r="AA405" s="52">
        <f>IFERROR(Z405/Y405,0)</f>
        <v>0.951819075712881</v>
      </c>
      <c r="AB405" s="12">
        <v>57936</v>
      </c>
      <c r="AC405" s="12">
        <v>144</v>
      </c>
      <c r="AD405" s="43"/>
      <c r="AE405" s="43"/>
      <c r="AF405" s="43"/>
      <c r="AG405" s="19">
        <v>80</v>
      </c>
      <c r="AH405" s="43"/>
      <c r="AI405" s="43"/>
      <c r="AJ405" s="43"/>
      <c r="AK405" s="43"/>
      <c r="AL405" s="43"/>
      <c r="AM405" s="43"/>
      <c r="AN405" s="19">
        <v>64</v>
      </c>
      <c r="AO405" s="43"/>
      <c r="AP405" s="43"/>
      <c r="AQ405" s="43"/>
      <c r="AR405" s="43"/>
      <c r="AS405" s="43"/>
      <c r="AT405" s="43"/>
      <c r="AU405" s="43"/>
      <c r="AV405" s="43"/>
    </row>
    <row r="406" ht="15.75" spans="1:48">
      <c r="A406" s="12">
        <v>402</v>
      </c>
      <c r="B406" s="44">
        <v>4019</v>
      </c>
      <c r="C406" s="45" t="s">
        <v>134</v>
      </c>
      <c r="D406" s="46" t="s">
        <v>207</v>
      </c>
      <c r="E406" s="47"/>
      <c r="F406" s="48">
        <v>10.17</v>
      </c>
      <c r="G406" s="38">
        <v>1.83</v>
      </c>
      <c r="H406" s="39"/>
      <c r="I406" s="39"/>
      <c r="J406" s="39"/>
      <c r="K406" s="39">
        <v>0.17</v>
      </c>
      <c r="L406" s="39"/>
      <c r="M406" s="39"/>
      <c r="N406" s="39"/>
      <c r="O406" s="39"/>
      <c r="P406" s="39"/>
      <c r="Q406" s="39">
        <v>1.33</v>
      </c>
      <c r="R406" s="39"/>
      <c r="S406" s="39"/>
      <c r="T406" s="39"/>
      <c r="U406" s="39">
        <v>0.33</v>
      </c>
      <c r="V406" s="39"/>
      <c r="W406" s="39"/>
      <c r="X406" s="49" t="s">
        <v>79</v>
      </c>
      <c r="Y406" s="50">
        <v>67732.2</v>
      </c>
      <c r="Z406" s="51">
        <v>61200</v>
      </c>
      <c r="AA406" s="52">
        <f>IFERROR(Z406/Y406,0)</f>
        <v>0.903558425682319</v>
      </c>
      <c r="AB406" s="12">
        <v>61072</v>
      </c>
      <c r="AC406" s="12">
        <v>128</v>
      </c>
      <c r="AD406" s="43"/>
      <c r="AE406" s="43"/>
      <c r="AF406" s="43"/>
      <c r="AG406" s="19">
        <v>64</v>
      </c>
      <c r="AH406" s="43"/>
      <c r="AI406" s="43"/>
      <c r="AJ406" s="43"/>
      <c r="AK406" s="43"/>
      <c r="AL406" s="43"/>
      <c r="AM406" s="43"/>
      <c r="AN406" s="19">
        <v>64</v>
      </c>
      <c r="AO406" s="43"/>
      <c r="AP406" s="43"/>
      <c r="AQ406" s="43"/>
      <c r="AR406" s="43"/>
      <c r="AS406" s="43"/>
      <c r="AT406" s="43"/>
      <c r="AU406" s="43"/>
      <c r="AV406" s="43"/>
    </row>
    <row r="407" ht="15.75" spans="1:48">
      <c r="A407" s="12">
        <v>403</v>
      </c>
      <c r="B407" s="44">
        <v>4019</v>
      </c>
      <c r="C407" s="45" t="s">
        <v>134</v>
      </c>
      <c r="D407" s="46" t="s">
        <v>78</v>
      </c>
      <c r="E407" s="47"/>
      <c r="F407" s="48">
        <v>10.17</v>
      </c>
      <c r="G407" s="38">
        <v>1.83</v>
      </c>
      <c r="H407" s="39"/>
      <c r="I407" s="39"/>
      <c r="J407" s="39"/>
      <c r="K407" s="39">
        <v>0.17</v>
      </c>
      <c r="L407" s="39"/>
      <c r="M407" s="39"/>
      <c r="N407" s="39"/>
      <c r="O407" s="39"/>
      <c r="P407" s="39"/>
      <c r="Q407" s="39">
        <v>1.33</v>
      </c>
      <c r="R407" s="39"/>
      <c r="S407" s="39"/>
      <c r="T407" s="39"/>
      <c r="U407" s="39">
        <v>0.33</v>
      </c>
      <c r="V407" s="39"/>
      <c r="W407" s="39"/>
      <c r="X407" s="49" t="s">
        <v>79</v>
      </c>
      <c r="Y407" s="50">
        <v>67732.2</v>
      </c>
      <c r="Z407" s="51">
        <v>61440</v>
      </c>
      <c r="AA407" s="52">
        <f>IFERROR(Z407/Y407,0)</f>
        <v>0.907101792057544</v>
      </c>
      <c r="AB407" s="12">
        <v>61312</v>
      </c>
      <c r="AC407" s="12">
        <v>128</v>
      </c>
      <c r="AD407" s="43"/>
      <c r="AE407" s="43"/>
      <c r="AF407" s="43"/>
      <c r="AG407" s="19">
        <v>72</v>
      </c>
      <c r="AH407" s="43"/>
      <c r="AI407" s="43"/>
      <c r="AJ407" s="43"/>
      <c r="AK407" s="43"/>
      <c r="AL407" s="43"/>
      <c r="AM407" s="43"/>
      <c r="AN407" s="19">
        <v>56</v>
      </c>
      <c r="AO407" s="43"/>
      <c r="AP407" s="43"/>
      <c r="AQ407" s="43"/>
      <c r="AR407" s="43"/>
      <c r="AS407" s="43"/>
      <c r="AT407" s="43"/>
      <c r="AU407" s="43"/>
      <c r="AV407" s="43"/>
    </row>
    <row r="408" ht="15.75" spans="1:48">
      <c r="A408" s="12">
        <v>404</v>
      </c>
      <c r="B408" s="44">
        <v>3919</v>
      </c>
      <c r="C408" s="45" t="s">
        <v>137</v>
      </c>
      <c r="D408" s="46" t="s">
        <v>129</v>
      </c>
      <c r="E408" s="47"/>
      <c r="F408" s="48">
        <v>3</v>
      </c>
      <c r="G408" s="38">
        <v>9</v>
      </c>
      <c r="H408" s="39"/>
      <c r="I408" s="39"/>
      <c r="J408" s="39"/>
      <c r="K408" s="39"/>
      <c r="L408" s="39"/>
      <c r="M408" s="39"/>
      <c r="N408" s="39"/>
      <c r="O408" s="39"/>
      <c r="P408" s="39"/>
      <c r="Q408" s="39">
        <v>1.33</v>
      </c>
      <c r="R408" s="39"/>
      <c r="S408" s="39">
        <v>7.67</v>
      </c>
      <c r="T408" s="39"/>
      <c r="U408" s="39"/>
      <c r="V408" s="39"/>
      <c r="W408" s="39"/>
      <c r="X408" s="49" t="s">
        <v>220</v>
      </c>
      <c r="Y408" s="50">
        <v>5400</v>
      </c>
      <c r="Z408" s="51">
        <v>4800</v>
      </c>
      <c r="AA408" s="52">
        <f>IFERROR(Z408/Y408,0)</f>
        <v>0.888888888888889</v>
      </c>
      <c r="AB408" s="12">
        <v>4800</v>
      </c>
      <c r="AC408" s="12">
        <v>0</v>
      </c>
      <c r="AD408" s="43"/>
      <c r="AE408" s="43"/>
      <c r="AF408" s="43"/>
      <c r="AG408" s="43"/>
      <c r="AH408" s="43"/>
      <c r="AI408" s="43"/>
      <c r="AJ408" s="43"/>
      <c r="AK408" s="43"/>
      <c r="AL408" s="43"/>
      <c r="AM408" s="43"/>
      <c r="AN408" s="43"/>
      <c r="AO408" s="43"/>
      <c r="AP408" s="43"/>
      <c r="AQ408" s="43"/>
      <c r="AR408" s="43"/>
      <c r="AS408" s="43"/>
      <c r="AT408" s="43"/>
      <c r="AU408" s="43"/>
      <c r="AV408" s="43"/>
    </row>
    <row r="409" ht="15.75" spans="1:48">
      <c r="A409" s="12">
        <v>405</v>
      </c>
      <c r="B409" s="44">
        <v>4384</v>
      </c>
      <c r="C409" s="45" t="s">
        <v>145</v>
      </c>
      <c r="D409" s="46">
        <v>7</v>
      </c>
      <c r="E409" s="47"/>
      <c r="F409" s="48">
        <v>5.33</v>
      </c>
      <c r="G409" s="38">
        <v>1.83</v>
      </c>
      <c r="H409" s="39"/>
      <c r="I409" s="39"/>
      <c r="J409" s="39"/>
      <c r="K409" s="39"/>
      <c r="L409" s="39"/>
      <c r="M409" s="39"/>
      <c r="N409" s="39"/>
      <c r="O409" s="39"/>
      <c r="P409" s="39"/>
      <c r="Q409" s="39">
        <v>1.33</v>
      </c>
      <c r="R409" s="39"/>
      <c r="S409" s="39"/>
      <c r="T409" s="39">
        <v>0.33</v>
      </c>
      <c r="U409" s="39">
        <v>0.17</v>
      </c>
      <c r="V409" s="39"/>
      <c r="W409" s="39"/>
      <c r="X409" s="49" t="s">
        <v>95</v>
      </c>
      <c r="Y409" s="50">
        <v>7462</v>
      </c>
      <c r="Z409" s="51">
        <v>7700</v>
      </c>
      <c r="AA409" s="52">
        <f>IFERROR(Z409/Y409,0)</f>
        <v>1.03189493433396</v>
      </c>
      <c r="AB409" s="12">
        <v>7700</v>
      </c>
      <c r="AC409" s="12">
        <v>0</v>
      </c>
      <c r="AD409" s="43"/>
      <c r="AE409" s="43"/>
      <c r="AF409" s="43"/>
      <c r="AG409" s="43"/>
      <c r="AH409" s="43"/>
      <c r="AI409" s="43"/>
      <c r="AJ409" s="43"/>
      <c r="AK409" s="43"/>
      <c r="AL409" s="43"/>
      <c r="AM409" s="43"/>
      <c r="AN409" s="43"/>
      <c r="AO409" s="43"/>
      <c r="AP409" s="43"/>
      <c r="AQ409" s="43"/>
      <c r="AR409" s="43"/>
      <c r="AS409" s="43"/>
      <c r="AT409" s="43"/>
      <c r="AU409" s="43"/>
      <c r="AV409" s="43"/>
    </row>
    <row r="410" ht="15.75" spans="1:48">
      <c r="A410" s="12">
        <v>406</v>
      </c>
      <c r="B410" s="44">
        <v>2865</v>
      </c>
      <c r="C410" s="45" t="s">
        <v>149</v>
      </c>
      <c r="D410" s="46">
        <v>15</v>
      </c>
      <c r="E410" s="47"/>
      <c r="F410" s="48">
        <v>8.17</v>
      </c>
      <c r="G410" s="38">
        <v>2.34</v>
      </c>
      <c r="H410" s="39"/>
      <c r="I410" s="39"/>
      <c r="J410" s="39"/>
      <c r="K410" s="39">
        <v>0.17</v>
      </c>
      <c r="L410" s="39"/>
      <c r="M410" s="39"/>
      <c r="N410" s="39"/>
      <c r="O410" s="39"/>
      <c r="P410" s="39"/>
      <c r="Q410" s="39">
        <v>1.33</v>
      </c>
      <c r="R410" s="39"/>
      <c r="S410" s="39"/>
      <c r="T410" s="39">
        <v>0.67</v>
      </c>
      <c r="U410" s="39">
        <v>0.17</v>
      </c>
      <c r="V410" s="39"/>
      <c r="W410" s="39"/>
      <c r="X410" s="49">
        <v>3880</v>
      </c>
      <c r="Y410" s="50">
        <v>3268</v>
      </c>
      <c r="Z410" s="51">
        <v>3060</v>
      </c>
      <c r="AA410" s="52">
        <f>IFERROR(Z410/Y410,0)</f>
        <v>0.936352509179927</v>
      </c>
      <c r="AB410" s="12">
        <v>2851</v>
      </c>
      <c r="AC410" s="12">
        <v>209</v>
      </c>
      <c r="AD410" s="19">
        <v>209</v>
      </c>
      <c r="AE410" s="43"/>
      <c r="AF410" s="43"/>
      <c r="AG410" s="43"/>
      <c r="AH410" s="43"/>
      <c r="AI410" s="43"/>
      <c r="AJ410" s="43"/>
      <c r="AK410" s="43"/>
      <c r="AL410" s="43"/>
      <c r="AM410" s="43"/>
      <c r="AN410" s="43"/>
      <c r="AO410" s="43"/>
      <c r="AP410" s="43"/>
      <c r="AQ410" s="43"/>
      <c r="AR410" s="43"/>
      <c r="AS410" s="43"/>
      <c r="AT410" s="43"/>
      <c r="AU410" s="43"/>
      <c r="AV410" s="43"/>
    </row>
    <row r="411" ht="15.75" spans="1:48">
      <c r="A411" s="12">
        <v>407</v>
      </c>
      <c r="B411" s="44">
        <v>4017</v>
      </c>
      <c r="C411" s="45" t="s">
        <v>148</v>
      </c>
      <c r="D411" s="46">
        <v>3</v>
      </c>
      <c r="E411" s="47"/>
      <c r="F411" s="48">
        <v>9.83</v>
      </c>
      <c r="G411" s="38">
        <v>2.17</v>
      </c>
      <c r="H411" s="39"/>
      <c r="I411" s="39"/>
      <c r="J411" s="39"/>
      <c r="K411" s="39"/>
      <c r="L411" s="39"/>
      <c r="M411" s="39"/>
      <c r="N411" s="39"/>
      <c r="O411" s="39"/>
      <c r="P411" s="39"/>
      <c r="Q411" s="39">
        <v>1.33</v>
      </c>
      <c r="R411" s="39"/>
      <c r="S411" s="39"/>
      <c r="T411" s="39">
        <v>0.67</v>
      </c>
      <c r="U411" s="39">
        <v>0.17</v>
      </c>
      <c r="V411" s="39"/>
      <c r="W411" s="39"/>
      <c r="X411" s="49">
        <v>2801</v>
      </c>
      <c r="Y411" s="50">
        <v>5947.15</v>
      </c>
      <c r="Z411" s="51">
        <v>4920</v>
      </c>
      <c r="AA411" s="52">
        <f t="shared" ref="AA411:AA432" si="15">IFERROR(Z411/Y411,0)</f>
        <v>0.827287019833029</v>
      </c>
      <c r="AB411" s="12">
        <v>4714</v>
      </c>
      <c r="AC411" s="12">
        <v>206</v>
      </c>
      <c r="AD411" s="19">
        <v>206</v>
      </c>
      <c r="AE411" s="43"/>
      <c r="AF411" s="43"/>
      <c r="AG411" s="43"/>
      <c r="AH411" s="43"/>
      <c r="AI411" s="43"/>
      <c r="AJ411" s="43"/>
      <c r="AK411" s="43"/>
      <c r="AL411" s="43"/>
      <c r="AM411" s="43"/>
      <c r="AN411" s="43"/>
      <c r="AO411" s="43"/>
      <c r="AP411" s="43"/>
      <c r="AQ411" s="43"/>
      <c r="AR411" s="43"/>
      <c r="AS411" s="43"/>
      <c r="AT411" s="43"/>
      <c r="AU411" s="43"/>
      <c r="AV411" s="43"/>
    </row>
    <row r="412" ht="15.75" spans="1:48">
      <c r="A412" s="12">
        <v>408</v>
      </c>
      <c r="B412" s="44">
        <v>4335</v>
      </c>
      <c r="C412" s="45" t="s">
        <v>154</v>
      </c>
      <c r="D412" s="46">
        <v>16</v>
      </c>
      <c r="E412" s="47"/>
      <c r="F412" s="48">
        <v>2</v>
      </c>
      <c r="G412" s="38">
        <v>2.16</v>
      </c>
      <c r="H412" s="39"/>
      <c r="I412" s="39"/>
      <c r="J412" s="39"/>
      <c r="K412" s="39">
        <v>0.33</v>
      </c>
      <c r="L412" s="39"/>
      <c r="M412" s="39"/>
      <c r="N412" s="39"/>
      <c r="O412" s="39"/>
      <c r="P412" s="39"/>
      <c r="Q412" s="39">
        <v>1.33</v>
      </c>
      <c r="R412" s="39"/>
      <c r="S412" s="39"/>
      <c r="T412" s="39">
        <v>0.33</v>
      </c>
      <c r="U412" s="39">
        <v>0.17</v>
      </c>
      <c r="V412" s="39"/>
      <c r="W412" s="39"/>
      <c r="X412" s="49">
        <v>7630</v>
      </c>
      <c r="Y412" s="50">
        <v>360</v>
      </c>
      <c r="Z412" s="51">
        <v>322</v>
      </c>
      <c r="AA412" s="52">
        <f t="shared" si="15"/>
        <v>0.894444444444444</v>
      </c>
      <c r="AB412" s="12">
        <v>206</v>
      </c>
      <c r="AC412" s="12">
        <v>116</v>
      </c>
      <c r="AD412" s="19">
        <v>116</v>
      </c>
      <c r="AE412" s="43"/>
      <c r="AF412" s="43"/>
      <c r="AG412" s="43"/>
      <c r="AH412" s="43"/>
      <c r="AI412" s="43"/>
      <c r="AJ412" s="43"/>
      <c r="AK412" s="43"/>
      <c r="AL412" s="43"/>
      <c r="AM412" s="43"/>
      <c r="AN412" s="43"/>
      <c r="AO412" s="43"/>
      <c r="AP412" s="43"/>
      <c r="AQ412" s="43"/>
      <c r="AR412" s="43"/>
      <c r="AS412" s="43"/>
      <c r="AT412" s="43"/>
      <c r="AU412" s="43"/>
      <c r="AV412" s="43"/>
    </row>
    <row r="413" ht="15.75" spans="1:48">
      <c r="A413" s="12">
        <v>409</v>
      </c>
      <c r="B413" s="44">
        <v>692</v>
      </c>
      <c r="C413" s="45" t="s">
        <v>142</v>
      </c>
      <c r="D413" s="46"/>
      <c r="E413" s="47"/>
      <c r="F413" s="48">
        <v>5.17</v>
      </c>
      <c r="G413" s="38">
        <v>1.83</v>
      </c>
      <c r="H413" s="39"/>
      <c r="I413" s="39"/>
      <c r="J413" s="39"/>
      <c r="K413" s="39"/>
      <c r="L413" s="39"/>
      <c r="M413" s="39"/>
      <c r="N413" s="39"/>
      <c r="O413" s="39"/>
      <c r="P413" s="39"/>
      <c r="Q413" s="39">
        <v>1.33</v>
      </c>
      <c r="R413" s="39"/>
      <c r="S413" s="39"/>
      <c r="T413" s="39">
        <v>0.33</v>
      </c>
      <c r="U413" s="39">
        <v>0.17</v>
      </c>
      <c r="V413" s="39"/>
      <c r="W413" s="39"/>
      <c r="X413" s="49" t="s">
        <v>98</v>
      </c>
      <c r="Y413" s="50">
        <v>2429.9</v>
      </c>
      <c r="Z413" s="51">
        <v>2340</v>
      </c>
      <c r="AA413" s="52">
        <f t="shared" si="15"/>
        <v>0.963002592699288</v>
      </c>
      <c r="AB413" s="12">
        <v>2340</v>
      </c>
      <c r="AC413" s="12">
        <v>0</v>
      </c>
      <c r="AD413" s="43"/>
      <c r="AE413" s="43"/>
      <c r="AF413" s="43"/>
      <c r="AG413" s="43"/>
      <c r="AH413" s="43"/>
      <c r="AI413" s="43"/>
      <c r="AJ413" s="43"/>
      <c r="AK413" s="43"/>
      <c r="AL413" s="43"/>
      <c r="AM413" s="43"/>
      <c r="AN413" s="43"/>
      <c r="AO413" s="43"/>
      <c r="AP413" s="43"/>
      <c r="AQ413" s="43"/>
      <c r="AR413" s="43"/>
      <c r="AS413" s="43"/>
      <c r="AT413" s="43"/>
      <c r="AU413" s="43"/>
      <c r="AV413" s="43"/>
    </row>
    <row r="414" ht="15.75" spans="1:48">
      <c r="A414" s="12">
        <v>410</v>
      </c>
      <c r="B414" s="44">
        <v>4342</v>
      </c>
      <c r="C414" s="45" t="s">
        <v>147</v>
      </c>
      <c r="D414" s="46"/>
      <c r="E414" s="47"/>
      <c r="F414" s="48">
        <v>10</v>
      </c>
      <c r="G414" s="38">
        <v>2</v>
      </c>
      <c r="H414" s="39"/>
      <c r="I414" s="39"/>
      <c r="J414" s="39"/>
      <c r="K414" s="39"/>
      <c r="L414" s="39"/>
      <c r="M414" s="39"/>
      <c r="N414" s="39"/>
      <c r="O414" s="39"/>
      <c r="P414" s="39"/>
      <c r="Q414" s="39">
        <v>1.33</v>
      </c>
      <c r="R414" s="39"/>
      <c r="S414" s="39"/>
      <c r="T414" s="39">
        <v>0.5</v>
      </c>
      <c r="U414" s="39">
        <v>0.17</v>
      </c>
      <c r="V414" s="39"/>
      <c r="W414" s="39"/>
      <c r="X414" s="49" t="s">
        <v>90</v>
      </c>
      <c r="Y414" s="50">
        <v>4700</v>
      </c>
      <c r="Z414" s="51">
        <v>4500</v>
      </c>
      <c r="AA414" s="52">
        <f t="shared" si="15"/>
        <v>0.957446808510638</v>
      </c>
      <c r="AB414" s="12">
        <v>4500</v>
      </c>
      <c r="AC414" s="12">
        <v>0</v>
      </c>
      <c r="AD414" s="43"/>
      <c r="AE414" s="43"/>
      <c r="AF414" s="43"/>
      <c r="AG414" s="43"/>
      <c r="AH414" s="43"/>
      <c r="AI414" s="43"/>
      <c r="AJ414" s="43"/>
      <c r="AK414" s="43"/>
      <c r="AL414" s="43"/>
      <c r="AM414" s="43"/>
      <c r="AN414" s="43"/>
      <c r="AO414" s="43"/>
      <c r="AP414" s="43"/>
      <c r="AQ414" s="43"/>
      <c r="AR414" s="43"/>
      <c r="AS414" s="43"/>
      <c r="AT414" s="43"/>
      <c r="AU414" s="43"/>
      <c r="AV414" s="43"/>
    </row>
    <row r="415" ht="15.75" spans="1:48">
      <c r="A415" s="12">
        <v>411</v>
      </c>
      <c r="B415" s="44">
        <v>977</v>
      </c>
      <c r="C415" s="45" t="s">
        <v>141</v>
      </c>
      <c r="D415" s="46">
        <v>21</v>
      </c>
      <c r="E415" s="47" t="s">
        <v>93</v>
      </c>
      <c r="F415" s="48">
        <v>10.5</v>
      </c>
      <c r="G415" s="38">
        <v>1.5</v>
      </c>
      <c r="H415" s="39"/>
      <c r="I415" s="39"/>
      <c r="J415" s="39"/>
      <c r="K415" s="39"/>
      <c r="L415" s="39"/>
      <c r="M415" s="39"/>
      <c r="N415" s="39"/>
      <c r="O415" s="39"/>
      <c r="P415" s="39"/>
      <c r="Q415" s="39">
        <v>1.33</v>
      </c>
      <c r="R415" s="39"/>
      <c r="S415" s="39"/>
      <c r="T415" s="39"/>
      <c r="U415" s="39">
        <v>0.17</v>
      </c>
      <c r="V415" s="39"/>
      <c r="W415" s="39"/>
      <c r="X415" s="49" t="s">
        <v>222</v>
      </c>
      <c r="Y415" s="50">
        <v>12180</v>
      </c>
      <c r="Z415" s="51">
        <v>9900</v>
      </c>
      <c r="AA415" s="52">
        <f t="shared" si="15"/>
        <v>0.812807881773399</v>
      </c>
      <c r="AB415" s="12">
        <v>9900</v>
      </c>
      <c r="AC415" s="12">
        <v>0</v>
      </c>
      <c r="AD415" s="43"/>
      <c r="AE415" s="43"/>
      <c r="AF415" s="43"/>
      <c r="AG415" s="43"/>
      <c r="AH415" s="43"/>
      <c r="AI415" s="43"/>
      <c r="AJ415" s="43"/>
      <c r="AK415" s="43"/>
      <c r="AL415" s="43"/>
      <c r="AM415" s="43"/>
      <c r="AN415" s="43"/>
      <c r="AO415" s="43"/>
      <c r="AP415" s="43"/>
      <c r="AQ415" s="43"/>
      <c r="AR415" s="43"/>
      <c r="AS415" s="43"/>
      <c r="AT415" s="43"/>
      <c r="AU415" s="43"/>
      <c r="AV415" s="43"/>
    </row>
    <row r="416" ht="15.75" spans="1:48">
      <c r="A416" s="12">
        <v>412</v>
      </c>
      <c r="B416" s="57">
        <v>551</v>
      </c>
      <c r="C416" s="58" t="s">
        <v>146</v>
      </c>
      <c r="D416" s="59">
        <v>5</v>
      </c>
      <c r="E416" s="60"/>
      <c r="F416" s="48">
        <v>10</v>
      </c>
      <c r="G416" s="38">
        <v>2</v>
      </c>
      <c r="H416" s="39"/>
      <c r="I416" s="39"/>
      <c r="J416" s="39"/>
      <c r="K416" s="39">
        <v>0.17</v>
      </c>
      <c r="L416" s="39"/>
      <c r="M416" s="39"/>
      <c r="N416" s="39"/>
      <c r="O416" s="39"/>
      <c r="P416" s="39"/>
      <c r="Q416" s="39">
        <v>1.33</v>
      </c>
      <c r="R416" s="39"/>
      <c r="S416" s="39"/>
      <c r="T416" s="39">
        <v>0.33</v>
      </c>
      <c r="U416" s="39">
        <v>0.17</v>
      </c>
      <c r="V416" s="39"/>
      <c r="W416" s="39"/>
      <c r="X416" s="49">
        <v>5770</v>
      </c>
      <c r="Y416" s="50">
        <v>6050</v>
      </c>
      <c r="Z416" s="51">
        <v>6080</v>
      </c>
      <c r="AA416" s="52">
        <f t="shared" si="15"/>
        <v>1.00495867768595</v>
      </c>
      <c r="AB416" s="12">
        <v>6000</v>
      </c>
      <c r="AC416" s="12">
        <v>80</v>
      </c>
      <c r="AD416" s="19">
        <v>80</v>
      </c>
      <c r="AE416" s="43"/>
      <c r="AF416" s="43"/>
      <c r="AG416" s="43"/>
      <c r="AH416" s="43"/>
      <c r="AI416" s="43"/>
      <c r="AJ416" s="43"/>
      <c r="AK416" s="43"/>
      <c r="AL416" s="43"/>
      <c r="AM416" s="43"/>
      <c r="AN416" s="43"/>
      <c r="AO416" s="43"/>
      <c r="AP416" s="43"/>
      <c r="AQ416" s="43"/>
      <c r="AR416" s="43"/>
      <c r="AS416" s="43"/>
      <c r="AT416" s="43"/>
      <c r="AU416" s="43"/>
      <c r="AV416" s="43"/>
    </row>
    <row r="417" ht="15.75" spans="1:48">
      <c r="A417" s="12">
        <v>413</v>
      </c>
      <c r="B417" s="44">
        <v>4110</v>
      </c>
      <c r="C417" s="45" t="s">
        <v>135</v>
      </c>
      <c r="D417" s="46">
        <v>8</v>
      </c>
      <c r="E417" s="47"/>
      <c r="F417" s="48">
        <v>6.33</v>
      </c>
      <c r="G417" s="38">
        <v>2</v>
      </c>
      <c r="H417" s="39"/>
      <c r="I417" s="39"/>
      <c r="J417" s="39">
        <v>0.17</v>
      </c>
      <c r="K417" s="39"/>
      <c r="L417" s="39"/>
      <c r="M417" s="39"/>
      <c r="N417" s="39"/>
      <c r="O417" s="39"/>
      <c r="P417" s="39"/>
      <c r="Q417" s="39">
        <v>1.33</v>
      </c>
      <c r="R417" s="39"/>
      <c r="S417" s="39"/>
      <c r="T417" s="39">
        <v>0.33</v>
      </c>
      <c r="U417" s="39">
        <v>0.17</v>
      </c>
      <c r="V417" s="39"/>
      <c r="W417" s="39"/>
      <c r="X417" s="49">
        <v>6270</v>
      </c>
      <c r="Y417" s="50">
        <v>3829.65</v>
      </c>
      <c r="Z417" s="51">
        <v>3840</v>
      </c>
      <c r="AA417" s="52">
        <f t="shared" si="15"/>
        <v>1.00270259684305</v>
      </c>
      <c r="AB417" s="12">
        <v>3759</v>
      </c>
      <c r="AC417" s="12">
        <v>81</v>
      </c>
      <c r="AD417" s="19">
        <v>81</v>
      </c>
      <c r="AE417" s="43"/>
      <c r="AF417" s="43"/>
      <c r="AG417" s="43"/>
      <c r="AH417" s="43"/>
      <c r="AI417" s="43"/>
      <c r="AJ417" s="43"/>
      <c r="AK417" s="43"/>
      <c r="AL417" s="43"/>
      <c r="AM417" s="43"/>
      <c r="AN417" s="43"/>
      <c r="AO417" s="43"/>
      <c r="AP417" s="43"/>
      <c r="AQ417" s="43"/>
      <c r="AR417" s="43"/>
      <c r="AS417" s="43"/>
      <c r="AT417" s="43"/>
      <c r="AU417" s="43"/>
      <c r="AV417" s="43"/>
    </row>
    <row r="418" ht="15.75" spans="1:48">
      <c r="A418" s="12">
        <v>414</v>
      </c>
      <c r="B418" s="44">
        <v>4110</v>
      </c>
      <c r="C418" s="45" t="s">
        <v>135</v>
      </c>
      <c r="D418" s="46">
        <v>8</v>
      </c>
      <c r="E418" s="47"/>
      <c r="F418" s="48">
        <v>2</v>
      </c>
      <c r="G418" s="38">
        <v>0.67</v>
      </c>
      <c r="H418" s="39"/>
      <c r="I418" s="39"/>
      <c r="J418" s="39">
        <v>0.17</v>
      </c>
      <c r="K418" s="39"/>
      <c r="L418" s="39"/>
      <c r="M418" s="39"/>
      <c r="N418" s="39"/>
      <c r="O418" s="39"/>
      <c r="P418" s="39"/>
      <c r="Q418" s="39"/>
      <c r="R418" s="39"/>
      <c r="S418" s="39"/>
      <c r="T418" s="39">
        <v>0.33</v>
      </c>
      <c r="U418" s="39">
        <v>0.17</v>
      </c>
      <c r="V418" s="39"/>
      <c r="W418" s="39"/>
      <c r="X418" s="49">
        <v>2801</v>
      </c>
      <c r="Y418" s="50">
        <v>1210</v>
      </c>
      <c r="Z418" s="51">
        <v>1200</v>
      </c>
      <c r="AA418" s="52">
        <f t="shared" si="15"/>
        <v>0.991735537190083</v>
      </c>
      <c r="AB418" s="12">
        <v>1102</v>
      </c>
      <c r="AC418" s="12">
        <v>98</v>
      </c>
      <c r="AD418" s="19">
        <v>98</v>
      </c>
      <c r="AE418" s="43"/>
      <c r="AF418" s="43"/>
      <c r="AG418" s="43"/>
      <c r="AH418" s="43"/>
      <c r="AI418" s="43"/>
      <c r="AJ418" s="43"/>
      <c r="AK418" s="43"/>
      <c r="AL418" s="43"/>
      <c r="AM418" s="43"/>
      <c r="AN418" s="43"/>
      <c r="AO418" s="43"/>
      <c r="AP418" s="43"/>
      <c r="AQ418" s="43"/>
      <c r="AR418" s="43"/>
      <c r="AS418" s="43"/>
      <c r="AT418" s="43"/>
      <c r="AU418" s="43"/>
      <c r="AV418" s="43"/>
    </row>
    <row r="419" ht="15.75" spans="1:48">
      <c r="A419" s="12">
        <v>415</v>
      </c>
      <c r="B419" s="44">
        <v>947</v>
      </c>
      <c r="C419" s="45" t="s">
        <v>143</v>
      </c>
      <c r="D419" s="46">
        <v>18</v>
      </c>
      <c r="E419" s="47"/>
      <c r="F419" s="48">
        <v>6</v>
      </c>
      <c r="G419" s="38">
        <v>1.84</v>
      </c>
      <c r="H419" s="39"/>
      <c r="I419" s="39"/>
      <c r="J419" s="39">
        <v>0.17</v>
      </c>
      <c r="K419" s="39"/>
      <c r="L419" s="39"/>
      <c r="M419" s="39"/>
      <c r="N419" s="39"/>
      <c r="O419" s="39"/>
      <c r="P419" s="39"/>
      <c r="Q419" s="39">
        <v>1.33</v>
      </c>
      <c r="R419" s="39"/>
      <c r="S419" s="39"/>
      <c r="T419" s="39">
        <v>0.17</v>
      </c>
      <c r="U419" s="39">
        <v>0.17</v>
      </c>
      <c r="V419" s="39"/>
      <c r="W419" s="39"/>
      <c r="X419" s="49">
        <v>6270</v>
      </c>
      <c r="Y419" s="50">
        <v>3630</v>
      </c>
      <c r="Z419" s="51">
        <v>3567</v>
      </c>
      <c r="AA419" s="52">
        <f t="shared" si="15"/>
        <v>0.982644628099174</v>
      </c>
      <c r="AB419" s="12">
        <v>3528</v>
      </c>
      <c r="AC419" s="12">
        <v>39</v>
      </c>
      <c r="AD419" s="19">
        <v>39</v>
      </c>
      <c r="AE419" s="43"/>
      <c r="AF419" s="43"/>
      <c r="AG419" s="43"/>
      <c r="AH419" s="43"/>
      <c r="AI419" s="43"/>
      <c r="AJ419" s="43"/>
      <c r="AK419" s="43"/>
      <c r="AL419" s="43"/>
      <c r="AM419" s="43"/>
      <c r="AN419" s="43"/>
      <c r="AO419" s="43"/>
      <c r="AP419" s="43"/>
      <c r="AQ419" s="43"/>
      <c r="AR419" s="43"/>
      <c r="AS419" s="43"/>
      <c r="AT419" s="43"/>
      <c r="AU419" s="43"/>
      <c r="AV419" s="43"/>
    </row>
    <row r="420" ht="15.75" spans="1:48">
      <c r="A420" s="12">
        <v>416</v>
      </c>
      <c r="B420" s="44">
        <v>947</v>
      </c>
      <c r="C420" s="45" t="s">
        <v>143</v>
      </c>
      <c r="D420" s="46">
        <v>18</v>
      </c>
      <c r="E420" s="47"/>
      <c r="F420" s="48">
        <v>2.17</v>
      </c>
      <c r="G420" s="38">
        <v>0.34</v>
      </c>
      <c r="H420" s="39"/>
      <c r="I420" s="39"/>
      <c r="J420" s="39">
        <v>0.17</v>
      </c>
      <c r="K420" s="39"/>
      <c r="L420" s="39"/>
      <c r="M420" s="39"/>
      <c r="N420" s="39"/>
      <c r="O420" s="39"/>
      <c r="P420" s="39"/>
      <c r="Q420" s="39"/>
      <c r="R420" s="39"/>
      <c r="S420" s="39"/>
      <c r="T420" s="39">
        <v>0.17</v>
      </c>
      <c r="U420" s="39"/>
      <c r="V420" s="39"/>
      <c r="W420" s="39"/>
      <c r="X420" s="49">
        <v>9968</v>
      </c>
      <c r="Y420" s="50">
        <v>1312.85</v>
      </c>
      <c r="Z420" s="51">
        <v>1365</v>
      </c>
      <c r="AA420" s="52">
        <f t="shared" si="15"/>
        <v>1.03972274060251</v>
      </c>
      <c r="AB420" s="12">
        <v>1323</v>
      </c>
      <c r="AC420" s="12">
        <v>42</v>
      </c>
      <c r="AD420" s="19">
        <v>42</v>
      </c>
      <c r="AE420" s="43"/>
      <c r="AF420" s="43"/>
      <c r="AG420" s="43"/>
      <c r="AH420" s="43"/>
      <c r="AI420" s="43"/>
      <c r="AJ420" s="43"/>
      <c r="AK420" s="43"/>
      <c r="AL420" s="43"/>
      <c r="AM420" s="43"/>
      <c r="AN420" s="43"/>
      <c r="AO420" s="43"/>
      <c r="AP420" s="43"/>
      <c r="AQ420" s="43"/>
      <c r="AR420" s="43"/>
      <c r="AS420" s="43"/>
      <c r="AT420" s="43"/>
      <c r="AU420" s="43"/>
      <c r="AV420" s="43"/>
    </row>
    <row r="421" ht="15.75" spans="1:48">
      <c r="A421" s="12">
        <v>417</v>
      </c>
      <c r="B421" s="44">
        <v>1733</v>
      </c>
      <c r="C421" s="45" t="s">
        <v>153</v>
      </c>
      <c r="D421" s="46"/>
      <c r="E421" s="47"/>
      <c r="F421" s="48">
        <v>10.67</v>
      </c>
      <c r="G421" s="38">
        <v>1.33</v>
      </c>
      <c r="H421" s="39"/>
      <c r="I421" s="39"/>
      <c r="J421" s="39"/>
      <c r="K421" s="39"/>
      <c r="L421" s="39"/>
      <c r="M421" s="39"/>
      <c r="N421" s="39"/>
      <c r="O421" s="39"/>
      <c r="P421" s="39"/>
      <c r="Q421" s="39">
        <v>1.33</v>
      </c>
      <c r="R421" s="39"/>
      <c r="S421" s="39"/>
      <c r="T421" s="39"/>
      <c r="U421" s="39"/>
      <c r="V421" s="39"/>
      <c r="W421" s="39"/>
      <c r="X421" s="49" t="s">
        <v>103</v>
      </c>
      <c r="Y421" s="50">
        <v>8962.8</v>
      </c>
      <c r="Z421" s="51">
        <v>6000</v>
      </c>
      <c r="AA421" s="52">
        <f t="shared" si="15"/>
        <v>0.669433659124381</v>
      </c>
      <c r="AB421" s="12">
        <v>6000</v>
      </c>
      <c r="AC421" s="12">
        <v>0</v>
      </c>
      <c r="AD421" s="43"/>
      <c r="AE421" s="43"/>
      <c r="AF421" s="43"/>
      <c r="AG421" s="43"/>
      <c r="AH421" s="43"/>
      <c r="AI421" s="43"/>
      <c r="AJ421" s="43"/>
      <c r="AK421" s="43"/>
      <c r="AL421" s="43"/>
      <c r="AM421" s="43"/>
      <c r="AN421" s="43"/>
      <c r="AO421" s="43"/>
      <c r="AP421" s="43"/>
      <c r="AQ421" s="43"/>
      <c r="AR421" s="43"/>
      <c r="AS421" s="43"/>
      <c r="AT421" s="43"/>
      <c r="AU421" s="43"/>
      <c r="AV421" s="43"/>
    </row>
    <row r="422" ht="15.75" spans="1:48">
      <c r="A422" s="12">
        <v>418</v>
      </c>
      <c r="B422" s="44">
        <v>848</v>
      </c>
      <c r="C422" s="45" t="s">
        <v>150</v>
      </c>
      <c r="D422" s="46"/>
      <c r="E422" s="47"/>
      <c r="F422" s="48">
        <v>10.67</v>
      </c>
      <c r="G422" s="38">
        <v>1.33</v>
      </c>
      <c r="H422" s="39"/>
      <c r="I422" s="39"/>
      <c r="J422" s="39"/>
      <c r="K422" s="39"/>
      <c r="L422" s="39"/>
      <c r="M422" s="39"/>
      <c r="N422" s="39"/>
      <c r="O422" s="39"/>
      <c r="P422" s="39"/>
      <c r="Q422" s="39">
        <v>1.33</v>
      </c>
      <c r="R422" s="39"/>
      <c r="S422" s="39"/>
      <c r="T422" s="39"/>
      <c r="U422" s="39"/>
      <c r="V422" s="39"/>
      <c r="W422" s="39"/>
      <c r="X422" s="49" t="s">
        <v>103</v>
      </c>
      <c r="Y422" s="50">
        <v>8962.8</v>
      </c>
      <c r="Z422" s="51">
        <v>7320</v>
      </c>
      <c r="AA422" s="52">
        <f t="shared" si="15"/>
        <v>0.816709064131745</v>
      </c>
      <c r="AB422" s="12">
        <v>7320</v>
      </c>
      <c r="AC422" s="12">
        <v>0</v>
      </c>
      <c r="AD422" s="43"/>
      <c r="AE422" s="43"/>
      <c r="AF422" s="43"/>
      <c r="AG422" s="43"/>
      <c r="AH422" s="43"/>
      <c r="AI422" s="43"/>
      <c r="AJ422" s="43"/>
      <c r="AK422" s="43"/>
      <c r="AL422" s="43"/>
      <c r="AM422" s="43"/>
      <c r="AN422" s="43"/>
      <c r="AO422" s="43"/>
      <c r="AP422" s="43"/>
      <c r="AQ422" s="43"/>
      <c r="AR422" s="43"/>
      <c r="AS422" s="43"/>
      <c r="AT422" s="43"/>
      <c r="AU422" s="43"/>
      <c r="AV422" s="43"/>
    </row>
    <row r="423" ht="15.75" spans="1:48">
      <c r="A423" s="12">
        <v>419</v>
      </c>
      <c r="B423" s="44">
        <v>4335</v>
      </c>
      <c r="C423" s="45" t="s">
        <v>154</v>
      </c>
      <c r="D423" s="46"/>
      <c r="E423" s="47"/>
      <c r="F423" s="48">
        <v>0.83</v>
      </c>
      <c r="G423" s="38">
        <v>0</v>
      </c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49" t="s">
        <v>212</v>
      </c>
      <c r="Y423" s="50">
        <v>249</v>
      </c>
      <c r="Z423" s="51">
        <v>206</v>
      </c>
      <c r="AA423" s="52">
        <f t="shared" si="15"/>
        <v>0.827309236947791</v>
      </c>
      <c r="AB423" s="12">
        <v>206</v>
      </c>
      <c r="AC423" s="12">
        <v>0</v>
      </c>
      <c r="AD423" s="43"/>
      <c r="AE423" s="43"/>
      <c r="AF423" s="43"/>
      <c r="AG423" s="43"/>
      <c r="AH423" s="43"/>
      <c r="AI423" s="43"/>
      <c r="AJ423" s="43"/>
      <c r="AK423" s="43"/>
      <c r="AL423" s="43"/>
      <c r="AM423" s="43"/>
      <c r="AN423" s="43"/>
      <c r="AO423" s="43"/>
      <c r="AP423" s="43"/>
      <c r="AQ423" s="43"/>
      <c r="AR423" s="43"/>
      <c r="AS423" s="43"/>
      <c r="AT423" s="43"/>
      <c r="AU423" s="43"/>
      <c r="AV423" s="43"/>
    </row>
    <row r="424" ht="15.75" spans="1:48">
      <c r="A424" s="12">
        <v>420</v>
      </c>
      <c r="B424" s="44">
        <v>4335</v>
      </c>
      <c r="C424" s="45" t="s">
        <v>154</v>
      </c>
      <c r="D424" s="46"/>
      <c r="E424" s="47"/>
      <c r="F424" s="48">
        <v>3</v>
      </c>
      <c r="G424" s="38">
        <v>0</v>
      </c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49" t="s">
        <v>103</v>
      </c>
      <c r="Y424" s="50">
        <v>2520</v>
      </c>
      <c r="Z424" s="51">
        <v>2607</v>
      </c>
      <c r="AA424" s="52">
        <f t="shared" si="15"/>
        <v>1.03452380952381</v>
      </c>
      <c r="AB424" s="12">
        <v>2607</v>
      </c>
      <c r="AC424" s="12">
        <v>0</v>
      </c>
      <c r="AD424" s="43"/>
      <c r="AE424" s="43"/>
      <c r="AF424" s="43"/>
      <c r="AG424" s="43"/>
      <c r="AH424" s="43"/>
      <c r="AI424" s="43"/>
      <c r="AJ424" s="43"/>
      <c r="AK424" s="43"/>
      <c r="AL424" s="43"/>
      <c r="AM424" s="43"/>
      <c r="AN424" s="43"/>
      <c r="AO424" s="43"/>
      <c r="AP424" s="43"/>
      <c r="AQ424" s="43"/>
      <c r="AR424" s="43"/>
      <c r="AS424" s="43"/>
      <c r="AT424" s="43"/>
      <c r="AU424" s="43"/>
      <c r="AV424" s="43"/>
    </row>
    <row r="425" ht="15.75" spans="1:48">
      <c r="A425" s="12">
        <v>421</v>
      </c>
      <c r="B425" s="44">
        <v>692</v>
      </c>
      <c r="C425" s="45" t="s">
        <v>142</v>
      </c>
      <c r="D425" s="46"/>
      <c r="E425" s="47"/>
      <c r="F425" s="48">
        <v>1.5</v>
      </c>
      <c r="G425" s="38">
        <v>0</v>
      </c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49" t="s">
        <v>100</v>
      </c>
      <c r="Y425" s="50">
        <v>2880</v>
      </c>
      <c r="Z425" s="51">
        <v>3060</v>
      </c>
      <c r="AA425" s="52">
        <f t="shared" si="15"/>
        <v>1.0625</v>
      </c>
      <c r="AB425" s="12">
        <v>3060</v>
      </c>
      <c r="AC425" s="12">
        <v>0</v>
      </c>
      <c r="AD425" s="43"/>
      <c r="AE425" s="43"/>
      <c r="AF425" s="43"/>
      <c r="AG425" s="43"/>
      <c r="AH425" s="43"/>
      <c r="AI425" s="43"/>
      <c r="AJ425" s="43"/>
      <c r="AK425" s="43"/>
      <c r="AL425" s="43"/>
      <c r="AM425" s="43"/>
      <c r="AN425" s="43"/>
      <c r="AO425" s="43"/>
      <c r="AP425" s="43"/>
      <c r="AQ425" s="43"/>
      <c r="AR425" s="43"/>
      <c r="AS425" s="43"/>
      <c r="AT425" s="43"/>
      <c r="AU425" s="43"/>
      <c r="AV425" s="43"/>
    </row>
    <row r="426" ht="15.75" spans="1:48">
      <c r="A426" s="12">
        <v>422</v>
      </c>
      <c r="B426" s="44">
        <v>692</v>
      </c>
      <c r="C426" s="45" t="s">
        <v>142</v>
      </c>
      <c r="D426" s="46"/>
      <c r="E426" s="47"/>
      <c r="F426" s="48">
        <v>0.83</v>
      </c>
      <c r="G426" s="38">
        <v>0</v>
      </c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49" t="s">
        <v>100</v>
      </c>
      <c r="Y426" s="50">
        <v>1593.6</v>
      </c>
      <c r="Z426" s="51">
        <v>1620</v>
      </c>
      <c r="AA426" s="52">
        <f t="shared" si="15"/>
        <v>1.01656626506024</v>
      </c>
      <c r="AB426" s="12">
        <v>1620</v>
      </c>
      <c r="AC426" s="12">
        <v>0</v>
      </c>
      <c r="AD426" s="43"/>
      <c r="AE426" s="43"/>
      <c r="AF426" s="43"/>
      <c r="AG426" s="43"/>
      <c r="AH426" s="43"/>
      <c r="AI426" s="43"/>
      <c r="AJ426" s="43"/>
      <c r="AK426" s="43"/>
      <c r="AL426" s="43"/>
      <c r="AM426" s="43"/>
      <c r="AN426" s="43"/>
      <c r="AO426" s="43"/>
      <c r="AP426" s="43"/>
      <c r="AQ426" s="43"/>
      <c r="AR426" s="43"/>
      <c r="AS426" s="43"/>
      <c r="AT426" s="43"/>
      <c r="AU426" s="43"/>
      <c r="AV426" s="43"/>
    </row>
    <row r="427" ht="15.75" spans="1:48">
      <c r="A427" s="12">
        <v>423</v>
      </c>
      <c r="B427" s="44">
        <v>692</v>
      </c>
      <c r="C427" s="45" t="s">
        <v>142</v>
      </c>
      <c r="D427" s="46"/>
      <c r="E427" s="47"/>
      <c r="F427" s="48">
        <v>1.3</v>
      </c>
      <c r="G427" s="38">
        <v>0</v>
      </c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49" t="s">
        <v>102</v>
      </c>
      <c r="Y427" s="50">
        <v>5850</v>
      </c>
      <c r="Z427" s="51">
        <v>5500</v>
      </c>
      <c r="AA427" s="52">
        <f t="shared" si="15"/>
        <v>0.94017094017094</v>
      </c>
      <c r="AB427" s="12">
        <v>5500</v>
      </c>
      <c r="AC427" s="12">
        <v>0</v>
      </c>
      <c r="AD427" s="43"/>
      <c r="AE427" s="43"/>
      <c r="AF427" s="43"/>
      <c r="AG427" s="43"/>
      <c r="AH427" s="43"/>
      <c r="AI427" s="43"/>
      <c r="AJ427" s="43"/>
      <c r="AK427" s="43"/>
      <c r="AL427" s="43"/>
      <c r="AM427" s="43"/>
      <c r="AN427" s="43"/>
      <c r="AO427" s="43"/>
      <c r="AP427" s="43"/>
      <c r="AQ427" s="43"/>
      <c r="AR427" s="43"/>
      <c r="AS427" s="43"/>
      <c r="AT427" s="43"/>
      <c r="AU427" s="43"/>
      <c r="AV427" s="43"/>
    </row>
    <row r="428" ht="15.75" spans="1:48">
      <c r="A428" s="12">
        <v>424</v>
      </c>
      <c r="B428" s="44">
        <v>692</v>
      </c>
      <c r="C428" s="45" t="s">
        <v>142</v>
      </c>
      <c r="D428" s="46"/>
      <c r="E428" s="47"/>
      <c r="F428" s="48">
        <v>1.37</v>
      </c>
      <c r="G428" s="38">
        <v>0</v>
      </c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49" t="s">
        <v>152</v>
      </c>
      <c r="Y428" s="50">
        <v>5959.5</v>
      </c>
      <c r="Z428" s="51">
        <v>5810</v>
      </c>
      <c r="AA428" s="52">
        <f t="shared" si="15"/>
        <v>0.974914002852588</v>
      </c>
      <c r="AB428" s="12">
        <v>5810</v>
      </c>
      <c r="AC428" s="12">
        <v>0</v>
      </c>
      <c r="AD428" s="43"/>
      <c r="AE428" s="43"/>
      <c r="AF428" s="43"/>
      <c r="AG428" s="43"/>
      <c r="AH428" s="43"/>
      <c r="AI428" s="43"/>
      <c r="AJ428" s="43"/>
      <c r="AK428" s="43"/>
      <c r="AL428" s="43"/>
      <c r="AM428" s="43"/>
      <c r="AN428" s="43"/>
      <c r="AO428" s="43"/>
      <c r="AP428" s="43"/>
      <c r="AQ428" s="43"/>
      <c r="AR428" s="43"/>
      <c r="AS428" s="43"/>
      <c r="AT428" s="43"/>
      <c r="AU428" s="43"/>
      <c r="AV428" s="43"/>
    </row>
    <row r="429" ht="15.75" spans="1:48">
      <c r="A429" s="12">
        <v>425</v>
      </c>
      <c r="B429" s="44">
        <v>2865</v>
      </c>
      <c r="C429" s="45" t="s">
        <v>149</v>
      </c>
      <c r="D429" s="46"/>
      <c r="E429" s="47"/>
      <c r="F429" s="48">
        <v>1.5</v>
      </c>
      <c r="G429" s="38">
        <v>0</v>
      </c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49" t="s">
        <v>103</v>
      </c>
      <c r="Y429" s="50">
        <v>1260</v>
      </c>
      <c r="Z429" s="51">
        <v>1380</v>
      </c>
      <c r="AA429" s="52">
        <f t="shared" si="15"/>
        <v>1.0952380952381</v>
      </c>
      <c r="AB429" s="12">
        <v>1380</v>
      </c>
      <c r="AC429" s="12">
        <v>0</v>
      </c>
      <c r="AD429" s="43"/>
      <c r="AE429" s="43"/>
      <c r="AF429" s="43"/>
      <c r="AG429" s="43"/>
      <c r="AH429" s="43"/>
      <c r="AI429" s="43"/>
      <c r="AJ429" s="43"/>
      <c r="AK429" s="43"/>
      <c r="AL429" s="43"/>
      <c r="AM429" s="43"/>
      <c r="AN429" s="43"/>
      <c r="AO429" s="43"/>
      <c r="AP429" s="43"/>
      <c r="AQ429" s="43"/>
      <c r="AR429" s="43"/>
      <c r="AS429" s="43"/>
      <c r="AT429" s="43"/>
      <c r="AU429" s="43"/>
      <c r="AV429" s="43"/>
    </row>
    <row r="430" ht="15.75" spans="1:48">
      <c r="A430" s="12">
        <v>426</v>
      </c>
      <c r="B430" s="44">
        <v>4384</v>
      </c>
      <c r="C430" s="45" t="s">
        <v>145</v>
      </c>
      <c r="D430" s="46"/>
      <c r="E430" s="47"/>
      <c r="F430" s="48">
        <v>4.83</v>
      </c>
      <c r="G430" s="38">
        <v>0</v>
      </c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49" t="s">
        <v>103</v>
      </c>
      <c r="Y430" s="50">
        <v>4057.2</v>
      </c>
      <c r="Z430" s="51">
        <v>4080</v>
      </c>
      <c r="AA430" s="52">
        <f t="shared" si="15"/>
        <v>1.00561963916001</v>
      </c>
      <c r="AB430" s="12">
        <v>4080</v>
      </c>
      <c r="AC430" s="12">
        <v>0</v>
      </c>
      <c r="AD430" s="43"/>
      <c r="AE430" s="43"/>
      <c r="AF430" s="43"/>
      <c r="AG430" s="43"/>
      <c r="AH430" s="43"/>
      <c r="AI430" s="43"/>
      <c r="AJ430" s="43"/>
      <c r="AK430" s="43"/>
      <c r="AL430" s="43"/>
      <c r="AM430" s="43"/>
      <c r="AN430" s="43"/>
      <c r="AO430" s="43"/>
      <c r="AP430" s="43"/>
      <c r="AQ430" s="43"/>
      <c r="AR430" s="43"/>
      <c r="AS430" s="43"/>
      <c r="AT430" s="43"/>
      <c r="AU430" s="43"/>
      <c r="AV430" s="43"/>
    </row>
    <row r="431" ht="15.75" spans="1:48">
      <c r="A431" s="12">
        <v>427</v>
      </c>
      <c r="B431" s="44">
        <v>947</v>
      </c>
      <c r="C431" s="45" t="s">
        <v>143</v>
      </c>
      <c r="D431" s="46"/>
      <c r="E431" s="47"/>
      <c r="F431" s="48">
        <v>1.67</v>
      </c>
      <c r="G431" s="38">
        <v>0</v>
      </c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49" t="s">
        <v>103</v>
      </c>
      <c r="Y431" s="50">
        <v>1402.8</v>
      </c>
      <c r="Z431" s="51">
        <v>1365</v>
      </c>
      <c r="AA431" s="52">
        <f t="shared" si="15"/>
        <v>0.973053892215569</v>
      </c>
      <c r="AB431" s="12">
        <v>1365</v>
      </c>
      <c r="AC431" s="12">
        <v>0</v>
      </c>
      <c r="AD431" s="43"/>
      <c r="AE431" s="43"/>
      <c r="AF431" s="43"/>
      <c r="AG431" s="43"/>
      <c r="AH431" s="43"/>
      <c r="AI431" s="43"/>
      <c r="AJ431" s="43"/>
      <c r="AK431" s="43"/>
      <c r="AL431" s="43"/>
      <c r="AM431" s="43"/>
      <c r="AN431" s="43"/>
      <c r="AO431" s="43"/>
      <c r="AP431" s="43"/>
      <c r="AQ431" s="43"/>
      <c r="AR431" s="43"/>
      <c r="AS431" s="43"/>
      <c r="AT431" s="43"/>
      <c r="AU431" s="43"/>
      <c r="AV431" s="43"/>
    </row>
    <row r="432" ht="15.75" spans="1:48">
      <c r="A432" s="12">
        <v>428</v>
      </c>
      <c r="B432" s="44">
        <v>4110</v>
      </c>
      <c r="C432" s="45" t="s">
        <v>135</v>
      </c>
      <c r="D432" s="46"/>
      <c r="E432" s="47"/>
      <c r="F432" s="48">
        <v>1.5</v>
      </c>
      <c r="G432" s="38">
        <v>0</v>
      </c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49" t="s">
        <v>103</v>
      </c>
      <c r="Y432" s="50">
        <v>1260</v>
      </c>
      <c r="Z432" s="51">
        <v>1200</v>
      </c>
      <c r="AA432" s="52">
        <f t="shared" si="15"/>
        <v>0.952380952380952</v>
      </c>
      <c r="AB432" s="12">
        <v>1200</v>
      </c>
      <c r="AC432" s="12">
        <v>0</v>
      </c>
      <c r="AD432" s="43"/>
      <c r="AE432" s="43"/>
      <c r="AF432" s="43"/>
      <c r="AG432" s="43"/>
      <c r="AH432" s="43"/>
      <c r="AI432" s="43"/>
      <c r="AJ432" s="43"/>
      <c r="AK432" s="43"/>
      <c r="AL432" s="43"/>
      <c r="AM432" s="43"/>
      <c r="AN432" s="43"/>
      <c r="AO432" s="43"/>
      <c r="AP432" s="43"/>
      <c r="AQ432" s="43"/>
      <c r="AR432" s="43"/>
      <c r="AS432" s="43"/>
      <c r="AT432" s="43"/>
      <c r="AU432" s="43"/>
      <c r="AV432" s="43"/>
    </row>
    <row r="433" ht="15.75" spans="1:48">
      <c r="A433" s="12">
        <v>429</v>
      </c>
      <c r="B433" s="44" t="s">
        <v>227</v>
      </c>
      <c r="C433" s="45" t="e">
        <v>#N/A</v>
      </c>
      <c r="D433" s="46" t="s">
        <v>49</v>
      </c>
      <c r="E433" s="47" t="s">
        <v>50</v>
      </c>
      <c r="F433" s="48">
        <v>9.67</v>
      </c>
      <c r="G433" s="38">
        <v>2.34</v>
      </c>
      <c r="H433" s="39"/>
      <c r="I433" s="39"/>
      <c r="J433" s="39"/>
      <c r="K433" s="39"/>
      <c r="L433" s="39"/>
      <c r="M433" s="39"/>
      <c r="N433" s="39"/>
      <c r="O433" s="39"/>
      <c r="P433" s="39"/>
      <c r="Q433" s="39">
        <v>1.17</v>
      </c>
      <c r="R433" s="39"/>
      <c r="S433" s="39"/>
      <c r="T433" s="39"/>
      <c r="U433" s="39">
        <v>0.17</v>
      </c>
      <c r="V433" s="39">
        <v>1</v>
      </c>
      <c r="W433" s="39"/>
      <c r="X433" s="49" t="s">
        <v>51</v>
      </c>
      <c r="Y433" s="50">
        <v>21017.745</v>
      </c>
      <c r="Z433" s="51">
        <v>21000</v>
      </c>
      <c r="AA433" s="52">
        <f t="shared" ref="AA433:AA450" si="16">IFERROR(Z433/Y433,0)</f>
        <v>0.999155713422158</v>
      </c>
      <c r="AB433" s="12">
        <v>21000</v>
      </c>
      <c r="AC433" s="12">
        <v>0</v>
      </c>
      <c r="AD433" s="43"/>
      <c r="AE433" s="43"/>
      <c r="AF433" s="43"/>
      <c r="AG433" s="43"/>
      <c r="AH433" s="43"/>
      <c r="AI433" s="43"/>
      <c r="AJ433" s="43"/>
      <c r="AK433" s="43"/>
      <c r="AL433" s="43"/>
      <c r="AM433" s="43"/>
      <c r="AN433" s="43"/>
      <c r="AO433" s="43"/>
      <c r="AP433" s="43"/>
      <c r="AQ433" s="43"/>
      <c r="AR433" s="43"/>
      <c r="AS433" s="43"/>
      <c r="AT433" s="43"/>
      <c r="AU433" s="43"/>
      <c r="AV433" s="43"/>
    </row>
    <row r="434" ht="15.75" spans="1:48">
      <c r="A434" s="12">
        <v>430</v>
      </c>
      <c r="B434" s="44">
        <v>3353</v>
      </c>
      <c r="C434" s="45" t="s">
        <v>48</v>
      </c>
      <c r="D434" s="46" t="s">
        <v>112</v>
      </c>
      <c r="E434" s="47" t="s">
        <v>50</v>
      </c>
      <c r="F434" s="48">
        <v>5.67</v>
      </c>
      <c r="G434" s="38">
        <v>6.34</v>
      </c>
      <c r="H434" s="39"/>
      <c r="I434" s="39"/>
      <c r="J434" s="39"/>
      <c r="K434" s="39"/>
      <c r="L434" s="39"/>
      <c r="M434" s="39"/>
      <c r="N434" s="39"/>
      <c r="O434" s="39"/>
      <c r="P434" s="39"/>
      <c r="Q434" s="39">
        <v>1.17</v>
      </c>
      <c r="R434" s="39"/>
      <c r="S434" s="39">
        <v>5</v>
      </c>
      <c r="T434" s="39"/>
      <c r="U434" s="39">
        <v>0.17</v>
      </c>
      <c r="V434" s="39"/>
      <c r="W434" s="39"/>
      <c r="X434" s="49" t="s">
        <v>190</v>
      </c>
      <c r="Y434" s="50">
        <v>5103</v>
      </c>
      <c r="Z434" s="51">
        <v>4800</v>
      </c>
      <c r="AA434" s="52">
        <f t="shared" si="16"/>
        <v>0.940623162845385</v>
      </c>
      <c r="AB434" s="12">
        <v>4800</v>
      </c>
      <c r="AC434" s="12">
        <v>0</v>
      </c>
      <c r="AD434" s="43"/>
      <c r="AE434" s="43"/>
      <c r="AF434" s="43"/>
      <c r="AG434" s="43"/>
      <c r="AH434" s="43"/>
      <c r="AI434" s="43"/>
      <c r="AJ434" s="43"/>
      <c r="AK434" s="43"/>
      <c r="AL434" s="43"/>
      <c r="AM434" s="43"/>
      <c r="AN434" s="43"/>
      <c r="AO434" s="43"/>
      <c r="AP434" s="43"/>
      <c r="AQ434" s="43"/>
      <c r="AR434" s="43"/>
      <c r="AS434" s="43"/>
      <c r="AT434" s="43"/>
      <c r="AU434" s="43"/>
      <c r="AV434" s="43"/>
    </row>
    <row r="435" ht="15.75" spans="1:48">
      <c r="A435" s="12">
        <v>431</v>
      </c>
      <c r="B435" s="44">
        <v>2516</v>
      </c>
      <c r="C435" s="45" t="s">
        <v>189</v>
      </c>
      <c r="D435" s="46" t="s">
        <v>53</v>
      </c>
      <c r="E435" s="47" t="s">
        <v>50</v>
      </c>
      <c r="F435" s="48">
        <v>10.33</v>
      </c>
      <c r="G435" s="38">
        <v>1.67</v>
      </c>
      <c r="H435" s="39"/>
      <c r="I435" s="39"/>
      <c r="J435" s="39"/>
      <c r="K435" s="39"/>
      <c r="L435" s="39"/>
      <c r="M435" s="39"/>
      <c r="N435" s="39"/>
      <c r="O435" s="39"/>
      <c r="P435" s="39"/>
      <c r="Q435" s="39">
        <v>1.17</v>
      </c>
      <c r="R435" s="39"/>
      <c r="S435" s="39">
        <v>0.33</v>
      </c>
      <c r="T435" s="39"/>
      <c r="U435" s="39">
        <v>0.17</v>
      </c>
      <c r="V435" s="39"/>
      <c r="W435" s="39"/>
      <c r="X435" s="49" t="s">
        <v>55</v>
      </c>
      <c r="Y435" s="50">
        <v>24946.95</v>
      </c>
      <c r="Z435" s="51">
        <v>25446</v>
      </c>
      <c r="AA435" s="52">
        <f t="shared" si="16"/>
        <v>1.02000444944172</v>
      </c>
      <c r="AB435" s="12">
        <v>25440</v>
      </c>
      <c r="AC435" s="12">
        <v>6</v>
      </c>
      <c r="AD435" s="43"/>
      <c r="AE435" s="43"/>
      <c r="AF435" s="43"/>
      <c r="AG435" s="43"/>
      <c r="AH435" s="43"/>
      <c r="AI435" s="43"/>
      <c r="AJ435" s="43"/>
      <c r="AK435" s="43"/>
      <c r="AL435" s="43"/>
      <c r="AM435" s="43"/>
      <c r="AN435" s="19">
        <v>6</v>
      </c>
      <c r="AO435" s="43"/>
      <c r="AP435" s="43"/>
      <c r="AQ435" s="43"/>
      <c r="AR435" s="43"/>
      <c r="AS435" s="43"/>
      <c r="AT435" s="43"/>
      <c r="AU435" s="43"/>
      <c r="AV435" s="43"/>
    </row>
    <row r="436" ht="15.75" spans="1:48">
      <c r="A436" s="12">
        <v>432</v>
      </c>
      <c r="B436" s="44">
        <v>3526</v>
      </c>
      <c r="C436" s="45" t="s">
        <v>65</v>
      </c>
      <c r="D436" s="46"/>
      <c r="E436" s="47" t="s">
        <v>50</v>
      </c>
      <c r="F436" s="48">
        <v>10.83</v>
      </c>
      <c r="G436" s="38">
        <v>1.17</v>
      </c>
      <c r="H436" s="39"/>
      <c r="I436" s="39"/>
      <c r="J436" s="39"/>
      <c r="K436" s="39"/>
      <c r="L436" s="39"/>
      <c r="M436" s="39"/>
      <c r="N436" s="39"/>
      <c r="O436" s="39"/>
      <c r="P436" s="39"/>
      <c r="Q436" s="39">
        <v>1.17</v>
      </c>
      <c r="R436" s="39"/>
      <c r="S436" s="39"/>
      <c r="T436" s="39"/>
      <c r="U436" s="39"/>
      <c r="V436" s="39"/>
      <c r="W436" s="39"/>
      <c r="X436" s="49" t="s">
        <v>191</v>
      </c>
      <c r="Y436" s="50">
        <v>3628.05</v>
      </c>
      <c r="Z436" s="51">
        <v>3400</v>
      </c>
      <c r="AA436" s="52">
        <f t="shared" si="16"/>
        <v>0.937142542136961</v>
      </c>
      <c r="AB436" s="12">
        <v>3400</v>
      </c>
      <c r="AC436" s="12">
        <v>0</v>
      </c>
      <c r="AD436" s="43"/>
      <c r="AE436" s="43"/>
      <c r="AF436" s="43"/>
      <c r="AG436" s="43"/>
      <c r="AH436" s="43"/>
      <c r="AI436" s="43"/>
      <c r="AJ436" s="43"/>
      <c r="AK436" s="43"/>
      <c r="AL436" s="43"/>
      <c r="AM436" s="43"/>
      <c r="AN436" s="43"/>
      <c r="AO436" s="43"/>
      <c r="AP436" s="43"/>
      <c r="AQ436" s="43"/>
      <c r="AR436" s="43"/>
      <c r="AS436" s="43"/>
      <c r="AT436" s="43"/>
      <c r="AU436" s="43"/>
      <c r="AV436" s="43"/>
    </row>
    <row r="437" ht="15.75" spans="1:48">
      <c r="A437" s="12">
        <v>433</v>
      </c>
      <c r="B437" s="44">
        <v>2284</v>
      </c>
      <c r="C437" s="45" t="s">
        <v>59</v>
      </c>
      <c r="D437" s="46"/>
      <c r="E437" s="47" t="s">
        <v>50</v>
      </c>
      <c r="F437" s="48">
        <v>2.17</v>
      </c>
      <c r="G437" s="38">
        <v>9.84</v>
      </c>
      <c r="H437" s="39"/>
      <c r="I437" s="39"/>
      <c r="J437" s="39"/>
      <c r="K437" s="39"/>
      <c r="L437" s="39"/>
      <c r="M437" s="39"/>
      <c r="N437" s="39"/>
      <c r="O437" s="39"/>
      <c r="P437" s="39"/>
      <c r="Q437" s="39">
        <v>1.17</v>
      </c>
      <c r="R437" s="39"/>
      <c r="S437" s="39">
        <v>8.67</v>
      </c>
      <c r="T437" s="39"/>
      <c r="U437" s="39"/>
      <c r="V437" s="39"/>
      <c r="W437" s="39"/>
      <c r="X437" s="49">
        <v>2168</v>
      </c>
      <c r="Y437" s="50">
        <v>1302</v>
      </c>
      <c r="Z437" s="51">
        <v>1400</v>
      </c>
      <c r="AA437" s="52">
        <f t="shared" si="16"/>
        <v>1.0752688172043</v>
      </c>
      <c r="AB437" s="12">
        <v>1400</v>
      </c>
      <c r="AC437" s="12">
        <v>0</v>
      </c>
      <c r="AD437" s="43"/>
      <c r="AE437" s="43"/>
      <c r="AF437" s="43"/>
      <c r="AG437" s="43"/>
      <c r="AH437" s="43"/>
      <c r="AI437" s="43"/>
      <c r="AJ437" s="43"/>
      <c r="AK437" s="43"/>
      <c r="AL437" s="43"/>
      <c r="AM437" s="43"/>
      <c r="AN437" s="43"/>
      <c r="AO437" s="43"/>
      <c r="AP437" s="43"/>
      <c r="AQ437" s="43"/>
      <c r="AR437" s="43"/>
      <c r="AS437" s="43"/>
      <c r="AT437" s="43"/>
      <c r="AU437" s="43"/>
      <c r="AV437" s="43"/>
    </row>
    <row r="438" ht="15.75" spans="1:48">
      <c r="A438" s="12">
        <v>434</v>
      </c>
      <c r="B438" s="44">
        <v>834</v>
      </c>
      <c r="C438" s="45" t="s">
        <v>61</v>
      </c>
      <c r="D438" s="46"/>
      <c r="E438" s="47" t="s">
        <v>50</v>
      </c>
      <c r="F438" s="48">
        <v>4.67</v>
      </c>
      <c r="G438" s="38">
        <v>2.67</v>
      </c>
      <c r="H438" s="39"/>
      <c r="I438" s="39"/>
      <c r="J438" s="39"/>
      <c r="K438" s="39"/>
      <c r="L438" s="39"/>
      <c r="M438" s="39"/>
      <c r="N438" s="39"/>
      <c r="O438" s="39"/>
      <c r="P438" s="39"/>
      <c r="Q438" s="39">
        <v>1.17</v>
      </c>
      <c r="R438" s="39"/>
      <c r="S438" s="39">
        <v>1.5</v>
      </c>
      <c r="T438" s="39"/>
      <c r="U438" s="39"/>
      <c r="V438" s="39"/>
      <c r="W438" s="39"/>
      <c r="X438" s="49" t="s">
        <v>63</v>
      </c>
      <c r="Y438" s="50">
        <v>840.6</v>
      </c>
      <c r="Z438" s="51">
        <v>850</v>
      </c>
      <c r="AA438" s="52">
        <f t="shared" si="16"/>
        <v>1.01118248869855</v>
      </c>
      <c r="AB438" s="12">
        <v>850</v>
      </c>
      <c r="AC438" s="12">
        <v>0</v>
      </c>
      <c r="AD438" s="43"/>
      <c r="AE438" s="43"/>
      <c r="AF438" s="43"/>
      <c r="AG438" s="43"/>
      <c r="AH438" s="43"/>
      <c r="AI438" s="43"/>
      <c r="AJ438" s="43"/>
      <c r="AK438" s="43"/>
      <c r="AL438" s="43"/>
      <c r="AM438" s="43"/>
      <c r="AN438" s="43"/>
      <c r="AO438" s="43"/>
      <c r="AP438" s="43"/>
      <c r="AQ438" s="43"/>
      <c r="AR438" s="43"/>
      <c r="AS438" s="43"/>
      <c r="AT438" s="43"/>
      <c r="AU438" s="43"/>
      <c r="AV438" s="43"/>
    </row>
    <row r="439" ht="15.75" spans="1:48">
      <c r="A439" s="12">
        <v>435</v>
      </c>
      <c r="B439" s="44">
        <v>834</v>
      </c>
      <c r="C439" s="45" t="s">
        <v>61</v>
      </c>
      <c r="D439" s="46"/>
      <c r="E439" s="47" t="s">
        <v>50</v>
      </c>
      <c r="F439" s="48">
        <v>4.67</v>
      </c>
      <c r="G439" s="38">
        <v>0</v>
      </c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49" t="s">
        <v>62</v>
      </c>
      <c r="Y439" s="50">
        <v>840.6</v>
      </c>
      <c r="Z439" s="51">
        <v>850</v>
      </c>
      <c r="AA439" s="52">
        <f t="shared" si="16"/>
        <v>1.01118248869855</v>
      </c>
      <c r="AB439" s="12">
        <v>850</v>
      </c>
      <c r="AC439" s="12">
        <v>0</v>
      </c>
      <c r="AD439" s="43"/>
      <c r="AE439" s="43"/>
      <c r="AF439" s="43"/>
      <c r="AG439" s="43"/>
      <c r="AH439" s="43"/>
      <c r="AI439" s="43"/>
      <c r="AJ439" s="43"/>
      <c r="AK439" s="43"/>
      <c r="AL439" s="43"/>
      <c r="AM439" s="43"/>
      <c r="AN439" s="43"/>
      <c r="AO439" s="43"/>
      <c r="AP439" s="43"/>
      <c r="AQ439" s="43"/>
      <c r="AR439" s="43"/>
      <c r="AS439" s="43"/>
      <c r="AT439" s="43"/>
      <c r="AU439" s="43"/>
      <c r="AV439" s="43"/>
    </row>
    <row r="440" ht="15.75" spans="1:48">
      <c r="A440" s="12">
        <v>436</v>
      </c>
      <c r="B440" s="44">
        <v>4424</v>
      </c>
      <c r="C440" s="45" t="s">
        <v>115</v>
      </c>
      <c r="D440" s="46">
        <v>1</v>
      </c>
      <c r="E440" s="47" t="s">
        <v>50</v>
      </c>
      <c r="F440" s="48">
        <v>3.83</v>
      </c>
      <c r="G440" s="38">
        <v>0.17</v>
      </c>
      <c r="H440" s="39"/>
      <c r="I440" s="39"/>
      <c r="J440" s="39"/>
      <c r="K440" s="39"/>
      <c r="L440" s="39"/>
      <c r="M440" s="39"/>
      <c r="N440" s="39"/>
      <c r="O440" s="39"/>
      <c r="P440" s="39"/>
      <c r="Q440" s="39">
        <v>0.17</v>
      </c>
      <c r="R440" s="39"/>
      <c r="S440" s="39"/>
      <c r="T440" s="39"/>
      <c r="U440" s="39"/>
      <c r="V440" s="39"/>
      <c r="W440" s="39"/>
      <c r="X440" s="49" t="s">
        <v>58</v>
      </c>
      <c r="Y440" s="50">
        <v>1340.5</v>
      </c>
      <c r="Z440" s="51">
        <v>1300</v>
      </c>
      <c r="AA440" s="52">
        <f t="shared" si="16"/>
        <v>0.969787392763894</v>
      </c>
      <c r="AB440" s="12">
        <v>1300</v>
      </c>
      <c r="AC440" s="12">
        <v>0</v>
      </c>
      <c r="AD440" s="43"/>
      <c r="AE440" s="43"/>
      <c r="AF440" s="43"/>
      <c r="AG440" s="43"/>
      <c r="AH440" s="43"/>
      <c r="AI440" s="43"/>
      <c r="AJ440" s="43"/>
      <c r="AK440" s="43"/>
      <c r="AL440" s="43"/>
      <c r="AM440" s="43"/>
      <c r="AN440" s="43"/>
      <c r="AO440" s="43"/>
      <c r="AP440" s="43"/>
      <c r="AQ440" s="43"/>
      <c r="AR440" s="43"/>
      <c r="AS440" s="43"/>
      <c r="AT440" s="43"/>
      <c r="AU440" s="43"/>
      <c r="AV440" s="43"/>
    </row>
    <row r="441" ht="15.75" spans="1:48">
      <c r="A441" s="12">
        <v>437</v>
      </c>
      <c r="B441" s="44">
        <v>698</v>
      </c>
      <c r="C441" s="45" t="s">
        <v>68</v>
      </c>
      <c r="D441" s="46"/>
      <c r="E441" s="47" t="s">
        <v>50</v>
      </c>
      <c r="F441" s="48">
        <v>7</v>
      </c>
      <c r="G441" s="38">
        <v>1</v>
      </c>
      <c r="H441" s="39"/>
      <c r="I441" s="39"/>
      <c r="J441" s="39"/>
      <c r="K441" s="39"/>
      <c r="L441" s="39"/>
      <c r="M441" s="39"/>
      <c r="N441" s="39"/>
      <c r="O441" s="39"/>
      <c r="P441" s="39"/>
      <c r="Q441" s="39">
        <v>0.83</v>
      </c>
      <c r="R441" s="39"/>
      <c r="S441" s="39"/>
      <c r="T441" s="39"/>
      <c r="U441" s="39">
        <v>0.17</v>
      </c>
      <c r="V441" s="39"/>
      <c r="W441" s="39"/>
      <c r="X441" s="49" t="s">
        <v>69</v>
      </c>
      <c r="Y441" s="50">
        <v>3570</v>
      </c>
      <c r="Z441" s="51">
        <v>3645</v>
      </c>
      <c r="AA441" s="52">
        <f t="shared" si="16"/>
        <v>1.02100840336134</v>
      </c>
      <c r="AB441" s="12">
        <v>3645</v>
      </c>
      <c r="AC441" s="12">
        <v>0</v>
      </c>
      <c r="AD441" s="43"/>
      <c r="AE441" s="43"/>
      <c r="AF441" s="43"/>
      <c r="AG441" s="43"/>
      <c r="AH441" s="43"/>
      <c r="AI441" s="43"/>
      <c r="AJ441" s="43"/>
      <c r="AK441" s="43"/>
      <c r="AL441" s="43"/>
      <c r="AM441" s="43"/>
      <c r="AN441" s="43"/>
      <c r="AO441" s="43"/>
      <c r="AP441" s="43"/>
      <c r="AQ441" s="43"/>
      <c r="AR441" s="43"/>
      <c r="AS441" s="43"/>
      <c r="AT441" s="43"/>
      <c r="AU441" s="43"/>
      <c r="AV441" s="43"/>
    </row>
    <row r="442" ht="15.75" spans="1:48">
      <c r="A442" s="12">
        <v>438</v>
      </c>
      <c r="B442" s="44">
        <v>4031</v>
      </c>
      <c r="C442" s="45" t="s">
        <v>64</v>
      </c>
      <c r="D442" s="46">
        <v>9</v>
      </c>
      <c r="E442" s="47" t="s">
        <v>50</v>
      </c>
      <c r="F442" s="48">
        <v>10.67</v>
      </c>
      <c r="G442" s="38">
        <v>1.34</v>
      </c>
      <c r="H442" s="39"/>
      <c r="I442" s="39"/>
      <c r="J442" s="39"/>
      <c r="K442" s="39"/>
      <c r="L442" s="39"/>
      <c r="M442" s="39"/>
      <c r="N442" s="39"/>
      <c r="O442" s="39"/>
      <c r="P442" s="39"/>
      <c r="Q442" s="39">
        <v>1.17</v>
      </c>
      <c r="R442" s="39"/>
      <c r="S442" s="39"/>
      <c r="T442" s="39"/>
      <c r="U442" s="39">
        <v>0.17</v>
      </c>
      <c r="V442" s="39"/>
      <c r="W442" s="39"/>
      <c r="X442" s="49">
        <v>9140</v>
      </c>
      <c r="Y442" s="50">
        <v>5335</v>
      </c>
      <c r="Z442" s="51">
        <v>4320</v>
      </c>
      <c r="AA442" s="52">
        <f t="shared" si="16"/>
        <v>0.809746954076851</v>
      </c>
      <c r="AB442" s="12">
        <v>4320</v>
      </c>
      <c r="AC442" s="12">
        <v>0</v>
      </c>
      <c r="AD442" s="43"/>
      <c r="AE442" s="43"/>
      <c r="AF442" s="43"/>
      <c r="AG442" s="43"/>
      <c r="AH442" s="43"/>
      <c r="AI442" s="43"/>
      <c r="AJ442" s="43"/>
      <c r="AK442" s="43"/>
      <c r="AL442" s="43"/>
      <c r="AM442" s="43"/>
      <c r="AN442" s="43"/>
      <c r="AO442" s="43"/>
      <c r="AP442" s="43"/>
      <c r="AQ442" s="43"/>
      <c r="AR442" s="43"/>
      <c r="AS442" s="43"/>
      <c r="AT442" s="43"/>
      <c r="AU442" s="43"/>
      <c r="AV442" s="43"/>
    </row>
    <row r="443" ht="15.75" spans="1:48">
      <c r="A443" s="12">
        <v>439</v>
      </c>
      <c r="B443" s="44">
        <v>3352</v>
      </c>
      <c r="C443" s="45" t="s">
        <v>66</v>
      </c>
      <c r="D443" s="46"/>
      <c r="E443" s="47" t="s">
        <v>50</v>
      </c>
      <c r="F443" s="48">
        <v>10.83</v>
      </c>
      <c r="G443" s="38">
        <v>1.17</v>
      </c>
      <c r="H443" s="39"/>
      <c r="I443" s="39"/>
      <c r="J443" s="39"/>
      <c r="K443" s="39"/>
      <c r="L443" s="39"/>
      <c r="M443" s="39"/>
      <c r="N443" s="39"/>
      <c r="O443" s="39"/>
      <c r="P443" s="39"/>
      <c r="Q443" s="39">
        <v>1.17</v>
      </c>
      <c r="R443" s="39"/>
      <c r="S443" s="39"/>
      <c r="T443" s="39"/>
      <c r="U443" s="39"/>
      <c r="V443" s="39"/>
      <c r="W443" s="39"/>
      <c r="X443" s="49" t="s">
        <v>67</v>
      </c>
      <c r="Y443" s="50">
        <v>2707.5</v>
      </c>
      <c r="Z443" s="51">
        <v>2600</v>
      </c>
      <c r="AA443" s="52">
        <f t="shared" si="16"/>
        <v>0.960295475530933</v>
      </c>
      <c r="AB443" s="12">
        <v>2600</v>
      </c>
      <c r="AC443" s="12">
        <v>0</v>
      </c>
      <c r="AD443" s="43"/>
      <c r="AE443" s="43"/>
      <c r="AF443" s="43"/>
      <c r="AG443" s="43"/>
      <c r="AH443" s="43"/>
      <c r="AI443" s="43"/>
      <c r="AJ443" s="43"/>
      <c r="AK443" s="43"/>
      <c r="AL443" s="43"/>
      <c r="AM443" s="43"/>
      <c r="AN443" s="43"/>
      <c r="AO443" s="43"/>
      <c r="AP443" s="43"/>
      <c r="AQ443" s="43"/>
      <c r="AR443" s="43"/>
      <c r="AS443" s="43"/>
      <c r="AT443" s="43"/>
      <c r="AU443" s="43"/>
      <c r="AV443" s="43"/>
    </row>
    <row r="444" ht="15.75" spans="1:48">
      <c r="A444" s="12">
        <v>440</v>
      </c>
      <c r="B444" s="44">
        <v>845</v>
      </c>
      <c r="C444" s="45" t="s">
        <v>70</v>
      </c>
      <c r="D444" s="46"/>
      <c r="E444" s="47" t="s">
        <v>50</v>
      </c>
      <c r="F444" s="48">
        <v>6</v>
      </c>
      <c r="G444" s="38">
        <v>2.18</v>
      </c>
      <c r="H444" s="39"/>
      <c r="I444" s="39"/>
      <c r="J444" s="39"/>
      <c r="K444" s="39"/>
      <c r="L444" s="39"/>
      <c r="M444" s="39"/>
      <c r="N444" s="39"/>
      <c r="O444" s="39"/>
      <c r="P444" s="39"/>
      <c r="Q444" s="39">
        <v>1.17</v>
      </c>
      <c r="R444" s="39"/>
      <c r="S444" s="39">
        <v>0.67</v>
      </c>
      <c r="T444" s="39">
        <v>0.17</v>
      </c>
      <c r="U444" s="39">
        <v>0.17</v>
      </c>
      <c r="V444" s="39"/>
      <c r="W444" s="39"/>
      <c r="X444" s="49" t="s">
        <v>194</v>
      </c>
      <c r="Y444" s="50">
        <v>2010</v>
      </c>
      <c r="Z444" s="51">
        <v>2040</v>
      </c>
      <c r="AA444" s="52">
        <f t="shared" si="16"/>
        <v>1.01492537313433</v>
      </c>
      <c r="AB444" s="12">
        <v>1917</v>
      </c>
      <c r="AC444" s="12">
        <v>123</v>
      </c>
      <c r="AD444" s="19">
        <v>123</v>
      </c>
      <c r="AE444" s="43"/>
      <c r="AF444" s="43"/>
      <c r="AG444" s="43"/>
      <c r="AH444" s="43"/>
      <c r="AI444" s="43"/>
      <c r="AJ444" s="43"/>
      <c r="AK444" s="43"/>
      <c r="AL444" s="43"/>
      <c r="AM444" s="43"/>
      <c r="AN444" s="43"/>
      <c r="AO444" s="43"/>
      <c r="AP444" s="43"/>
      <c r="AQ444" s="43"/>
      <c r="AR444" s="43"/>
      <c r="AS444" s="43"/>
      <c r="AT444" s="43"/>
      <c r="AU444" s="43"/>
      <c r="AV444" s="43"/>
    </row>
    <row r="445" ht="15.75" spans="1:48">
      <c r="A445" s="12">
        <v>441</v>
      </c>
      <c r="B445" s="44">
        <v>845</v>
      </c>
      <c r="C445" s="45" t="s">
        <v>70</v>
      </c>
      <c r="D445" s="46"/>
      <c r="E445" s="47" t="s">
        <v>50</v>
      </c>
      <c r="F445" s="48">
        <v>1.915</v>
      </c>
      <c r="G445" s="38">
        <v>0</v>
      </c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49" t="s">
        <v>63</v>
      </c>
      <c r="Y445" s="50">
        <v>344.7</v>
      </c>
      <c r="Z445" s="51">
        <v>350</v>
      </c>
      <c r="AA445" s="52">
        <f t="shared" si="16"/>
        <v>1.01537568900493</v>
      </c>
      <c r="AB445" s="12">
        <v>350</v>
      </c>
      <c r="AC445" s="12">
        <v>0</v>
      </c>
      <c r="AD445" s="43"/>
      <c r="AE445" s="43"/>
      <c r="AF445" s="43"/>
      <c r="AG445" s="43"/>
      <c r="AH445" s="43"/>
      <c r="AI445" s="43"/>
      <c r="AJ445" s="43"/>
      <c r="AK445" s="43"/>
      <c r="AL445" s="43"/>
      <c r="AM445" s="43"/>
      <c r="AN445" s="43"/>
      <c r="AO445" s="43"/>
      <c r="AP445" s="43"/>
      <c r="AQ445" s="43"/>
      <c r="AR445" s="43"/>
      <c r="AS445" s="43"/>
      <c r="AT445" s="43"/>
      <c r="AU445" s="43"/>
      <c r="AV445" s="43"/>
    </row>
    <row r="446" ht="15.75" spans="1:48">
      <c r="A446" s="12">
        <v>442</v>
      </c>
      <c r="B446" s="44">
        <v>845</v>
      </c>
      <c r="C446" s="45" t="s">
        <v>70</v>
      </c>
      <c r="D446" s="46"/>
      <c r="E446" s="47" t="s">
        <v>50</v>
      </c>
      <c r="F446" s="48">
        <v>1.915</v>
      </c>
      <c r="G446" s="38">
        <v>0</v>
      </c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49" t="s">
        <v>62</v>
      </c>
      <c r="Y446" s="50">
        <v>344.7</v>
      </c>
      <c r="Z446" s="51">
        <v>350</v>
      </c>
      <c r="AA446" s="52">
        <f t="shared" si="16"/>
        <v>1.01537568900493</v>
      </c>
      <c r="AB446" s="12">
        <v>350</v>
      </c>
      <c r="AC446" s="12">
        <v>0</v>
      </c>
      <c r="AD446" s="43"/>
      <c r="AE446" s="43"/>
      <c r="AF446" s="43"/>
      <c r="AG446" s="43"/>
      <c r="AH446" s="43"/>
      <c r="AI446" s="43"/>
      <c r="AJ446" s="43"/>
      <c r="AK446" s="43"/>
      <c r="AL446" s="43"/>
      <c r="AM446" s="43"/>
      <c r="AN446" s="43"/>
      <c r="AO446" s="43"/>
      <c r="AP446" s="43"/>
      <c r="AQ446" s="43"/>
      <c r="AR446" s="43"/>
      <c r="AS446" s="43"/>
      <c r="AT446" s="43"/>
      <c r="AU446" s="43"/>
      <c r="AV446" s="43"/>
    </row>
    <row r="447" ht="15.75" spans="1:48">
      <c r="A447" s="12">
        <v>443</v>
      </c>
      <c r="B447" s="44">
        <v>3187</v>
      </c>
      <c r="C447" s="45" t="s">
        <v>52</v>
      </c>
      <c r="D447" s="46">
        <v>19</v>
      </c>
      <c r="E447" s="47" t="s">
        <v>50</v>
      </c>
      <c r="F447" s="48">
        <v>3</v>
      </c>
      <c r="G447" s="38">
        <v>1.17</v>
      </c>
      <c r="H447" s="39"/>
      <c r="I447" s="39"/>
      <c r="J447" s="39"/>
      <c r="K447" s="39"/>
      <c r="L447" s="39"/>
      <c r="M447" s="39"/>
      <c r="N447" s="39"/>
      <c r="O447" s="39"/>
      <c r="P447" s="39"/>
      <c r="Q447" s="39">
        <v>1.17</v>
      </c>
      <c r="R447" s="39"/>
      <c r="S447" s="39"/>
      <c r="T447" s="39"/>
      <c r="U447" s="39"/>
      <c r="V447" s="39"/>
      <c r="W447" s="39"/>
      <c r="X447" s="49" t="s">
        <v>226</v>
      </c>
      <c r="Y447" s="50">
        <v>1005</v>
      </c>
      <c r="Z447" s="51">
        <v>1040</v>
      </c>
      <c r="AA447" s="52">
        <f t="shared" si="16"/>
        <v>1.03482587064677</v>
      </c>
      <c r="AB447" s="12">
        <v>1040</v>
      </c>
      <c r="AC447" s="12">
        <v>0</v>
      </c>
      <c r="AD447" s="43"/>
      <c r="AE447" s="43"/>
      <c r="AF447" s="43"/>
      <c r="AG447" s="43"/>
      <c r="AH447" s="43"/>
      <c r="AI447" s="43"/>
      <c r="AJ447" s="43"/>
      <c r="AK447" s="43"/>
      <c r="AL447" s="43"/>
      <c r="AM447" s="43"/>
      <c r="AN447" s="43"/>
      <c r="AO447" s="43"/>
      <c r="AP447" s="43"/>
      <c r="AQ447" s="43"/>
      <c r="AR447" s="43"/>
      <c r="AS447" s="43"/>
      <c r="AT447" s="43"/>
      <c r="AU447" s="43"/>
      <c r="AV447" s="43"/>
    </row>
    <row r="448" ht="15.75" spans="1:48">
      <c r="A448" s="12">
        <v>444</v>
      </c>
      <c r="B448" s="44">
        <v>3187</v>
      </c>
      <c r="C448" s="45" t="s">
        <v>52</v>
      </c>
      <c r="D448" s="46">
        <v>19</v>
      </c>
      <c r="E448" s="47" t="s">
        <v>50</v>
      </c>
      <c r="F448" s="48">
        <v>7.33</v>
      </c>
      <c r="G448" s="38">
        <v>0.34</v>
      </c>
      <c r="H448" s="39"/>
      <c r="I448" s="39"/>
      <c r="J448" s="39">
        <v>0.17</v>
      </c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>
        <v>0.17</v>
      </c>
      <c r="V448" s="39"/>
      <c r="W448" s="39"/>
      <c r="X448" s="49" t="s">
        <v>194</v>
      </c>
      <c r="Y448" s="50">
        <v>2455.55</v>
      </c>
      <c r="Z448" s="51">
        <v>2460</v>
      </c>
      <c r="AA448" s="52">
        <f t="shared" si="16"/>
        <v>1.00181222129462</v>
      </c>
      <c r="AB448" s="12">
        <v>2460</v>
      </c>
      <c r="AC448" s="12">
        <v>0</v>
      </c>
      <c r="AD448" s="43"/>
      <c r="AE448" s="43"/>
      <c r="AF448" s="43"/>
      <c r="AG448" s="43"/>
      <c r="AH448" s="43"/>
      <c r="AI448" s="43"/>
      <c r="AJ448" s="43"/>
      <c r="AK448" s="43"/>
      <c r="AL448" s="43"/>
      <c r="AM448" s="43"/>
      <c r="AN448" s="43"/>
      <c r="AO448" s="43"/>
      <c r="AP448" s="43"/>
      <c r="AQ448" s="43"/>
      <c r="AR448" s="43"/>
      <c r="AS448" s="43"/>
      <c r="AT448" s="43"/>
      <c r="AU448" s="43"/>
      <c r="AV448" s="43"/>
    </row>
    <row r="449" ht="15.75" spans="1:48">
      <c r="A449" s="12">
        <v>445</v>
      </c>
      <c r="B449" s="44">
        <v>4478</v>
      </c>
      <c r="C449" s="45" t="s">
        <v>128</v>
      </c>
      <c r="D449" s="46" t="s">
        <v>129</v>
      </c>
      <c r="E449" s="47" t="s">
        <v>209</v>
      </c>
      <c r="F449" s="48">
        <v>10.67</v>
      </c>
      <c r="G449" s="38">
        <v>1.34</v>
      </c>
      <c r="H449" s="39"/>
      <c r="I449" s="39"/>
      <c r="J449" s="39"/>
      <c r="K449" s="39"/>
      <c r="L449" s="39"/>
      <c r="M449" s="39"/>
      <c r="N449" s="39"/>
      <c r="O449" s="39"/>
      <c r="P449" s="39"/>
      <c r="Q449" s="39">
        <v>1.17</v>
      </c>
      <c r="R449" s="39"/>
      <c r="S449" s="39"/>
      <c r="T449" s="39"/>
      <c r="U449" s="39">
        <v>0.17</v>
      </c>
      <c r="V449" s="39"/>
      <c r="W449" s="39"/>
      <c r="X449" s="49" t="s">
        <v>220</v>
      </c>
      <c r="Y449" s="50">
        <v>17285.4</v>
      </c>
      <c r="Z449" s="51">
        <v>13824</v>
      </c>
      <c r="AA449" s="52">
        <f t="shared" si="16"/>
        <v>0.799750078100594</v>
      </c>
      <c r="AB449" s="12">
        <v>13810</v>
      </c>
      <c r="AC449" s="12">
        <v>14</v>
      </c>
      <c r="AD449" s="43"/>
      <c r="AE449" s="43"/>
      <c r="AF449" s="43"/>
      <c r="AG449" s="19">
        <v>14</v>
      </c>
      <c r="AH449" s="43"/>
      <c r="AI449" s="43"/>
      <c r="AJ449" s="43"/>
      <c r="AK449" s="43"/>
      <c r="AL449" s="43"/>
      <c r="AM449" s="43"/>
      <c r="AN449" s="43"/>
      <c r="AO449" s="43"/>
      <c r="AP449" s="43"/>
      <c r="AQ449" s="43"/>
      <c r="AR449" s="43"/>
      <c r="AS449" s="43"/>
      <c r="AT449" s="43"/>
      <c r="AU449" s="43"/>
      <c r="AV449" s="43"/>
    </row>
    <row r="450" ht="15.75" spans="1:48">
      <c r="A450" s="12">
        <v>446</v>
      </c>
      <c r="B450" s="44">
        <v>4173</v>
      </c>
      <c r="C450" s="45" t="s">
        <v>75</v>
      </c>
      <c r="D450" s="46" t="s">
        <v>81</v>
      </c>
      <c r="E450" s="47" t="s">
        <v>50</v>
      </c>
      <c r="F450" s="48">
        <v>10.17</v>
      </c>
      <c r="G450" s="38">
        <v>1.83</v>
      </c>
      <c r="H450" s="39"/>
      <c r="I450" s="39"/>
      <c r="J450" s="39"/>
      <c r="K450" s="39">
        <v>0.33</v>
      </c>
      <c r="L450" s="39"/>
      <c r="M450" s="39"/>
      <c r="N450" s="39"/>
      <c r="O450" s="39"/>
      <c r="P450" s="39"/>
      <c r="Q450" s="39">
        <v>1.17</v>
      </c>
      <c r="R450" s="39"/>
      <c r="S450" s="39"/>
      <c r="T450" s="39"/>
      <c r="U450" s="39">
        <v>0.33</v>
      </c>
      <c r="V450" s="39"/>
      <c r="W450" s="39"/>
      <c r="X450" s="49" t="s">
        <v>210</v>
      </c>
      <c r="Y450" s="50">
        <v>16526.25</v>
      </c>
      <c r="Z450" s="51">
        <v>16400</v>
      </c>
      <c r="AA450" s="52">
        <f t="shared" si="16"/>
        <v>0.992360638378338</v>
      </c>
      <c r="AB450" s="12">
        <v>16358</v>
      </c>
      <c r="AC450" s="12">
        <v>42</v>
      </c>
      <c r="AD450" s="43"/>
      <c r="AE450" s="43"/>
      <c r="AF450" s="43"/>
      <c r="AG450" s="19">
        <v>42</v>
      </c>
      <c r="AH450" s="43"/>
      <c r="AI450" s="43"/>
      <c r="AJ450" s="43"/>
      <c r="AK450" s="43"/>
      <c r="AL450" s="43"/>
      <c r="AM450" s="43"/>
      <c r="AN450" s="43"/>
      <c r="AO450" s="43"/>
      <c r="AP450" s="43"/>
      <c r="AQ450" s="43"/>
      <c r="AR450" s="43"/>
      <c r="AS450" s="43"/>
      <c r="AT450" s="43"/>
      <c r="AU450" s="43"/>
      <c r="AV450" s="43"/>
    </row>
    <row r="451" ht="15.75" spans="1:48">
      <c r="A451" s="12">
        <v>447</v>
      </c>
      <c r="B451" s="44">
        <v>2959</v>
      </c>
      <c r="C451" s="45" t="s">
        <v>86</v>
      </c>
      <c r="D451" s="46"/>
      <c r="E451" s="47" t="s">
        <v>50</v>
      </c>
      <c r="F451" s="48">
        <v>10.83</v>
      </c>
      <c r="G451" s="38">
        <v>1.17</v>
      </c>
      <c r="H451" s="39"/>
      <c r="I451" s="39"/>
      <c r="J451" s="39"/>
      <c r="K451" s="39"/>
      <c r="L451" s="39"/>
      <c r="M451" s="39"/>
      <c r="N451" s="39"/>
      <c r="O451" s="39"/>
      <c r="P451" s="39"/>
      <c r="Q451" s="39">
        <v>1.17</v>
      </c>
      <c r="R451" s="39"/>
      <c r="S451" s="39"/>
      <c r="T451" s="39"/>
      <c r="U451" s="39"/>
      <c r="V451" s="39"/>
      <c r="W451" s="39"/>
      <c r="X451" s="49" t="s">
        <v>60</v>
      </c>
      <c r="Y451" s="50">
        <v>0</v>
      </c>
      <c r="Z451" s="51"/>
      <c r="AA451" s="51"/>
      <c r="AB451" s="12">
        <v>0</v>
      </c>
      <c r="AC451" s="12">
        <v>0</v>
      </c>
      <c r="AD451" s="43"/>
      <c r="AE451" s="43"/>
      <c r="AF451" s="43"/>
      <c r="AG451" s="43"/>
      <c r="AH451" s="43"/>
      <c r="AI451" s="43"/>
      <c r="AJ451" s="43"/>
      <c r="AK451" s="43"/>
      <c r="AL451" s="43"/>
      <c r="AM451" s="43"/>
      <c r="AN451" s="43"/>
      <c r="AO451" s="43"/>
      <c r="AP451" s="43"/>
      <c r="AQ451" s="43"/>
      <c r="AR451" s="43"/>
      <c r="AS451" s="43"/>
      <c r="AT451" s="43"/>
      <c r="AU451" s="43"/>
      <c r="AV451" s="43"/>
    </row>
    <row r="452" ht="15.75" spans="1:48">
      <c r="A452" s="12">
        <v>448</v>
      </c>
      <c r="B452" s="44">
        <v>4344</v>
      </c>
      <c r="C452" s="45" t="s">
        <v>85</v>
      </c>
      <c r="D452" s="46" t="s">
        <v>138</v>
      </c>
      <c r="E452" s="47" t="s">
        <v>50</v>
      </c>
      <c r="F452" s="48">
        <v>10.17</v>
      </c>
      <c r="G452" s="38">
        <v>1.84</v>
      </c>
      <c r="H452" s="39"/>
      <c r="I452" s="39"/>
      <c r="J452" s="39">
        <v>0.5</v>
      </c>
      <c r="K452" s="39"/>
      <c r="L452" s="39"/>
      <c r="M452" s="39"/>
      <c r="N452" s="39"/>
      <c r="O452" s="39"/>
      <c r="P452" s="39"/>
      <c r="Q452" s="39">
        <v>1.17</v>
      </c>
      <c r="R452" s="39"/>
      <c r="S452" s="39"/>
      <c r="T452" s="39"/>
      <c r="U452" s="39">
        <v>0.17</v>
      </c>
      <c r="V452" s="39"/>
      <c r="W452" s="39"/>
      <c r="X452" s="49" t="s">
        <v>208</v>
      </c>
      <c r="Y452" s="50">
        <v>15509.25</v>
      </c>
      <c r="Z452" s="51">
        <v>13280</v>
      </c>
      <c r="AA452" s="52">
        <f>IFERROR(Z452/Y452,0)</f>
        <v>0.856263197769073</v>
      </c>
      <c r="AB452" s="12">
        <v>13200</v>
      </c>
      <c r="AC452" s="12">
        <v>80</v>
      </c>
      <c r="AD452" s="43"/>
      <c r="AE452" s="43"/>
      <c r="AF452" s="43"/>
      <c r="AG452" s="43"/>
      <c r="AH452" s="43"/>
      <c r="AI452" s="43"/>
      <c r="AJ452" s="43"/>
      <c r="AK452" s="43"/>
      <c r="AL452" s="43"/>
      <c r="AM452" s="43"/>
      <c r="AN452" s="19">
        <v>80</v>
      </c>
      <c r="AO452" s="43"/>
      <c r="AP452" s="43"/>
      <c r="AQ452" s="43"/>
      <c r="AR452" s="43"/>
      <c r="AS452" s="43"/>
      <c r="AT452" s="43"/>
      <c r="AU452" s="43"/>
      <c r="AV452" s="43"/>
    </row>
    <row r="453" ht="15.75" spans="1:48">
      <c r="A453" s="12">
        <v>449</v>
      </c>
      <c r="B453" s="44">
        <v>4185</v>
      </c>
      <c r="C453" s="45" t="s">
        <v>72</v>
      </c>
      <c r="D453" s="46" t="s">
        <v>76</v>
      </c>
      <c r="E453" s="47" t="s">
        <v>50</v>
      </c>
      <c r="F453" s="48">
        <v>10.17</v>
      </c>
      <c r="G453" s="38">
        <v>1.83</v>
      </c>
      <c r="H453" s="39"/>
      <c r="I453" s="39"/>
      <c r="J453" s="39"/>
      <c r="K453" s="39">
        <v>0.33</v>
      </c>
      <c r="L453" s="39"/>
      <c r="M453" s="39"/>
      <c r="N453" s="39"/>
      <c r="O453" s="39"/>
      <c r="P453" s="39"/>
      <c r="Q453" s="39">
        <v>1.17</v>
      </c>
      <c r="R453" s="39"/>
      <c r="S453" s="39"/>
      <c r="T453" s="39"/>
      <c r="U453" s="39">
        <v>0.33</v>
      </c>
      <c r="V453" s="39"/>
      <c r="W453" s="39"/>
      <c r="X453" s="49" t="s">
        <v>77</v>
      </c>
      <c r="Y453" s="50">
        <v>61020</v>
      </c>
      <c r="Z453" s="51">
        <v>57440</v>
      </c>
      <c r="AA453" s="52">
        <f>IFERROR(Z453/Y453,0)</f>
        <v>0.941330711242216</v>
      </c>
      <c r="AB453" s="12">
        <v>57304</v>
      </c>
      <c r="AC453" s="12">
        <v>136</v>
      </c>
      <c r="AD453" s="43"/>
      <c r="AE453" s="43"/>
      <c r="AF453" s="43"/>
      <c r="AG453" s="19">
        <v>136</v>
      </c>
      <c r="AH453" s="43"/>
      <c r="AI453" s="43"/>
      <c r="AJ453" s="43"/>
      <c r="AK453" s="43"/>
      <c r="AL453" s="43"/>
      <c r="AM453" s="43"/>
      <c r="AN453" s="43"/>
      <c r="AO453" s="43"/>
      <c r="AP453" s="43"/>
      <c r="AQ453" s="43"/>
      <c r="AR453" s="43"/>
      <c r="AS453" s="43"/>
      <c r="AT453" s="43"/>
      <c r="AU453" s="43"/>
      <c r="AV453" s="43"/>
    </row>
    <row r="454" ht="15.75" spans="1:48">
      <c r="A454" s="12">
        <v>450</v>
      </c>
      <c r="B454" s="44">
        <v>4185</v>
      </c>
      <c r="C454" s="45" t="s">
        <v>72</v>
      </c>
      <c r="D454" s="46" t="s">
        <v>78</v>
      </c>
      <c r="E454" s="47" t="s">
        <v>50</v>
      </c>
      <c r="F454" s="48">
        <v>9</v>
      </c>
      <c r="G454" s="38">
        <v>3</v>
      </c>
      <c r="H454" s="39"/>
      <c r="I454" s="39"/>
      <c r="J454" s="39"/>
      <c r="K454" s="39">
        <v>1.5</v>
      </c>
      <c r="L454" s="39"/>
      <c r="M454" s="39"/>
      <c r="N454" s="39"/>
      <c r="O454" s="39"/>
      <c r="P454" s="39"/>
      <c r="Q454" s="39">
        <v>1.17</v>
      </c>
      <c r="R454" s="39"/>
      <c r="S454" s="39"/>
      <c r="T454" s="39"/>
      <c r="U454" s="39">
        <v>0.33</v>
      </c>
      <c r="V454" s="39"/>
      <c r="W454" s="39"/>
      <c r="X454" s="49" t="s">
        <v>79</v>
      </c>
      <c r="Y454" s="50">
        <v>59940</v>
      </c>
      <c r="Z454" s="51">
        <v>51920</v>
      </c>
      <c r="AA454" s="52">
        <f>IFERROR(Z454/Y454,0)</f>
        <v>0.8661995328662</v>
      </c>
      <c r="AB454" s="12">
        <v>51880</v>
      </c>
      <c r="AC454" s="12">
        <v>40</v>
      </c>
      <c r="AD454" s="43"/>
      <c r="AE454" s="43"/>
      <c r="AF454" s="43"/>
      <c r="AG454" s="19">
        <v>40</v>
      </c>
      <c r="AH454" s="43"/>
      <c r="AI454" s="43"/>
      <c r="AJ454" s="43"/>
      <c r="AK454" s="43"/>
      <c r="AL454" s="43"/>
      <c r="AM454" s="43"/>
      <c r="AN454" s="43"/>
      <c r="AO454" s="43"/>
      <c r="AP454" s="43"/>
      <c r="AQ454" s="43"/>
      <c r="AR454" s="43"/>
      <c r="AS454" s="43"/>
      <c r="AT454" s="43"/>
      <c r="AU454" s="43"/>
      <c r="AV454" s="43"/>
    </row>
    <row r="455" ht="15.75" spans="1:48">
      <c r="A455" s="12">
        <v>451</v>
      </c>
      <c r="B455" s="44">
        <v>4185</v>
      </c>
      <c r="C455" s="45" t="s">
        <v>72</v>
      </c>
      <c r="D455" s="46" t="s">
        <v>207</v>
      </c>
      <c r="E455" s="47" t="s">
        <v>50</v>
      </c>
      <c r="F455" s="48">
        <v>10.33</v>
      </c>
      <c r="G455" s="38">
        <v>1.67</v>
      </c>
      <c r="H455" s="39"/>
      <c r="I455" s="39"/>
      <c r="J455" s="39"/>
      <c r="K455" s="39">
        <v>0.17</v>
      </c>
      <c r="L455" s="39"/>
      <c r="M455" s="39"/>
      <c r="N455" s="39"/>
      <c r="O455" s="39"/>
      <c r="P455" s="39"/>
      <c r="Q455" s="39">
        <v>1.17</v>
      </c>
      <c r="R455" s="39"/>
      <c r="S455" s="39"/>
      <c r="T455" s="39"/>
      <c r="U455" s="39">
        <v>0.33</v>
      </c>
      <c r="V455" s="39"/>
      <c r="W455" s="39"/>
      <c r="X455" s="49" t="s">
        <v>79</v>
      </c>
      <c r="Y455" s="50">
        <v>68797.8</v>
      </c>
      <c r="Z455" s="51">
        <v>59440</v>
      </c>
      <c r="AA455" s="52">
        <f>IFERROR(Z455/Y455,0)</f>
        <v>0.863981115675211</v>
      </c>
      <c r="AB455" s="12">
        <v>59360</v>
      </c>
      <c r="AC455" s="12">
        <v>80</v>
      </c>
      <c r="AD455" s="43"/>
      <c r="AE455" s="43"/>
      <c r="AF455" s="43"/>
      <c r="AG455" s="19">
        <v>80</v>
      </c>
      <c r="AH455" s="43"/>
      <c r="AI455" s="43"/>
      <c r="AJ455" s="43"/>
      <c r="AK455" s="43"/>
      <c r="AL455" s="43"/>
      <c r="AM455" s="43"/>
      <c r="AN455" s="43"/>
      <c r="AO455" s="43"/>
      <c r="AP455" s="43"/>
      <c r="AQ455" s="43"/>
      <c r="AR455" s="43"/>
      <c r="AS455" s="43"/>
      <c r="AT455" s="43"/>
      <c r="AU455" s="43"/>
      <c r="AV455" s="43"/>
    </row>
    <row r="456" ht="15.75" spans="1:48">
      <c r="A456" s="12">
        <v>452</v>
      </c>
      <c r="B456" s="44">
        <v>3277</v>
      </c>
      <c r="C456" s="45" t="s">
        <v>106</v>
      </c>
      <c r="D456" s="46"/>
      <c r="E456" s="47" t="s">
        <v>50</v>
      </c>
      <c r="F456" s="48">
        <v>10.83</v>
      </c>
      <c r="G456" s="38">
        <v>1.17</v>
      </c>
      <c r="H456" s="39"/>
      <c r="I456" s="39"/>
      <c r="J456" s="39"/>
      <c r="K456" s="39"/>
      <c r="L456" s="39"/>
      <c r="M456" s="39"/>
      <c r="N456" s="39"/>
      <c r="O456" s="39"/>
      <c r="P456" s="39"/>
      <c r="Q456" s="39">
        <v>1.17</v>
      </c>
      <c r="R456" s="39"/>
      <c r="S456" s="39"/>
      <c r="T456" s="39"/>
      <c r="U456" s="39"/>
      <c r="V456" s="39"/>
      <c r="W456" s="39"/>
      <c r="X456" s="49" t="s">
        <v>60</v>
      </c>
      <c r="Y456" s="50">
        <v>0</v>
      </c>
      <c r="Z456" s="51"/>
      <c r="AA456" s="52">
        <f>IFERROR(Z456/Y456,0)</f>
        <v>0</v>
      </c>
      <c r="AB456" s="12">
        <v>0</v>
      </c>
      <c r="AC456" s="12">
        <v>0</v>
      </c>
      <c r="AD456" s="43"/>
      <c r="AE456" s="43"/>
      <c r="AF456" s="43"/>
      <c r="AG456" s="43"/>
      <c r="AH456" s="43"/>
      <c r="AI456" s="43"/>
      <c r="AJ456" s="43"/>
      <c r="AK456" s="43"/>
      <c r="AL456" s="43"/>
      <c r="AM456" s="43"/>
      <c r="AN456" s="43"/>
      <c r="AO456" s="43"/>
      <c r="AP456" s="43"/>
      <c r="AQ456" s="43"/>
      <c r="AR456" s="43"/>
      <c r="AS456" s="43"/>
      <c r="AT456" s="43"/>
      <c r="AU456" s="43"/>
      <c r="AV456" s="43"/>
    </row>
    <row r="457" ht="15.75" spans="1:48">
      <c r="A457" s="12">
        <v>453</v>
      </c>
      <c r="B457" s="44">
        <v>4360</v>
      </c>
      <c r="C457" s="45" t="s">
        <v>97</v>
      </c>
      <c r="D457" s="46">
        <v>15</v>
      </c>
      <c r="E457" s="47" t="s">
        <v>50</v>
      </c>
      <c r="F457" s="48">
        <v>8</v>
      </c>
      <c r="G457" s="38">
        <v>3.01</v>
      </c>
      <c r="H457" s="39"/>
      <c r="I457" s="39"/>
      <c r="J457" s="39"/>
      <c r="K457" s="39"/>
      <c r="L457" s="39"/>
      <c r="M457" s="39"/>
      <c r="N457" s="39"/>
      <c r="O457" s="39"/>
      <c r="P457" s="39"/>
      <c r="Q457" s="39">
        <v>1.17</v>
      </c>
      <c r="R457" s="39"/>
      <c r="S457" s="39"/>
      <c r="T457" s="39">
        <v>1.67</v>
      </c>
      <c r="U457" s="39">
        <v>0.17</v>
      </c>
      <c r="V457" s="39"/>
      <c r="W457" s="39"/>
      <c r="X457" s="49">
        <v>3880</v>
      </c>
      <c r="Y457" s="50">
        <v>3200</v>
      </c>
      <c r="Z457" s="51">
        <v>2940</v>
      </c>
      <c r="AA457" s="52">
        <f>IFERROR(Z457/Y457,0)</f>
        <v>0.91875</v>
      </c>
      <c r="AB457" s="12">
        <v>2721</v>
      </c>
      <c r="AC457" s="12">
        <v>219</v>
      </c>
      <c r="AD457" s="19">
        <v>219</v>
      </c>
      <c r="AE457" s="43"/>
      <c r="AF457" s="43"/>
      <c r="AG457" s="43"/>
      <c r="AH457" s="43"/>
      <c r="AI457" s="43"/>
      <c r="AJ457" s="43"/>
      <c r="AK457" s="43"/>
      <c r="AL457" s="43"/>
      <c r="AM457" s="43"/>
      <c r="AN457" s="43"/>
      <c r="AO457" s="43"/>
      <c r="AP457" s="43"/>
      <c r="AQ457" s="43"/>
      <c r="AR457" s="43"/>
      <c r="AS457" s="43"/>
      <c r="AT457" s="43"/>
      <c r="AU457" s="43"/>
      <c r="AV457" s="43"/>
    </row>
    <row r="458" ht="15.75" spans="1:48">
      <c r="A458" s="12">
        <v>454</v>
      </c>
      <c r="B458" s="44">
        <v>846</v>
      </c>
      <c r="C458" s="45" t="s">
        <v>87</v>
      </c>
      <c r="D458" s="46">
        <v>2</v>
      </c>
      <c r="E458" s="47" t="s">
        <v>50</v>
      </c>
      <c r="F458" s="48">
        <v>3.67</v>
      </c>
      <c r="G458" s="38">
        <v>1.67</v>
      </c>
      <c r="H458" s="39"/>
      <c r="I458" s="39"/>
      <c r="J458" s="39"/>
      <c r="K458" s="39"/>
      <c r="L458" s="39"/>
      <c r="M458" s="39"/>
      <c r="N458" s="39"/>
      <c r="O458" s="39"/>
      <c r="P458" s="39"/>
      <c r="Q458" s="39">
        <v>1.17</v>
      </c>
      <c r="R458" s="39"/>
      <c r="S458" s="39"/>
      <c r="T458" s="39">
        <v>0.33</v>
      </c>
      <c r="U458" s="39">
        <v>0.17</v>
      </c>
      <c r="V458" s="39"/>
      <c r="W458" s="39"/>
      <c r="X458" s="49">
        <v>1090</v>
      </c>
      <c r="Y458" s="50">
        <v>2422.2</v>
      </c>
      <c r="Z458" s="51">
        <v>2050</v>
      </c>
      <c r="AA458" s="52">
        <f>IFERROR(Z458/Y458,0)</f>
        <v>0.84633803979853</v>
      </c>
      <c r="AB458" s="12">
        <v>2000</v>
      </c>
      <c r="AC458" s="12">
        <v>50</v>
      </c>
      <c r="AD458" s="19">
        <v>50</v>
      </c>
      <c r="AE458" s="43"/>
      <c r="AF458" s="43"/>
      <c r="AG458" s="43"/>
      <c r="AH458" s="43"/>
      <c r="AI458" s="43"/>
      <c r="AJ458" s="43"/>
      <c r="AK458" s="43"/>
      <c r="AL458" s="43"/>
      <c r="AM458" s="43"/>
      <c r="AN458" s="43"/>
      <c r="AO458" s="43"/>
      <c r="AP458" s="43"/>
      <c r="AQ458" s="43"/>
      <c r="AR458" s="43"/>
      <c r="AS458" s="43"/>
      <c r="AT458" s="43"/>
      <c r="AU458" s="43"/>
      <c r="AV458" s="43"/>
    </row>
    <row r="459" ht="15.75" spans="1:48">
      <c r="A459" s="12">
        <v>455</v>
      </c>
      <c r="B459" s="44">
        <v>4490</v>
      </c>
      <c r="C459" s="45" t="s">
        <v>91</v>
      </c>
      <c r="D459" s="46">
        <v>8</v>
      </c>
      <c r="E459" s="47" t="s">
        <v>50</v>
      </c>
      <c r="F459" s="48">
        <v>8</v>
      </c>
      <c r="G459" s="38">
        <v>2.33</v>
      </c>
      <c r="H459" s="39"/>
      <c r="I459" s="39"/>
      <c r="J459" s="39"/>
      <c r="K459" s="39">
        <v>0.33</v>
      </c>
      <c r="L459" s="39"/>
      <c r="M459" s="39"/>
      <c r="N459" s="39"/>
      <c r="O459" s="39"/>
      <c r="P459" s="39"/>
      <c r="Q459" s="39">
        <v>1.17</v>
      </c>
      <c r="R459" s="39"/>
      <c r="S459" s="39"/>
      <c r="T459" s="39">
        <v>0.83</v>
      </c>
      <c r="U459" s="39"/>
      <c r="V459" s="39"/>
      <c r="W459" s="39"/>
      <c r="X459" s="49">
        <v>2801</v>
      </c>
      <c r="Y459" s="50">
        <v>4840</v>
      </c>
      <c r="Z459" s="51">
        <v>4424</v>
      </c>
      <c r="AA459" s="52">
        <f>IFERROR(Z459/Y459,0)</f>
        <v>0.91404958677686</v>
      </c>
      <c r="AB459" s="12">
        <v>3808</v>
      </c>
      <c r="AC459" s="12">
        <v>616</v>
      </c>
      <c r="AD459" s="19">
        <v>616</v>
      </c>
      <c r="AE459" s="43"/>
      <c r="AF459" s="43"/>
      <c r="AG459" s="43"/>
      <c r="AH459" s="43"/>
      <c r="AI459" s="43"/>
      <c r="AJ459" s="43"/>
      <c r="AK459" s="43"/>
      <c r="AL459" s="43"/>
      <c r="AM459" s="43"/>
      <c r="AN459" s="43"/>
      <c r="AO459" s="43"/>
      <c r="AP459" s="43"/>
      <c r="AQ459" s="43"/>
      <c r="AR459" s="43"/>
      <c r="AS459" s="43"/>
      <c r="AT459" s="43"/>
      <c r="AU459" s="43"/>
      <c r="AV459" s="43"/>
    </row>
    <row r="460" ht="15.75" spans="1:48">
      <c r="A460" s="12">
        <v>456</v>
      </c>
      <c r="B460" s="44">
        <v>4412</v>
      </c>
      <c r="C460" s="45" t="s">
        <v>177</v>
      </c>
      <c r="D460" s="46">
        <v>18</v>
      </c>
      <c r="E460" s="47" t="s">
        <v>50</v>
      </c>
      <c r="F460" s="48">
        <v>7</v>
      </c>
      <c r="G460" s="38">
        <v>3.34</v>
      </c>
      <c r="H460" s="39"/>
      <c r="I460" s="39"/>
      <c r="J460" s="39"/>
      <c r="K460" s="39"/>
      <c r="L460" s="39"/>
      <c r="M460" s="39"/>
      <c r="N460" s="39"/>
      <c r="O460" s="39"/>
      <c r="P460" s="39"/>
      <c r="Q460" s="39">
        <v>1.17</v>
      </c>
      <c r="R460" s="39"/>
      <c r="S460" s="39"/>
      <c r="T460" s="39">
        <v>2</v>
      </c>
      <c r="U460" s="39">
        <v>0.17</v>
      </c>
      <c r="V460" s="39"/>
      <c r="W460" s="39"/>
      <c r="X460" s="49">
        <v>7133</v>
      </c>
      <c r="Y460" s="50">
        <v>4235</v>
      </c>
      <c r="Z460" s="51">
        <v>3819</v>
      </c>
      <c r="AA460" s="52">
        <f>IFERROR(Z460/Y460,0)</f>
        <v>0.901770956316411</v>
      </c>
      <c r="AB460" s="12">
        <v>2972</v>
      </c>
      <c r="AC460" s="12">
        <v>847</v>
      </c>
      <c r="AD460" s="19">
        <v>847</v>
      </c>
      <c r="AE460" s="43"/>
      <c r="AF460" s="43"/>
      <c r="AG460" s="43"/>
      <c r="AH460" s="43"/>
      <c r="AI460" s="43"/>
      <c r="AJ460" s="43"/>
      <c r="AK460" s="43"/>
      <c r="AL460" s="43"/>
      <c r="AM460" s="43"/>
      <c r="AN460" s="43"/>
      <c r="AO460" s="43"/>
      <c r="AP460" s="43"/>
      <c r="AQ460" s="43"/>
      <c r="AR460" s="43"/>
      <c r="AS460" s="43"/>
      <c r="AT460" s="43"/>
      <c r="AU460" s="43"/>
      <c r="AV460" s="43"/>
    </row>
    <row r="461" ht="15.75" spans="1:48">
      <c r="A461" s="12">
        <v>457</v>
      </c>
      <c r="B461" s="44">
        <v>4489</v>
      </c>
      <c r="C461" s="45" t="s">
        <v>88</v>
      </c>
      <c r="D461" s="46">
        <v>3</v>
      </c>
      <c r="E461" s="47" t="s">
        <v>50</v>
      </c>
      <c r="F461" s="48">
        <v>6</v>
      </c>
      <c r="G461" s="38">
        <v>2.34</v>
      </c>
      <c r="H461" s="39"/>
      <c r="I461" s="39"/>
      <c r="J461" s="39"/>
      <c r="K461" s="39"/>
      <c r="L461" s="39"/>
      <c r="M461" s="39"/>
      <c r="N461" s="39"/>
      <c r="O461" s="39"/>
      <c r="P461" s="39"/>
      <c r="Q461" s="39">
        <v>1.17</v>
      </c>
      <c r="R461" s="39"/>
      <c r="S461" s="39"/>
      <c r="T461" s="39">
        <v>1</v>
      </c>
      <c r="U461" s="39">
        <v>0.17</v>
      </c>
      <c r="V461" s="39"/>
      <c r="W461" s="39"/>
      <c r="X461" s="49" t="s">
        <v>219</v>
      </c>
      <c r="Y461" s="50">
        <v>3120</v>
      </c>
      <c r="Z461" s="51">
        <v>2720</v>
      </c>
      <c r="AA461" s="52">
        <f>IFERROR(Z461/Y461,0)</f>
        <v>0.871794871794872</v>
      </c>
      <c r="AB461" s="12">
        <v>2400</v>
      </c>
      <c r="AC461" s="12">
        <v>320</v>
      </c>
      <c r="AD461" s="19">
        <v>320</v>
      </c>
      <c r="AE461" s="43"/>
      <c r="AF461" s="43"/>
      <c r="AG461" s="43"/>
      <c r="AH461" s="43"/>
      <c r="AI461" s="43"/>
      <c r="AJ461" s="43"/>
      <c r="AK461" s="43"/>
      <c r="AL461" s="43"/>
      <c r="AM461" s="43"/>
      <c r="AN461" s="43"/>
      <c r="AO461" s="43"/>
      <c r="AP461" s="43"/>
      <c r="AQ461" s="43"/>
      <c r="AR461" s="43"/>
      <c r="AS461" s="43"/>
      <c r="AT461" s="43"/>
      <c r="AU461" s="43"/>
      <c r="AV461" s="43"/>
    </row>
    <row r="462" ht="15.75" spans="1:48">
      <c r="A462" s="12">
        <v>458</v>
      </c>
      <c r="B462" s="44" t="s">
        <v>211</v>
      </c>
      <c r="C462" s="45" t="s">
        <v>176</v>
      </c>
      <c r="D462" s="46">
        <v>5</v>
      </c>
      <c r="E462" s="47" t="s">
        <v>50</v>
      </c>
      <c r="F462" s="48">
        <v>5</v>
      </c>
      <c r="G462" s="38">
        <v>0</v>
      </c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49">
        <v>5770</v>
      </c>
      <c r="Y462" s="50">
        <v>3025</v>
      </c>
      <c r="Z462" s="51">
        <v>3000</v>
      </c>
      <c r="AA462" s="52">
        <f>IFERROR(Z462/Y462,0)</f>
        <v>0.991735537190083</v>
      </c>
      <c r="AB462" s="12">
        <v>3000</v>
      </c>
      <c r="AC462" s="12">
        <v>0</v>
      </c>
      <c r="AD462" s="43"/>
      <c r="AE462" s="43"/>
      <c r="AF462" s="43"/>
      <c r="AG462" s="43"/>
      <c r="AH462" s="43"/>
      <c r="AI462" s="43"/>
      <c r="AJ462" s="43"/>
      <c r="AK462" s="43"/>
      <c r="AL462" s="43"/>
      <c r="AM462" s="43"/>
      <c r="AN462" s="43"/>
      <c r="AO462" s="43"/>
      <c r="AP462" s="43"/>
      <c r="AQ462" s="43"/>
      <c r="AR462" s="43"/>
      <c r="AS462" s="43"/>
      <c r="AT462" s="43"/>
      <c r="AU462" s="43"/>
      <c r="AV462" s="43"/>
    </row>
    <row r="463" ht="15.75" spans="1:48">
      <c r="A463" s="12">
        <v>459</v>
      </c>
      <c r="B463" s="44">
        <v>669</v>
      </c>
      <c r="C463" s="45" t="s">
        <v>94</v>
      </c>
      <c r="D463" s="46">
        <v>2</v>
      </c>
      <c r="E463" s="47" t="s">
        <v>50</v>
      </c>
      <c r="F463" s="48">
        <v>4.16</v>
      </c>
      <c r="G463" s="38">
        <v>1.67</v>
      </c>
      <c r="H463" s="39"/>
      <c r="I463" s="39"/>
      <c r="J463" s="39"/>
      <c r="K463" s="39"/>
      <c r="L463" s="39"/>
      <c r="M463" s="39"/>
      <c r="N463" s="39"/>
      <c r="O463" s="39"/>
      <c r="P463" s="39"/>
      <c r="Q463" s="39">
        <v>1.17</v>
      </c>
      <c r="R463" s="39"/>
      <c r="S463" s="39">
        <v>0.5</v>
      </c>
      <c r="T463" s="39"/>
      <c r="U463" s="39"/>
      <c r="V463" s="39"/>
      <c r="W463" s="39"/>
      <c r="X463" s="49">
        <v>1090</v>
      </c>
      <c r="Y463" s="50">
        <v>2745.6</v>
      </c>
      <c r="Z463" s="51">
        <v>1620</v>
      </c>
      <c r="AA463" s="52">
        <f>IFERROR(Z463/Y463,0)</f>
        <v>0.590034965034965</v>
      </c>
      <c r="AB463" s="12">
        <v>1620</v>
      </c>
      <c r="AC463" s="12">
        <v>0</v>
      </c>
      <c r="AD463" s="43"/>
      <c r="AE463" s="43"/>
      <c r="AF463" s="43"/>
      <c r="AG463" s="43"/>
      <c r="AH463" s="43"/>
      <c r="AI463" s="43"/>
      <c r="AJ463" s="43"/>
      <c r="AK463" s="43"/>
      <c r="AL463" s="43"/>
      <c r="AM463" s="43"/>
      <c r="AN463" s="43"/>
      <c r="AO463" s="43"/>
      <c r="AP463" s="43"/>
      <c r="AQ463" s="43"/>
      <c r="AR463" s="43"/>
      <c r="AS463" s="43"/>
      <c r="AT463" s="43"/>
      <c r="AU463" s="43"/>
      <c r="AV463" s="43"/>
    </row>
    <row r="464" ht="15.75" spans="1:48">
      <c r="A464" s="12">
        <v>460</v>
      </c>
      <c r="B464" s="44">
        <v>669</v>
      </c>
      <c r="C464" s="45" t="s">
        <v>94</v>
      </c>
      <c r="D464" s="46">
        <v>21</v>
      </c>
      <c r="E464" s="47" t="s">
        <v>50</v>
      </c>
      <c r="F464" s="48">
        <v>6</v>
      </c>
      <c r="G464" s="38">
        <v>0.17</v>
      </c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>
        <v>0.17</v>
      </c>
      <c r="V464" s="39"/>
      <c r="W464" s="39"/>
      <c r="X464" s="49" t="s">
        <v>228</v>
      </c>
      <c r="Y464" s="50">
        <v>8700</v>
      </c>
      <c r="Z464" s="51">
        <v>7146</v>
      </c>
      <c r="AA464" s="52">
        <f>IFERROR(Z464/Y464,0)</f>
        <v>0.821379310344828</v>
      </c>
      <c r="AB464" s="12">
        <v>7146</v>
      </c>
      <c r="AC464" s="12">
        <v>0</v>
      </c>
      <c r="AD464" s="43"/>
      <c r="AE464" s="43"/>
      <c r="AF464" s="43"/>
      <c r="AG464" s="43"/>
      <c r="AH464" s="43"/>
      <c r="AI464" s="43"/>
      <c r="AJ464" s="43"/>
      <c r="AK464" s="43"/>
      <c r="AL464" s="43"/>
      <c r="AM464" s="43"/>
      <c r="AN464" s="43"/>
      <c r="AO464" s="43"/>
      <c r="AP464" s="43"/>
      <c r="AQ464" s="43"/>
      <c r="AR464" s="43"/>
      <c r="AS464" s="43"/>
      <c r="AT464" s="43"/>
      <c r="AU464" s="43"/>
      <c r="AV464" s="43"/>
    </row>
    <row r="465" ht="15.75" spans="1:48">
      <c r="A465" s="12">
        <v>461</v>
      </c>
      <c r="B465" s="44">
        <v>676</v>
      </c>
      <c r="C465" s="45" t="s">
        <v>171</v>
      </c>
      <c r="D465" s="46"/>
      <c r="E465" s="47" t="s">
        <v>50</v>
      </c>
      <c r="F465" s="48">
        <v>5</v>
      </c>
      <c r="G465" s="38">
        <v>2.17</v>
      </c>
      <c r="H465" s="39"/>
      <c r="I465" s="39"/>
      <c r="J465" s="39"/>
      <c r="K465" s="39"/>
      <c r="L465" s="39"/>
      <c r="M465" s="39"/>
      <c r="N465" s="39"/>
      <c r="O465" s="39"/>
      <c r="P465" s="39"/>
      <c r="Q465" s="39">
        <v>1.17</v>
      </c>
      <c r="R465" s="39"/>
      <c r="S465" s="39"/>
      <c r="T465" s="39">
        <v>1</v>
      </c>
      <c r="U465" s="39"/>
      <c r="V465" s="39"/>
      <c r="W465" s="39"/>
      <c r="X465" s="49" t="s">
        <v>90</v>
      </c>
      <c r="Y465" s="50">
        <v>2350</v>
      </c>
      <c r="Z465" s="51">
        <v>2340</v>
      </c>
      <c r="AA465" s="52">
        <f>IFERROR(Z465/Y465,0)</f>
        <v>0.995744680851064</v>
      </c>
      <c r="AB465" s="12">
        <v>2340</v>
      </c>
      <c r="AC465" s="12">
        <v>0</v>
      </c>
      <c r="AD465" s="43"/>
      <c r="AE465" s="43"/>
      <c r="AF465" s="43"/>
      <c r="AG465" s="43"/>
      <c r="AH465" s="43"/>
      <c r="AI465" s="43"/>
      <c r="AJ465" s="43"/>
      <c r="AK465" s="43"/>
      <c r="AL465" s="43"/>
      <c r="AM465" s="43"/>
      <c r="AN465" s="43"/>
      <c r="AO465" s="43"/>
      <c r="AP465" s="43"/>
      <c r="AQ465" s="43"/>
      <c r="AR465" s="43"/>
      <c r="AS465" s="43"/>
      <c r="AT465" s="43"/>
      <c r="AU465" s="43"/>
      <c r="AV465" s="43"/>
    </row>
    <row r="466" ht="15.75" spans="1:48">
      <c r="A466" s="12">
        <v>462</v>
      </c>
      <c r="B466" s="44">
        <v>676</v>
      </c>
      <c r="C466" s="45" t="s">
        <v>171</v>
      </c>
      <c r="D466" s="46"/>
      <c r="E466" s="47" t="s">
        <v>50</v>
      </c>
      <c r="F466" s="48">
        <v>4.83</v>
      </c>
      <c r="G466" s="38">
        <v>0</v>
      </c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49" t="s">
        <v>98</v>
      </c>
      <c r="Y466" s="50">
        <v>2270.1</v>
      </c>
      <c r="Z466" s="51">
        <v>2160</v>
      </c>
      <c r="AA466" s="52">
        <f>IFERROR(Z466/Y466,0)</f>
        <v>0.951499933923616</v>
      </c>
      <c r="AB466" s="12">
        <v>2160</v>
      </c>
      <c r="AC466" s="12">
        <v>0</v>
      </c>
      <c r="AD466" s="43"/>
      <c r="AE466" s="43"/>
      <c r="AF466" s="43"/>
      <c r="AG466" s="43"/>
      <c r="AH466" s="43"/>
      <c r="AI466" s="43"/>
      <c r="AJ466" s="43"/>
      <c r="AK466" s="43"/>
      <c r="AL466" s="43"/>
      <c r="AM466" s="43"/>
      <c r="AN466" s="43"/>
      <c r="AO466" s="43"/>
      <c r="AP466" s="43"/>
      <c r="AQ466" s="43"/>
      <c r="AR466" s="43"/>
      <c r="AS466" s="43"/>
      <c r="AT466" s="43"/>
      <c r="AU466" s="43"/>
      <c r="AV466" s="43"/>
    </row>
    <row r="467" ht="15.75" spans="1:48">
      <c r="A467" s="12">
        <v>463</v>
      </c>
      <c r="B467" s="44" t="s">
        <v>187</v>
      </c>
      <c r="C467" s="45" t="s">
        <v>188</v>
      </c>
      <c r="D467" s="46">
        <v>6</v>
      </c>
      <c r="E467" s="47" t="s">
        <v>50</v>
      </c>
      <c r="F467" s="48">
        <v>3</v>
      </c>
      <c r="G467" s="38">
        <v>0</v>
      </c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49">
        <v>5770</v>
      </c>
      <c r="Y467" s="50">
        <v>1815</v>
      </c>
      <c r="Z467" s="51">
        <v>1800</v>
      </c>
      <c r="AA467" s="52">
        <f>IFERROR(Z467/Y467,0)</f>
        <v>0.991735537190083</v>
      </c>
      <c r="AB467" s="12">
        <v>1800</v>
      </c>
      <c r="AC467" s="12">
        <v>0</v>
      </c>
      <c r="AD467" s="43"/>
      <c r="AE467" s="43"/>
      <c r="AF467" s="43"/>
      <c r="AG467" s="43"/>
      <c r="AH467" s="43"/>
      <c r="AI467" s="43"/>
      <c r="AJ467" s="43"/>
      <c r="AK467" s="43"/>
      <c r="AL467" s="43"/>
      <c r="AM467" s="43"/>
      <c r="AN467" s="43"/>
      <c r="AO467" s="43"/>
      <c r="AP467" s="43"/>
      <c r="AQ467" s="43"/>
      <c r="AR467" s="43"/>
      <c r="AS467" s="43"/>
      <c r="AT467" s="43"/>
      <c r="AU467" s="43"/>
      <c r="AV467" s="43"/>
    </row>
    <row r="468" ht="15.75" spans="1:48">
      <c r="A468" s="12">
        <v>464</v>
      </c>
      <c r="B468" s="44" t="s">
        <v>187</v>
      </c>
      <c r="C468" s="45" t="s">
        <v>188</v>
      </c>
      <c r="D468" s="46"/>
      <c r="E468" s="47" t="s">
        <v>50</v>
      </c>
      <c r="F468" s="48">
        <v>1</v>
      </c>
      <c r="G468" s="38">
        <v>0</v>
      </c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49" t="s">
        <v>103</v>
      </c>
      <c r="Y468" s="50">
        <v>840</v>
      </c>
      <c r="Z468" s="51">
        <v>840</v>
      </c>
      <c r="AA468" s="52">
        <f>IFERROR(Z468/Y468,0)</f>
        <v>1</v>
      </c>
      <c r="AB468" s="12">
        <v>840</v>
      </c>
      <c r="AC468" s="12">
        <v>0</v>
      </c>
      <c r="AD468" s="43"/>
      <c r="AE468" s="43"/>
      <c r="AF468" s="43"/>
      <c r="AG468" s="43"/>
      <c r="AH468" s="43"/>
      <c r="AI468" s="43"/>
      <c r="AJ468" s="43"/>
      <c r="AK468" s="43"/>
      <c r="AL468" s="43"/>
      <c r="AM468" s="43"/>
      <c r="AN468" s="43"/>
      <c r="AO468" s="43"/>
      <c r="AP468" s="43"/>
      <c r="AQ468" s="43"/>
      <c r="AR468" s="43"/>
      <c r="AS468" s="43"/>
      <c r="AT468" s="43"/>
      <c r="AU468" s="43"/>
      <c r="AV468" s="43"/>
    </row>
    <row r="469" ht="15.75" spans="1:48">
      <c r="A469" s="12">
        <v>465</v>
      </c>
      <c r="B469" s="44" t="s">
        <v>185</v>
      </c>
      <c r="C469" s="45" t="s">
        <v>179</v>
      </c>
      <c r="D469" s="46">
        <v>7</v>
      </c>
      <c r="E469" s="47" t="s">
        <v>50</v>
      </c>
      <c r="F469" s="48">
        <v>8.17</v>
      </c>
      <c r="G469" s="38">
        <v>1.34</v>
      </c>
      <c r="H469" s="39"/>
      <c r="I469" s="39"/>
      <c r="J469" s="39"/>
      <c r="K469" s="39"/>
      <c r="L469" s="39"/>
      <c r="M469" s="39"/>
      <c r="N469" s="39"/>
      <c r="O469" s="39"/>
      <c r="P469" s="39"/>
      <c r="Q469" s="39">
        <v>1.17</v>
      </c>
      <c r="R469" s="39"/>
      <c r="S469" s="39"/>
      <c r="T469" s="39"/>
      <c r="U469" s="39">
        <v>0.17</v>
      </c>
      <c r="V469" s="39"/>
      <c r="W469" s="39"/>
      <c r="X469" s="49" t="s">
        <v>95</v>
      </c>
      <c r="Y469" s="50">
        <v>11438</v>
      </c>
      <c r="Z469" s="51">
        <v>9156</v>
      </c>
      <c r="AA469" s="52">
        <f>IFERROR(Z469/Y469,0)</f>
        <v>0.800489596083231</v>
      </c>
      <c r="AB469" s="12">
        <v>9156</v>
      </c>
      <c r="AC469" s="12">
        <v>0</v>
      </c>
      <c r="AD469" s="43"/>
      <c r="AE469" s="43"/>
      <c r="AF469" s="43"/>
      <c r="AG469" s="43"/>
      <c r="AH469" s="43"/>
      <c r="AI469" s="43"/>
      <c r="AJ469" s="43"/>
      <c r="AK469" s="43"/>
      <c r="AL469" s="43"/>
      <c r="AM469" s="43"/>
      <c r="AN469" s="43"/>
      <c r="AO469" s="43"/>
      <c r="AP469" s="43"/>
      <c r="AQ469" s="43"/>
      <c r="AR469" s="43"/>
      <c r="AS469" s="43"/>
      <c r="AT469" s="43"/>
      <c r="AU469" s="43"/>
      <c r="AV469" s="43"/>
    </row>
    <row r="470" ht="15.75" spans="1:48">
      <c r="A470" s="12">
        <v>466</v>
      </c>
      <c r="B470" s="44" t="s">
        <v>185</v>
      </c>
      <c r="C470" s="45" t="s">
        <v>179</v>
      </c>
      <c r="D470" s="46">
        <v>2</v>
      </c>
      <c r="E470" s="47" t="s">
        <v>50</v>
      </c>
      <c r="F470" s="48">
        <v>1.33</v>
      </c>
      <c r="G470" s="38">
        <v>0</v>
      </c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49">
        <v>1090</v>
      </c>
      <c r="Y470" s="50">
        <v>877.8</v>
      </c>
      <c r="Z470" s="51">
        <v>750</v>
      </c>
      <c r="AA470" s="52">
        <f>IFERROR(Z470/Y470,0)</f>
        <v>0.854408749145591</v>
      </c>
      <c r="AB470" s="12">
        <v>750</v>
      </c>
      <c r="AC470" s="12">
        <v>0</v>
      </c>
      <c r="AD470" s="43"/>
      <c r="AE470" s="43"/>
      <c r="AF470" s="43"/>
      <c r="AG470" s="43"/>
      <c r="AH470" s="43"/>
      <c r="AI470" s="43"/>
      <c r="AJ470" s="43"/>
      <c r="AK470" s="43"/>
      <c r="AL470" s="43"/>
      <c r="AM470" s="43"/>
      <c r="AN470" s="43"/>
      <c r="AO470" s="43"/>
      <c r="AP470" s="43"/>
      <c r="AQ470" s="43"/>
      <c r="AR470" s="43"/>
      <c r="AS470" s="43"/>
      <c r="AT470" s="43"/>
      <c r="AU470" s="43"/>
      <c r="AV470" s="43"/>
    </row>
    <row r="471" ht="15.75" spans="1:48">
      <c r="A471" s="12">
        <v>467</v>
      </c>
      <c r="B471" s="44">
        <v>761</v>
      </c>
      <c r="C471" s="45" t="s">
        <v>89</v>
      </c>
      <c r="D471" s="46"/>
      <c r="E471" s="47" t="s">
        <v>50</v>
      </c>
      <c r="F471" s="48">
        <v>8.33</v>
      </c>
      <c r="G471" s="38">
        <v>2.83</v>
      </c>
      <c r="H471" s="39"/>
      <c r="I471" s="39"/>
      <c r="J471" s="39"/>
      <c r="K471" s="39"/>
      <c r="L471" s="39"/>
      <c r="M471" s="39"/>
      <c r="N471" s="39"/>
      <c r="O471" s="39"/>
      <c r="P471" s="39"/>
      <c r="Q471" s="39">
        <v>1.33</v>
      </c>
      <c r="R471" s="39"/>
      <c r="S471" s="39">
        <v>1.33</v>
      </c>
      <c r="T471" s="39"/>
      <c r="U471" s="39">
        <v>0.17</v>
      </c>
      <c r="V471" s="39"/>
      <c r="W471" s="39"/>
      <c r="X471" s="49" t="s">
        <v>98</v>
      </c>
      <c r="Y471" s="50">
        <v>3915.1</v>
      </c>
      <c r="Z471" s="51">
        <v>3780</v>
      </c>
      <c r="AA471" s="52">
        <f>IFERROR(Z471/Y471,0)</f>
        <v>0.965492580010728</v>
      </c>
      <c r="AB471" s="12">
        <v>3780</v>
      </c>
      <c r="AC471" s="12">
        <v>0</v>
      </c>
      <c r="AD471" s="43"/>
      <c r="AE471" s="43"/>
      <c r="AF471" s="43"/>
      <c r="AG471" s="43"/>
      <c r="AH471" s="43"/>
      <c r="AI471" s="43"/>
      <c r="AJ471" s="43"/>
      <c r="AK471" s="43"/>
      <c r="AL471" s="43"/>
      <c r="AM471" s="43"/>
      <c r="AN471" s="43"/>
      <c r="AO471" s="43"/>
      <c r="AP471" s="43"/>
      <c r="AQ471" s="43"/>
      <c r="AR471" s="43"/>
      <c r="AS471" s="43"/>
      <c r="AT471" s="43"/>
      <c r="AU471" s="43"/>
      <c r="AV471" s="43"/>
    </row>
    <row r="472" ht="15.75" spans="1:48">
      <c r="A472" s="12">
        <v>468</v>
      </c>
      <c r="B472" s="44">
        <v>761</v>
      </c>
      <c r="C472" s="45" t="s">
        <v>89</v>
      </c>
      <c r="D472" s="46"/>
      <c r="E472" s="47" t="s">
        <v>50</v>
      </c>
      <c r="F472" s="48">
        <v>0.83</v>
      </c>
      <c r="G472" s="38">
        <v>0</v>
      </c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49" t="s">
        <v>90</v>
      </c>
      <c r="Y472" s="50">
        <v>390.1</v>
      </c>
      <c r="Z472" s="51">
        <v>360</v>
      </c>
      <c r="AA472" s="52">
        <f>IFERROR(Z472/Y472,0)</f>
        <v>0.922840297359651</v>
      </c>
      <c r="AB472" s="12">
        <v>360</v>
      </c>
      <c r="AC472" s="12">
        <v>0</v>
      </c>
      <c r="AD472" s="43"/>
      <c r="AE472" s="43"/>
      <c r="AF472" s="43"/>
      <c r="AG472" s="43"/>
      <c r="AH472" s="43"/>
      <c r="AI472" s="43"/>
      <c r="AJ472" s="43"/>
      <c r="AK472" s="43"/>
      <c r="AL472" s="43"/>
      <c r="AM472" s="43"/>
      <c r="AN472" s="43"/>
      <c r="AO472" s="43"/>
      <c r="AP472" s="43"/>
      <c r="AQ472" s="43"/>
      <c r="AR472" s="43"/>
      <c r="AS472" s="43"/>
      <c r="AT472" s="43"/>
      <c r="AU472" s="43"/>
      <c r="AV472" s="43"/>
    </row>
    <row r="473" ht="15.75" spans="1:48">
      <c r="A473" s="12">
        <v>469</v>
      </c>
      <c r="B473" s="44">
        <v>3268</v>
      </c>
      <c r="C473" s="45" t="s">
        <v>80</v>
      </c>
      <c r="D473" s="46"/>
      <c r="E473" s="47" t="s">
        <v>50</v>
      </c>
      <c r="F473" s="48">
        <v>4.7</v>
      </c>
      <c r="G473" s="38">
        <v>0.17</v>
      </c>
      <c r="H473" s="39"/>
      <c r="I473" s="39"/>
      <c r="J473" s="39"/>
      <c r="K473" s="39"/>
      <c r="L473" s="39"/>
      <c r="M473" s="39"/>
      <c r="N473" s="39"/>
      <c r="O473" s="39"/>
      <c r="P473" s="39"/>
      <c r="Q473" s="39">
        <v>0.17</v>
      </c>
      <c r="R473" s="39"/>
      <c r="S473" s="39"/>
      <c r="T473" s="39"/>
      <c r="U473" s="39"/>
      <c r="V473" s="39"/>
      <c r="W473" s="39"/>
      <c r="X473" s="49" t="s">
        <v>98</v>
      </c>
      <c r="Y473" s="50">
        <v>2209</v>
      </c>
      <c r="Z473" s="51">
        <v>1800</v>
      </c>
      <c r="AA473" s="52">
        <f>IFERROR(Z473/Y473,0)</f>
        <v>0.814848347668628</v>
      </c>
      <c r="AB473" s="12">
        <v>1800</v>
      </c>
      <c r="AC473" s="12">
        <v>0</v>
      </c>
      <c r="AD473" s="43"/>
      <c r="AE473" s="43"/>
      <c r="AF473" s="43"/>
      <c r="AG473" s="43"/>
      <c r="AH473" s="43"/>
      <c r="AI473" s="43"/>
      <c r="AJ473" s="43"/>
      <c r="AK473" s="43"/>
      <c r="AL473" s="43"/>
      <c r="AM473" s="43"/>
      <c r="AN473" s="43"/>
      <c r="AO473" s="43"/>
      <c r="AP473" s="43"/>
      <c r="AQ473" s="43"/>
      <c r="AR473" s="43"/>
      <c r="AS473" s="43"/>
      <c r="AT473" s="43"/>
      <c r="AU473" s="43"/>
      <c r="AV473" s="43"/>
    </row>
    <row r="474" ht="15.75" spans="1:48">
      <c r="A474" s="12">
        <v>470</v>
      </c>
      <c r="B474" s="44">
        <v>3268</v>
      </c>
      <c r="C474" s="45" t="s">
        <v>80</v>
      </c>
      <c r="D474" s="46"/>
      <c r="E474" s="47" t="s">
        <v>50</v>
      </c>
      <c r="F474" s="48">
        <v>3.3</v>
      </c>
      <c r="G474" s="38">
        <v>3.84</v>
      </c>
      <c r="H474" s="39"/>
      <c r="I474" s="39"/>
      <c r="J474" s="39"/>
      <c r="K474" s="39">
        <v>0.67</v>
      </c>
      <c r="L474" s="39"/>
      <c r="M474" s="39"/>
      <c r="N474" s="39"/>
      <c r="O474" s="39"/>
      <c r="P474" s="39"/>
      <c r="Q474" s="39">
        <v>1</v>
      </c>
      <c r="R474" s="39"/>
      <c r="S474" s="39"/>
      <c r="T474" s="39">
        <v>2</v>
      </c>
      <c r="U474" s="39">
        <v>0.17</v>
      </c>
      <c r="V474" s="39"/>
      <c r="W474" s="39"/>
      <c r="X474" s="49">
        <v>977</v>
      </c>
      <c r="Y474" s="50">
        <v>990</v>
      </c>
      <c r="Z474" s="51">
        <v>800</v>
      </c>
      <c r="AA474" s="52">
        <f>IFERROR(Z474/Y474,0)</f>
        <v>0.808080808080808</v>
      </c>
      <c r="AB474" s="12">
        <v>158</v>
      </c>
      <c r="AC474" s="12">
        <v>642</v>
      </c>
      <c r="AD474" s="19">
        <v>642</v>
      </c>
      <c r="AE474" s="43"/>
      <c r="AF474" s="43"/>
      <c r="AG474" s="43"/>
      <c r="AH474" s="43"/>
      <c r="AI474" s="43"/>
      <c r="AJ474" s="43"/>
      <c r="AK474" s="43"/>
      <c r="AL474" s="43"/>
      <c r="AM474" s="43"/>
      <c r="AN474" s="43"/>
      <c r="AO474" s="43"/>
      <c r="AP474" s="43"/>
      <c r="AQ474" s="43"/>
      <c r="AR474" s="43"/>
      <c r="AS474" s="43"/>
      <c r="AT474" s="43"/>
      <c r="AU474" s="43"/>
      <c r="AV474" s="43"/>
    </row>
    <row r="475" ht="15.75" spans="1:48">
      <c r="A475" s="12">
        <v>471</v>
      </c>
      <c r="B475" s="44">
        <v>4310</v>
      </c>
      <c r="C475" s="45" t="s">
        <v>99</v>
      </c>
      <c r="D475" s="46">
        <v>5</v>
      </c>
      <c r="E475" s="47" t="s">
        <v>50</v>
      </c>
      <c r="F475" s="48">
        <v>6.67</v>
      </c>
      <c r="G475" s="38">
        <v>1.33</v>
      </c>
      <c r="H475" s="39"/>
      <c r="I475" s="39"/>
      <c r="J475" s="39"/>
      <c r="K475" s="39"/>
      <c r="L475" s="39"/>
      <c r="M475" s="39"/>
      <c r="N475" s="39"/>
      <c r="O475" s="39"/>
      <c r="P475" s="39"/>
      <c r="Q475" s="39">
        <v>0.83</v>
      </c>
      <c r="R475" s="39"/>
      <c r="S475" s="39"/>
      <c r="T475" s="39">
        <v>0.33</v>
      </c>
      <c r="U475" s="39">
        <v>0.17</v>
      </c>
      <c r="V475" s="39"/>
      <c r="W475" s="39"/>
      <c r="X475" s="49">
        <v>5770</v>
      </c>
      <c r="Y475" s="50">
        <v>4035.35</v>
      </c>
      <c r="Z475" s="51">
        <v>4637</v>
      </c>
      <c r="AA475" s="52">
        <f>IFERROR(Z475/Y475,0)</f>
        <v>1.14909487405058</v>
      </c>
      <c r="AB475" s="12">
        <v>4560</v>
      </c>
      <c r="AC475" s="12">
        <v>77</v>
      </c>
      <c r="AD475" s="19">
        <v>77</v>
      </c>
      <c r="AE475" s="43"/>
      <c r="AF475" s="43"/>
      <c r="AG475" s="43"/>
      <c r="AH475" s="43"/>
      <c r="AI475" s="43"/>
      <c r="AJ475" s="43"/>
      <c r="AK475" s="43"/>
      <c r="AL475" s="43"/>
      <c r="AM475" s="43"/>
      <c r="AN475" s="43"/>
      <c r="AO475" s="43"/>
      <c r="AP475" s="43"/>
      <c r="AQ475" s="43"/>
      <c r="AR475" s="43"/>
      <c r="AS475" s="43"/>
      <c r="AT475" s="43"/>
      <c r="AU475" s="43"/>
      <c r="AV475" s="43"/>
    </row>
    <row r="476" ht="15.75" spans="1:48">
      <c r="A476" s="12">
        <v>472</v>
      </c>
      <c r="B476" s="44">
        <v>4382</v>
      </c>
      <c r="C476" s="45" t="s">
        <v>173</v>
      </c>
      <c r="D476" s="46"/>
      <c r="E476" s="47" t="s">
        <v>50</v>
      </c>
      <c r="F476" s="48">
        <v>4.83</v>
      </c>
      <c r="G476" s="38">
        <v>1.34</v>
      </c>
      <c r="H476" s="39"/>
      <c r="I476" s="39"/>
      <c r="J476" s="39"/>
      <c r="K476" s="39"/>
      <c r="L476" s="39"/>
      <c r="M476" s="39"/>
      <c r="N476" s="39"/>
      <c r="O476" s="39"/>
      <c r="P476" s="39"/>
      <c r="Q476" s="39">
        <v>1.17</v>
      </c>
      <c r="R476" s="39"/>
      <c r="S476" s="39"/>
      <c r="T476" s="39"/>
      <c r="U476" s="39">
        <v>0.17</v>
      </c>
      <c r="V476" s="39"/>
      <c r="W476" s="39"/>
      <c r="X476" s="49" t="s">
        <v>101</v>
      </c>
      <c r="Y476" s="50">
        <v>9273.6</v>
      </c>
      <c r="Z476" s="51">
        <v>7920</v>
      </c>
      <c r="AA476" s="52">
        <f>IFERROR(Z476/Y476,0)</f>
        <v>0.854037267080745</v>
      </c>
      <c r="AB476" s="12">
        <v>7920</v>
      </c>
      <c r="AC476" s="12">
        <v>0</v>
      </c>
      <c r="AD476" s="43"/>
      <c r="AE476" s="43"/>
      <c r="AF476" s="43"/>
      <c r="AG476" s="43"/>
      <c r="AH476" s="43"/>
      <c r="AI476" s="43"/>
      <c r="AJ476" s="43"/>
      <c r="AK476" s="43"/>
      <c r="AL476" s="43"/>
      <c r="AM476" s="43"/>
      <c r="AN476" s="43"/>
      <c r="AO476" s="43"/>
      <c r="AP476" s="43"/>
      <c r="AQ476" s="43"/>
      <c r="AR476" s="43"/>
      <c r="AS476" s="43"/>
      <c r="AT476" s="43"/>
      <c r="AU476" s="43"/>
      <c r="AV476" s="43"/>
    </row>
    <row r="477" ht="15.75" spans="1:48">
      <c r="A477" s="12">
        <v>473</v>
      </c>
      <c r="B477" s="57">
        <v>4382</v>
      </c>
      <c r="C477" s="58" t="s">
        <v>173</v>
      </c>
      <c r="D477" s="59"/>
      <c r="E477" s="47" t="s">
        <v>50</v>
      </c>
      <c r="F477" s="48">
        <v>1.17</v>
      </c>
      <c r="G477" s="38">
        <v>0</v>
      </c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49" t="s">
        <v>100</v>
      </c>
      <c r="Y477" s="50">
        <v>2246.4</v>
      </c>
      <c r="Z477" s="51">
        <v>1980</v>
      </c>
      <c r="AA477" s="52">
        <f>IFERROR(Z477/Y477,0)</f>
        <v>0.881410256410256</v>
      </c>
      <c r="AB477" s="12">
        <v>1980</v>
      </c>
      <c r="AC477" s="12">
        <v>0</v>
      </c>
      <c r="AD477" s="43"/>
      <c r="AE477" s="43"/>
      <c r="AF477" s="43"/>
      <c r="AG477" s="43"/>
      <c r="AH477" s="43"/>
      <c r="AI477" s="43"/>
      <c r="AJ477" s="43"/>
      <c r="AK477" s="43"/>
      <c r="AL477" s="43"/>
      <c r="AM477" s="43"/>
      <c r="AN477" s="43"/>
      <c r="AO477" s="43"/>
      <c r="AP477" s="43"/>
      <c r="AQ477" s="43"/>
      <c r="AR477" s="43"/>
      <c r="AS477" s="43"/>
      <c r="AT477" s="43"/>
      <c r="AU477" s="43"/>
      <c r="AV477" s="43"/>
    </row>
    <row r="478" ht="15.75" spans="1:48">
      <c r="A478" s="12">
        <v>474</v>
      </c>
      <c r="B478" s="44">
        <v>4382</v>
      </c>
      <c r="C478" s="45" t="s">
        <v>173</v>
      </c>
      <c r="D478" s="46"/>
      <c r="E478" s="47" t="s">
        <v>50</v>
      </c>
      <c r="F478" s="48">
        <v>1.83</v>
      </c>
      <c r="G478" s="38">
        <v>0</v>
      </c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49" t="s">
        <v>152</v>
      </c>
      <c r="Y478" s="50">
        <v>7960.5</v>
      </c>
      <c r="Z478" s="51">
        <v>7700</v>
      </c>
      <c r="AA478" s="52">
        <f>IFERROR(Z478/Y478,0)</f>
        <v>0.967275924879091</v>
      </c>
      <c r="AB478" s="12">
        <v>7700</v>
      </c>
      <c r="AC478" s="12">
        <v>0</v>
      </c>
      <c r="AD478" s="43"/>
      <c r="AE478" s="43"/>
      <c r="AF478" s="43"/>
      <c r="AG478" s="43"/>
      <c r="AH478" s="43"/>
      <c r="AI478" s="43"/>
      <c r="AJ478" s="43"/>
      <c r="AK478" s="43"/>
      <c r="AL478" s="43"/>
      <c r="AM478" s="43"/>
      <c r="AN478" s="43"/>
      <c r="AO478" s="43"/>
      <c r="AP478" s="43"/>
      <c r="AQ478" s="43"/>
      <c r="AR478" s="43"/>
      <c r="AS478" s="43"/>
      <c r="AT478" s="43"/>
      <c r="AU478" s="43"/>
      <c r="AV478" s="43"/>
    </row>
    <row r="479" ht="15.75" spans="1:48">
      <c r="A479" s="12">
        <v>475</v>
      </c>
      <c r="B479" s="44">
        <v>4382</v>
      </c>
      <c r="C479" s="45" t="s">
        <v>173</v>
      </c>
      <c r="D479" s="46"/>
      <c r="E479" s="47" t="s">
        <v>50</v>
      </c>
      <c r="F479" s="48">
        <v>2.84</v>
      </c>
      <c r="G479" s="38">
        <v>0</v>
      </c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49" t="s">
        <v>229</v>
      </c>
      <c r="Y479" s="50">
        <v>10564.8</v>
      </c>
      <c r="Z479" s="51">
        <v>9000</v>
      </c>
      <c r="AA479" s="52">
        <f>IFERROR(Z479/Y479,0)</f>
        <v>0.851885506587915</v>
      </c>
      <c r="AB479" s="12">
        <v>9000</v>
      </c>
      <c r="AC479" s="12">
        <v>0</v>
      </c>
      <c r="AD479" s="43"/>
      <c r="AE479" s="43"/>
      <c r="AF479" s="43"/>
      <c r="AG479" s="43"/>
      <c r="AH479" s="43"/>
      <c r="AI479" s="43"/>
      <c r="AJ479" s="43"/>
      <c r="AK479" s="43"/>
      <c r="AL479" s="43"/>
      <c r="AM479" s="43"/>
      <c r="AN479" s="43"/>
      <c r="AO479" s="43"/>
      <c r="AP479" s="43"/>
      <c r="AQ479" s="43"/>
      <c r="AR479" s="43"/>
      <c r="AS479" s="43"/>
      <c r="AT479" s="43"/>
      <c r="AU479" s="43"/>
      <c r="AV479" s="43"/>
    </row>
    <row r="480" ht="15.75" spans="1:48">
      <c r="A480" s="12">
        <v>476</v>
      </c>
      <c r="B480" s="44">
        <v>4490</v>
      </c>
      <c r="C480" s="45" t="s">
        <v>91</v>
      </c>
      <c r="D480" s="46"/>
      <c r="E480" s="47" t="s">
        <v>50</v>
      </c>
      <c r="F480" s="48">
        <v>1.67</v>
      </c>
      <c r="G480" s="38">
        <v>0</v>
      </c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49" t="s">
        <v>103</v>
      </c>
      <c r="Y480" s="50">
        <v>1402.8</v>
      </c>
      <c r="Z480" s="51">
        <v>1424</v>
      </c>
      <c r="AA480" s="52">
        <f>IFERROR(Z480/Y480,0)</f>
        <v>1.0151126318791</v>
      </c>
      <c r="AB480" s="12">
        <v>1424</v>
      </c>
      <c r="AC480" s="12">
        <v>0</v>
      </c>
      <c r="AD480" s="43"/>
      <c r="AE480" s="43"/>
      <c r="AF480" s="43"/>
      <c r="AG480" s="43"/>
      <c r="AH480" s="43"/>
      <c r="AI480" s="43"/>
      <c r="AJ480" s="43"/>
      <c r="AK480" s="43"/>
      <c r="AL480" s="43"/>
      <c r="AM480" s="43"/>
      <c r="AN480" s="43"/>
      <c r="AO480" s="43"/>
      <c r="AP480" s="43"/>
      <c r="AQ480" s="43"/>
      <c r="AR480" s="43"/>
      <c r="AS480" s="43"/>
      <c r="AT480" s="43"/>
      <c r="AU480" s="43"/>
      <c r="AV480" s="43"/>
    </row>
    <row r="481" ht="15.75" spans="1:48">
      <c r="A481" s="12">
        <v>477</v>
      </c>
      <c r="B481" s="44">
        <v>4412</v>
      </c>
      <c r="C481" s="45" t="s">
        <v>177</v>
      </c>
      <c r="D481" s="46"/>
      <c r="E481" s="47" t="s">
        <v>50</v>
      </c>
      <c r="F481" s="48">
        <v>1.67</v>
      </c>
      <c r="G481" s="38">
        <v>0</v>
      </c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49" t="s">
        <v>103</v>
      </c>
      <c r="Y481" s="50">
        <v>1402.8</v>
      </c>
      <c r="Z481" s="51">
        <v>1419</v>
      </c>
      <c r="AA481" s="52">
        <f>IFERROR(Z481/Y481,0)</f>
        <v>1.01154833190761</v>
      </c>
      <c r="AB481" s="12">
        <v>1419</v>
      </c>
      <c r="AC481" s="12">
        <v>0</v>
      </c>
      <c r="AD481" s="43"/>
      <c r="AE481" s="43"/>
      <c r="AF481" s="43"/>
      <c r="AG481" s="43"/>
      <c r="AH481" s="43"/>
      <c r="AI481" s="43"/>
      <c r="AJ481" s="43"/>
      <c r="AK481" s="43"/>
      <c r="AL481" s="43"/>
      <c r="AM481" s="43"/>
      <c r="AN481" s="43"/>
      <c r="AO481" s="43"/>
      <c r="AP481" s="43"/>
      <c r="AQ481" s="43"/>
      <c r="AR481" s="43"/>
      <c r="AS481" s="43"/>
      <c r="AT481" s="43"/>
      <c r="AU481" s="43"/>
      <c r="AV481" s="43"/>
    </row>
    <row r="482" ht="15.75" spans="1:48">
      <c r="A482" s="12">
        <v>478</v>
      </c>
      <c r="B482" s="44" t="s">
        <v>185</v>
      </c>
      <c r="C482" s="45" t="s">
        <v>179</v>
      </c>
      <c r="D482" s="46"/>
      <c r="E482" s="47" t="s">
        <v>50</v>
      </c>
      <c r="F482" s="48">
        <v>1.17</v>
      </c>
      <c r="G482" s="38">
        <v>0</v>
      </c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49" t="s">
        <v>103</v>
      </c>
      <c r="Y482" s="50">
        <v>982.8</v>
      </c>
      <c r="Z482" s="51">
        <v>960</v>
      </c>
      <c r="AA482" s="52">
        <f>IFERROR(Z482/Y482,0)</f>
        <v>0.976800976800977</v>
      </c>
      <c r="AB482" s="12">
        <v>960</v>
      </c>
      <c r="AC482" s="12">
        <v>0</v>
      </c>
      <c r="AD482" s="43"/>
      <c r="AE482" s="43"/>
      <c r="AF482" s="43"/>
      <c r="AG482" s="43"/>
      <c r="AH482" s="43"/>
      <c r="AI482" s="43"/>
      <c r="AJ482" s="43"/>
      <c r="AK482" s="43"/>
      <c r="AL482" s="43"/>
      <c r="AM482" s="43"/>
      <c r="AN482" s="43"/>
      <c r="AO482" s="43"/>
      <c r="AP482" s="43"/>
      <c r="AQ482" s="43"/>
      <c r="AR482" s="43"/>
      <c r="AS482" s="43"/>
      <c r="AT482" s="43"/>
      <c r="AU482" s="43"/>
      <c r="AV482" s="43"/>
    </row>
    <row r="483" ht="15.75" spans="1:48">
      <c r="A483" s="12">
        <v>479</v>
      </c>
      <c r="B483" s="44">
        <v>4360</v>
      </c>
      <c r="C483" s="45" t="s">
        <v>97</v>
      </c>
      <c r="D483" s="46"/>
      <c r="E483" s="47" t="s">
        <v>50</v>
      </c>
      <c r="F483" s="48">
        <v>1</v>
      </c>
      <c r="G483" s="38">
        <v>0</v>
      </c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49" t="s">
        <v>103</v>
      </c>
      <c r="Y483" s="50">
        <v>840</v>
      </c>
      <c r="Z483" s="51">
        <v>840</v>
      </c>
      <c r="AA483" s="52">
        <f>IFERROR(Z483/Y483,0)</f>
        <v>1</v>
      </c>
      <c r="AB483" s="12">
        <v>840</v>
      </c>
      <c r="AC483" s="12">
        <v>0</v>
      </c>
      <c r="AD483" s="43"/>
      <c r="AE483" s="43"/>
      <c r="AF483" s="43"/>
      <c r="AG483" s="43"/>
      <c r="AH483" s="43"/>
      <c r="AI483" s="43"/>
      <c r="AJ483" s="43"/>
      <c r="AK483" s="43"/>
      <c r="AL483" s="43"/>
      <c r="AM483" s="43"/>
      <c r="AN483" s="43"/>
      <c r="AO483" s="43"/>
      <c r="AP483" s="43"/>
      <c r="AQ483" s="43"/>
      <c r="AR483" s="43"/>
      <c r="AS483" s="43"/>
      <c r="AT483" s="43"/>
      <c r="AU483" s="43"/>
      <c r="AV483" s="43"/>
    </row>
    <row r="484" ht="15.75" spans="1:48">
      <c r="A484" s="12">
        <v>480</v>
      </c>
      <c r="B484" s="44">
        <v>4489</v>
      </c>
      <c r="C484" s="45" t="s">
        <v>88</v>
      </c>
      <c r="D484" s="46"/>
      <c r="E484" s="47" t="s">
        <v>50</v>
      </c>
      <c r="F484" s="48">
        <v>3.67</v>
      </c>
      <c r="G484" s="38">
        <v>0</v>
      </c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49" t="s">
        <v>103</v>
      </c>
      <c r="Y484" s="50">
        <v>3082.8</v>
      </c>
      <c r="Z484" s="51">
        <v>2720</v>
      </c>
      <c r="AA484" s="52">
        <f>IFERROR(Z484/Y484,0)</f>
        <v>0.882314778772544</v>
      </c>
      <c r="AB484" s="12">
        <v>2720</v>
      </c>
      <c r="AC484" s="12">
        <v>0</v>
      </c>
      <c r="AD484" s="43"/>
      <c r="AE484" s="43"/>
      <c r="AF484" s="43"/>
      <c r="AG484" s="43"/>
      <c r="AH484" s="43"/>
      <c r="AI484" s="43"/>
      <c r="AJ484" s="43"/>
      <c r="AK484" s="43"/>
      <c r="AL484" s="43"/>
      <c r="AM484" s="43"/>
      <c r="AN484" s="43"/>
      <c r="AO484" s="43"/>
      <c r="AP484" s="43"/>
      <c r="AQ484" s="43"/>
      <c r="AR484" s="43"/>
      <c r="AS484" s="43"/>
      <c r="AT484" s="43"/>
      <c r="AU484" s="43"/>
      <c r="AV484" s="43"/>
    </row>
    <row r="485" ht="15.75" spans="1:48">
      <c r="A485" s="12">
        <v>481</v>
      </c>
      <c r="B485" s="44" t="s">
        <v>230</v>
      </c>
      <c r="C485" s="45" t="s">
        <v>231</v>
      </c>
      <c r="D485" s="46"/>
      <c r="E485" s="47" t="s">
        <v>50</v>
      </c>
      <c r="F485" s="48">
        <v>3</v>
      </c>
      <c r="G485" s="38">
        <v>0</v>
      </c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49" t="s">
        <v>103</v>
      </c>
      <c r="Y485" s="50">
        <v>2520</v>
      </c>
      <c r="Z485" s="51">
        <v>2280</v>
      </c>
      <c r="AA485" s="52">
        <f>IFERROR(Z485/Y485,0)</f>
        <v>0.904761904761905</v>
      </c>
      <c r="AB485" s="12">
        <v>2280</v>
      </c>
      <c r="AC485" s="12">
        <v>0</v>
      </c>
      <c r="AD485" s="43"/>
      <c r="AE485" s="43"/>
      <c r="AF485" s="43"/>
      <c r="AG485" s="43"/>
      <c r="AH485" s="43"/>
      <c r="AI485" s="43"/>
      <c r="AJ485" s="43"/>
      <c r="AK485" s="43"/>
      <c r="AL485" s="43"/>
      <c r="AM485" s="43"/>
      <c r="AN485" s="43"/>
      <c r="AO485" s="43"/>
      <c r="AP485" s="43"/>
      <c r="AQ485" s="43"/>
      <c r="AR485" s="43"/>
      <c r="AS485" s="43"/>
      <c r="AT485" s="43"/>
      <c r="AU485" s="43"/>
      <c r="AV485" s="43"/>
    </row>
    <row r="486" ht="15.75" spans="1:48">
      <c r="A486" s="12">
        <v>482</v>
      </c>
      <c r="B486" s="44">
        <v>846</v>
      </c>
      <c r="C486" s="45" t="s">
        <v>87</v>
      </c>
      <c r="D486" s="46"/>
      <c r="E486" s="47" t="s">
        <v>50</v>
      </c>
      <c r="F486" s="48">
        <v>6.67</v>
      </c>
      <c r="G486" s="38">
        <v>0</v>
      </c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49" t="s">
        <v>105</v>
      </c>
      <c r="Y486" s="50">
        <v>4402.2</v>
      </c>
      <c r="Z486" s="51">
        <v>4370</v>
      </c>
      <c r="AA486" s="52">
        <f>IFERROR(Z486/Y486,0)</f>
        <v>0.992685475444096</v>
      </c>
      <c r="AB486" s="12">
        <v>4370</v>
      </c>
      <c r="AC486" s="12">
        <v>0</v>
      </c>
      <c r="AD486" s="43"/>
      <c r="AE486" s="43"/>
      <c r="AF486" s="43"/>
      <c r="AG486" s="43"/>
      <c r="AH486" s="43"/>
      <c r="AI486" s="43"/>
      <c r="AJ486" s="43"/>
      <c r="AK486" s="43"/>
      <c r="AL486" s="43"/>
      <c r="AM486" s="43"/>
      <c r="AN486" s="43"/>
      <c r="AO486" s="43"/>
      <c r="AP486" s="43"/>
      <c r="AQ486" s="43"/>
      <c r="AR486" s="43"/>
      <c r="AS486" s="43"/>
      <c r="AT486" s="43"/>
      <c r="AU486" s="43"/>
      <c r="AV486" s="43"/>
    </row>
    <row r="487" ht="15.75" spans="1:48">
      <c r="A487" s="12">
        <v>483</v>
      </c>
      <c r="B487" s="44" t="s">
        <v>181</v>
      </c>
      <c r="C487" s="45" t="s">
        <v>182</v>
      </c>
      <c r="D487" s="46"/>
      <c r="E487" s="47" t="s">
        <v>183</v>
      </c>
      <c r="F487" s="48">
        <v>7.17</v>
      </c>
      <c r="G487" s="38">
        <v>0.83</v>
      </c>
      <c r="H487" s="39"/>
      <c r="I487" s="39"/>
      <c r="J487" s="39"/>
      <c r="K487" s="39"/>
      <c r="L487" s="39"/>
      <c r="M487" s="39"/>
      <c r="N487" s="39"/>
      <c r="O487" s="39"/>
      <c r="P487" s="39"/>
      <c r="Q487" s="39">
        <v>0.83</v>
      </c>
      <c r="R487" s="39"/>
      <c r="S487" s="39"/>
      <c r="T487" s="39"/>
      <c r="U487" s="39"/>
      <c r="V487" s="39"/>
      <c r="W487" s="39"/>
      <c r="X487" s="49" t="s">
        <v>103</v>
      </c>
      <c r="Y487" s="50">
        <v>6022.8</v>
      </c>
      <c r="Z487" s="51">
        <v>3000</v>
      </c>
      <c r="AA487" s="52">
        <f>IFERROR(Z487/Y487,0)</f>
        <v>0.498107192667862</v>
      </c>
      <c r="AB487" s="12">
        <v>3000</v>
      </c>
      <c r="AC487" s="12">
        <v>0</v>
      </c>
      <c r="AD487" s="43"/>
      <c r="AE487" s="43"/>
      <c r="AF487" s="43"/>
      <c r="AG487" s="43"/>
      <c r="AH487" s="43"/>
      <c r="AI487" s="43"/>
      <c r="AJ487" s="43"/>
      <c r="AK487" s="43"/>
      <c r="AL487" s="43"/>
      <c r="AM487" s="43"/>
      <c r="AN487" s="43"/>
      <c r="AO487" s="43"/>
      <c r="AP487" s="43"/>
      <c r="AQ487" s="43"/>
      <c r="AR487" s="43"/>
      <c r="AS487" s="43"/>
      <c r="AT487" s="43"/>
      <c r="AU487" s="43"/>
      <c r="AV487" s="43"/>
    </row>
    <row r="488" ht="15.75" spans="1:48">
      <c r="A488" s="12">
        <v>484</v>
      </c>
      <c r="B488" s="44">
        <v>850</v>
      </c>
      <c r="C488" s="45" t="s">
        <v>109</v>
      </c>
      <c r="D488" s="46"/>
      <c r="E488" s="47" t="s">
        <v>50</v>
      </c>
      <c r="F488" s="48">
        <v>7.17</v>
      </c>
      <c r="G488" s="38">
        <v>0.83</v>
      </c>
      <c r="H488" s="39"/>
      <c r="I488" s="39"/>
      <c r="J488" s="39"/>
      <c r="K488" s="39"/>
      <c r="L488" s="39"/>
      <c r="M488" s="39"/>
      <c r="N488" s="39"/>
      <c r="O488" s="39"/>
      <c r="P488" s="39"/>
      <c r="Q488" s="39">
        <v>0.83</v>
      </c>
      <c r="R488" s="39"/>
      <c r="S488" s="39"/>
      <c r="T488" s="39"/>
      <c r="U488" s="39"/>
      <c r="V488" s="39"/>
      <c r="W488" s="39"/>
      <c r="X488" s="49" t="s">
        <v>103</v>
      </c>
      <c r="Y488" s="50">
        <v>6022.8</v>
      </c>
      <c r="Z488" s="51">
        <v>5287</v>
      </c>
      <c r="AA488" s="52">
        <f>IFERROR(Z488/Y488,0)</f>
        <v>0.877830909211662</v>
      </c>
      <c r="AB488" s="12">
        <v>5287</v>
      </c>
      <c r="AC488" s="12">
        <v>0</v>
      </c>
      <c r="AD488" s="43"/>
      <c r="AE488" s="43"/>
      <c r="AF488" s="43"/>
      <c r="AG488" s="43"/>
      <c r="AH488" s="43"/>
      <c r="AI488" s="43"/>
      <c r="AJ488" s="43"/>
      <c r="AK488" s="43"/>
      <c r="AL488" s="43"/>
      <c r="AM488" s="43"/>
      <c r="AN488" s="43"/>
      <c r="AO488" s="43"/>
      <c r="AP488" s="43"/>
      <c r="AQ488" s="43"/>
      <c r="AR488" s="43"/>
      <c r="AS488" s="43"/>
      <c r="AT488" s="43"/>
      <c r="AU488" s="43"/>
      <c r="AV488" s="43"/>
    </row>
    <row r="489" ht="15.75" spans="1:48">
      <c r="A489" s="12">
        <v>485</v>
      </c>
      <c r="B489" s="44">
        <v>849</v>
      </c>
      <c r="C489" s="45" t="s">
        <v>108</v>
      </c>
      <c r="D489" s="46"/>
      <c r="E489" s="47" t="s">
        <v>50</v>
      </c>
      <c r="F489" s="48">
        <v>7.17</v>
      </c>
      <c r="G489" s="38">
        <v>0.83</v>
      </c>
      <c r="H489" s="39"/>
      <c r="I489" s="39"/>
      <c r="J489" s="39"/>
      <c r="K489" s="39"/>
      <c r="L489" s="39"/>
      <c r="M489" s="39"/>
      <c r="N489" s="39"/>
      <c r="O489" s="39"/>
      <c r="P489" s="39"/>
      <c r="Q489" s="39">
        <v>0.83</v>
      </c>
      <c r="R489" s="39"/>
      <c r="S489" s="39"/>
      <c r="T489" s="39"/>
      <c r="U489" s="39"/>
      <c r="V489" s="39"/>
      <c r="W489" s="39"/>
      <c r="X489" s="49" t="s">
        <v>103</v>
      </c>
      <c r="Y489" s="50">
        <v>6022.8</v>
      </c>
      <c r="Z489" s="51">
        <v>3000</v>
      </c>
      <c r="AA489" s="52">
        <f>IFERROR(Z489/Y489,0)</f>
        <v>0.498107192667862</v>
      </c>
      <c r="AB489" s="12">
        <v>3000</v>
      </c>
      <c r="AC489" s="12">
        <v>0</v>
      </c>
      <c r="AD489" s="43"/>
      <c r="AE489" s="43"/>
      <c r="AF489" s="43"/>
      <c r="AG489" s="43"/>
      <c r="AH489" s="43"/>
      <c r="AI489" s="43"/>
      <c r="AJ489" s="43"/>
      <c r="AK489" s="43"/>
      <c r="AL489" s="43"/>
      <c r="AM489" s="43"/>
      <c r="AN489" s="43"/>
      <c r="AO489" s="43"/>
      <c r="AP489" s="43"/>
      <c r="AQ489" s="43"/>
      <c r="AR489" s="43"/>
      <c r="AS489" s="43"/>
      <c r="AT489" s="43"/>
      <c r="AU489" s="43"/>
      <c r="AV489" s="43"/>
    </row>
    <row r="490" ht="15.75" spans="1:48">
      <c r="A490" s="12">
        <v>486</v>
      </c>
      <c r="B490" s="44">
        <v>2890</v>
      </c>
      <c r="C490" s="45" t="s">
        <v>111</v>
      </c>
      <c r="D490" s="46" t="s">
        <v>215</v>
      </c>
      <c r="E490" s="47" t="s">
        <v>113</v>
      </c>
      <c r="F490" s="48">
        <v>10.17</v>
      </c>
      <c r="G490" s="38">
        <v>1.83</v>
      </c>
      <c r="H490" s="39"/>
      <c r="I490" s="39"/>
      <c r="J490" s="39"/>
      <c r="K490" s="39"/>
      <c r="L490" s="39"/>
      <c r="M490" s="39"/>
      <c r="N490" s="39"/>
      <c r="O490" s="39"/>
      <c r="P490" s="39"/>
      <c r="Q490" s="39">
        <v>1.33</v>
      </c>
      <c r="R490" s="39"/>
      <c r="S490" s="39"/>
      <c r="T490" s="39"/>
      <c r="U490" s="39">
        <v>0.5</v>
      </c>
      <c r="V490" s="39"/>
      <c r="W490" s="39"/>
      <c r="X490" s="49" t="s">
        <v>216</v>
      </c>
      <c r="Y490" s="50">
        <v>8644.5</v>
      </c>
      <c r="Z490" s="51">
        <v>8400</v>
      </c>
      <c r="AA490" s="52">
        <f>IFERROR(Z490/Y490,0)</f>
        <v>0.971716120076349</v>
      </c>
      <c r="AB490" s="12">
        <v>8382</v>
      </c>
      <c r="AC490" s="12">
        <v>18</v>
      </c>
      <c r="AD490" s="43"/>
      <c r="AE490" s="43"/>
      <c r="AF490" s="43"/>
      <c r="AG490" s="43"/>
      <c r="AH490" s="43"/>
      <c r="AI490" s="43"/>
      <c r="AJ490" s="43"/>
      <c r="AK490" s="43"/>
      <c r="AL490" s="43"/>
      <c r="AM490" s="43"/>
      <c r="AN490" s="19">
        <v>18</v>
      </c>
      <c r="AO490" s="43"/>
      <c r="AP490" s="43"/>
      <c r="AQ490" s="43"/>
      <c r="AR490" s="43"/>
      <c r="AS490" s="43"/>
      <c r="AT490" s="43"/>
      <c r="AU490" s="43"/>
      <c r="AV490" s="43"/>
    </row>
    <row r="491" ht="15.75" spans="1:48">
      <c r="A491" s="12">
        <v>487</v>
      </c>
      <c r="B491" s="44">
        <v>3111</v>
      </c>
      <c r="C491" s="45" t="s">
        <v>124</v>
      </c>
      <c r="D491" s="46" t="s">
        <v>116</v>
      </c>
      <c r="E491" s="47" t="s">
        <v>113</v>
      </c>
      <c r="F491" s="48">
        <v>2.33</v>
      </c>
      <c r="G491" s="38">
        <v>0.17</v>
      </c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>
        <v>0.17</v>
      </c>
      <c r="V491" s="39"/>
      <c r="W491" s="39"/>
      <c r="X491" s="49" t="s">
        <v>117</v>
      </c>
      <c r="Y491" s="50">
        <v>7234.65</v>
      </c>
      <c r="Z491" s="51">
        <v>7320</v>
      </c>
      <c r="AA491" s="52">
        <f>IFERROR(Z491/Y491,0)</f>
        <v>1.01179739171902</v>
      </c>
      <c r="AB491" s="12">
        <v>7320</v>
      </c>
      <c r="AC491" s="12">
        <v>0</v>
      </c>
      <c r="AD491" s="43"/>
      <c r="AE491" s="43"/>
      <c r="AF491" s="43"/>
      <c r="AG491" s="43"/>
      <c r="AH491" s="43"/>
      <c r="AI491" s="43"/>
      <c r="AJ491" s="43"/>
      <c r="AK491" s="43"/>
      <c r="AL491" s="43"/>
      <c r="AM491" s="43"/>
      <c r="AN491" s="43"/>
      <c r="AO491" s="43"/>
      <c r="AP491" s="43"/>
      <c r="AQ491" s="43"/>
      <c r="AR491" s="43"/>
      <c r="AS491" s="43"/>
      <c r="AT491" s="43"/>
      <c r="AU491" s="43"/>
      <c r="AV491" s="43"/>
    </row>
    <row r="492" ht="15.75" spans="1:48">
      <c r="A492" s="12">
        <v>488</v>
      </c>
      <c r="B492" s="44">
        <v>3111</v>
      </c>
      <c r="C492" s="45" t="s">
        <v>124</v>
      </c>
      <c r="D492" s="46" t="s">
        <v>217</v>
      </c>
      <c r="E492" s="47" t="s">
        <v>113</v>
      </c>
      <c r="F492" s="48">
        <v>8</v>
      </c>
      <c r="G492" s="38">
        <v>1.5</v>
      </c>
      <c r="H492" s="39"/>
      <c r="I492" s="39"/>
      <c r="J492" s="39"/>
      <c r="K492" s="39"/>
      <c r="L492" s="39"/>
      <c r="M492" s="39"/>
      <c r="N492" s="39"/>
      <c r="O492" s="39"/>
      <c r="P492" s="39"/>
      <c r="Q492" s="39">
        <v>1.33</v>
      </c>
      <c r="R492" s="39"/>
      <c r="S492" s="39"/>
      <c r="T492" s="39"/>
      <c r="U492" s="39">
        <v>0.17</v>
      </c>
      <c r="V492" s="39"/>
      <c r="W492" s="39"/>
      <c r="X492" s="49" t="s">
        <v>218</v>
      </c>
      <c r="Y492" s="50">
        <v>19320</v>
      </c>
      <c r="Z492" s="51">
        <v>19800</v>
      </c>
      <c r="AA492" s="52">
        <f>IFERROR(Z492/Y492,0)</f>
        <v>1.02484472049689</v>
      </c>
      <c r="AB492" s="12">
        <v>19800</v>
      </c>
      <c r="AC492" s="12">
        <v>0</v>
      </c>
      <c r="AD492" s="43"/>
      <c r="AE492" s="43"/>
      <c r="AF492" s="43"/>
      <c r="AG492" s="43"/>
      <c r="AH492" s="43"/>
      <c r="AI492" s="43"/>
      <c r="AJ492" s="43"/>
      <c r="AK492" s="43"/>
      <c r="AL492" s="43"/>
      <c r="AM492" s="43"/>
      <c r="AN492" s="43"/>
      <c r="AO492" s="43"/>
      <c r="AP492" s="43"/>
      <c r="AQ492" s="43"/>
      <c r="AR492" s="43"/>
      <c r="AS492" s="43"/>
      <c r="AT492" s="43"/>
      <c r="AU492" s="43"/>
      <c r="AV492" s="43"/>
    </row>
    <row r="493" ht="15.75" spans="1:48">
      <c r="A493" s="12">
        <v>489</v>
      </c>
      <c r="B493" s="44">
        <v>4456</v>
      </c>
      <c r="C493" s="45" t="s">
        <v>119</v>
      </c>
      <c r="D493" s="46"/>
      <c r="E493" s="47" t="s">
        <v>113</v>
      </c>
      <c r="F493" s="48">
        <v>10.66</v>
      </c>
      <c r="G493" s="38">
        <v>1.33</v>
      </c>
      <c r="H493" s="39"/>
      <c r="I493" s="39"/>
      <c r="J493" s="39"/>
      <c r="K493" s="39"/>
      <c r="L493" s="39"/>
      <c r="M493" s="39"/>
      <c r="N493" s="39"/>
      <c r="O493" s="39"/>
      <c r="P493" s="39"/>
      <c r="Q493" s="39">
        <v>1.33</v>
      </c>
      <c r="R493" s="39"/>
      <c r="S493" s="39"/>
      <c r="T493" s="39"/>
      <c r="U493" s="39"/>
      <c r="V493" s="39"/>
      <c r="W493" s="39"/>
      <c r="X493" s="49" t="s">
        <v>120</v>
      </c>
      <c r="Y493" s="50">
        <v>2665</v>
      </c>
      <c r="Z493" s="51">
        <v>2550</v>
      </c>
      <c r="AA493" s="52">
        <f>IFERROR(Z493/Y493,0)</f>
        <v>0.956848030018762</v>
      </c>
      <c r="AB493" s="12">
        <v>2550</v>
      </c>
      <c r="AC493" s="12">
        <v>0</v>
      </c>
      <c r="AD493" s="43"/>
      <c r="AE493" s="43"/>
      <c r="AF493" s="43"/>
      <c r="AG493" s="43"/>
      <c r="AH493" s="43"/>
      <c r="AI493" s="43"/>
      <c r="AJ493" s="43"/>
      <c r="AK493" s="43"/>
      <c r="AL493" s="43"/>
      <c r="AM493" s="43"/>
      <c r="AN493" s="43"/>
      <c r="AO493" s="43"/>
      <c r="AP493" s="43"/>
      <c r="AQ493" s="43"/>
      <c r="AR493" s="43"/>
      <c r="AS493" s="43"/>
      <c r="AT493" s="43"/>
      <c r="AU493" s="43"/>
      <c r="AV493" s="43"/>
    </row>
    <row r="494" ht="15.75" spans="1:48">
      <c r="A494" s="12">
        <v>490</v>
      </c>
      <c r="B494" s="44">
        <v>2649</v>
      </c>
      <c r="C494" s="45" t="s">
        <v>121</v>
      </c>
      <c r="D494" s="46"/>
      <c r="E494" s="47" t="s">
        <v>113</v>
      </c>
      <c r="F494" s="48">
        <v>8.33</v>
      </c>
      <c r="G494" s="38">
        <v>1.33</v>
      </c>
      <c r="H494" s="39"/>
      <c r="I494" s="39"/>
      <c r="J494" s="39"/>
      <c r="K494" s="39"/>
      <c r="L494" s="39"/>
      <c r="M494" s="39"/>
      <c r="N494" s="39"/>
      <c r="O494" s="39"/>
      <c r="P494" s="39"/>
      <c r="Q494" s="39">
        <v>1.33</v>
      </c>
      <c r="R494" s="39"/>
      <c r="S494" s="39"/>
      <c r="T494" s="39"/>
      <c r="U494" s="39"/>
      <c r="V494" s="39"/>
      <c r="W494" s="39"/>
      <c r="X494" s="49" t="s">
        <v>120</v>
      </c>
      <c r="Y494" s="50">
        <v>2082.5</v>
      </c>
      <c r="Z494" s="51">
        <v>2050</v>
      </c>
      <c r="AA494" s="52">
        <f>IFERROR(Z494/Y494,0)</f>
        <v>0.984393757503001</v>
      </c>
      <c r="AB494" s="12">
        <v>2050</v>
      </c>
      <c r="AC494" s="12">
        <v>0</v>
      </c>
      <c r="AD494" s="43"/>
      <c r="AE494" s="43"/>
      <c r="AF494" s="43"/>
      <c r="AG494" s="43"/>
      <c r="AH494" s="43"/>
      <c r="AI494" s="43"/>
      <c r="AJ494" s="43"/>
      <c r="AK494" s="43"/>
      <c r="AL494" s="43"/>
      <c r="AM494" s="43"/>
      <c r="AN494" s="43"/>
      <c r="AO494" s="43"/>
      <c r="AP494" s="43"/>
      <c r="AQ494" s="43"/>
      <c r="AR494" s="43"/>
      <c r="AS494" s="43"/>
      <c r="AT494" s="43"/>
      <c r="AU494" s="43"/>
      <c r="AV494" s="43"/>
    </row>
    <row r="495" ht="15.75" spans="1:48">
      <c r="A495" s="12">
        <v>491</v>
      </c>
      <c r="B495" s="44">
        <v>2649</v>
      </c>
      <c r="C495" s="45" t="s">
        <v>121</v>
      </c>
      <c r="D495" s="46"/>
      <c r="E495" s="47" t="s">
        <v>113</v>
      </c>
      <c r="F495" s="48">
        <v>2.33</v>
      </c>
      <c r="G495" s="38">
        <v>0</v>
      </c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49" t="s">
        <v>122</v>
      </c>
      <c r="Y495" s="50">
        <v>0</v>
      </c>
      <c r="Z495" s="51"/>
      <c r="AA495" s="52">
        <f>IFERROR(Z495/Y495,0)</f>
        <v>0</v>
      </c>
      <c r="AB495" s="12">
        <v>0</v>
      </c>
      <c r="AC495" s="12">
        <v>0</v>
      </c>
      <c r="AD495" s="43"/>
      <c r="AE495" s="43"/>
      <c r="AF495" s="43"/>
      <c r="AG495" s="43"/>
      <c r="AH495" s="43"/>
      <c r="AI495" s="43"/>
      <c r="AJ495" s="43"/>
      <c r="AK495" s="43"/>
      <c r="AL495" s="43"/>
      <c r="AM495" s="43"/>
      <c r="AN495" s="43"/>
      <c r="AO495" s="43"/>
      <c r="AP495" s="43"/>
      <c r="AQ495" s="43"/>
      <c r="AR495" s="43"/>
      <c r="AS495" s="43"/>
      <c r="AT495" s="43"/>
      <c r="AU495" s="43"/>
      <c r="AV495" s="43"/>
    </row>
    <row r="496" ht="15.75" spans="1:48">
      <c r="A496" s="12">
        <v>492</v>
      </c>
      <c r="B496" s="44">
        <v>655</v>
      </c>
      <c r="C496" s="45" t="s">
        <v>198</v>
      </c>
      <c r="D496" s="46"/>
      <c r="E496" s="47" t="s">
        <v>113</v>
      </c>
      <c r="F496" s="48">
        <v>3.66</v>
      </c>
      <c r="G496" s="38">
        <v>0.33</v>
      </c>
      <c r="H496" s="39"/>
      <c r="I496" s="39"/>
      <c r="J496" s="39"/>
      <c r="K496" s="39">
        <v>0.33</v>
      </c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49">
        <v>9140</v>
      </c>
      <c r="Y496" s="50">
        <v>1830</v>
      </c>
      <c r="Z496" s="51">
        <v>1350</v>
      </c>
      <c r="AA496" s="52">
        <f>IFERROR(Z496/Y496,0)</f>
        <v>0.737704918032787</v>
      </c>
      <c r="AB496" s="12">
        <v>1350</v>
      </c>
      <c r="AC496" s="12">
        <v>0</v>
      </c>
      <c r="AD496" s="43"/>
      <c r="AE496" s="43"/>
      <c r="AF496" s="43"/>
      <c r="AG496" s="43"/>
      <c r="AH496" s="43"/>
      <c r="AI496" s="43"/>
      <c r="AJ496" s="43"/>
      <c r="AK496" s="43"/>
      <c r="AL496" s="43"/>
      <c r="AM496" s="43"/>
      <c r="AN496" s="43"/>
      <c r="AO496" s="43"/>
      <c r="AP496" s="43"/>
      <c r="AQ496" s="43"/>
      <c r="AR496" s="43"/>
      <c r="AS496" s="43"/>
      <c r="AT496" s="43"/>
      <c r="AU496" s="43"/>
      <c r="AV496" s="43"/>
    </row>
    <row r="497" ht="15.75" spans="1:48">
      <c r="A497" s="12">
        <v>493</v>
      </c>
      <c r="B497" s="44">
        <v>4418</v>
      </c>
      <c r="C497" s="45" t="s">
        <v>125</v>
      </c>
      <c r="D497" s="46">
        <v>1</v>
      </c>
      <c r="E497" s="47" t="s">
        <v>113</v>
      </c>
      <c r="F497" s="48">
        <v>10.33</v>
      </c>
      <c r="G497" s="38">
        <v>1.67</v>
      </c>
      <c r="H497" s="39"/>
      <c r="I497" s="39"/>
      <c r="J497" s="39"/>
      <c r="K497" s="39">
        <v>0.17</v>
      </c>
      <c r="L497" s="39"/>
      <c r="M497" s="39"/>
      <c r="N497" s="39"/>
      <c r="O497" s="39"/>
      <c r="P497" s="39"/>
      <c r="Q497" s="39">
        <v>1.33</v>
      </c>
      <c r="R497" s="39"/>
      <c r="S497" s="39"/>
      <c r="T497" s="39"/>
      <c r="U497" s="39">
        <v>0.17</v>
      </c>
      <c r="V497" s="39"/>
      <c r="W497" s="39"/>
      <c r="X497" s="49" t="s">
        <v>199</v>
      </c>
      <c r="Y497" s="50">
        <v>3615.5</v>
      </c>
      <c r="Z497" s="51">
        <v>3600</v>
      </c>
      <c r="AA497" s="52">
        <f>IFERROR(Z497/Y497,0)</f>
        <v>0.995712902779698</v>
      </c>
      <c r="AB497" s="12">
        <v>3600</v>
      </c>
      <c r="AC497" s="12">
        <v>0</v>
      </c>
      <c r="AD497" s="43"/>
      <c r="AE497" s="43"/>
      <c r="AF497" s="43"/>
      <c r="AG497" s="43"/>
      <c r="AH497" s="43"/>
      <c r="AI497" s="43"/>
      <c r="AJ497" s="43"/>
      <c r="AK497" s="43"/>
      <c r="AL497" s="43"/>
      <c r="AM497" s="43"/>
      <c r="AN497" s="43"/>
      <c r="AO497" s="43"/>
      <c r="AP497" s="43"/>
      <c r="AQ497" s="43"/>
      <c r="AR497" s="43"/>
      <c r="AS497" s="43"/>
      <c r="AT497" s="43"/>
      <c r="AU497" s="43"/>
      <c r="AV497" s="43"/>
    </row>
    <row r="498" ht="15.75" spans="1:48">
      <c r="A498" s="12">
        <v>494</v>
      </c>
      <c r="B498" s="44">
        <v>656</v>
      </c>
      <c r="C498" s="45" t="s">
        <v>195</v>
      </c>
      <c r="D498" s="46">
        <v>12</v>
      </c>
      <c r="E498" s="47" t="s">
        <v>113</v>
      </c>
      <c r="F498" s="48">
        <v>6.83</v>
      </c>
      <c r="G498" s="38">
        <v>1.5</v>
      </c>
      <c r="H498" s="39"/>
      <c r="I498" s="39"/>
      <c r="J498" s="39"/>
      <c r="K498" s="39"/>
      <c r="L498" s="39"/>
      <c r="M498" s="39"/>
      <c r="N498" s="39"/>
      <c r="O498" s="39"/>
      <c r="P498" s="39"/>
      <c r="Q498" s="39">
        <v>1.33</v>
      </c>
      <c r="R498" s="39"/>
      <c r="S498" s="39"/>
      <c r="T498" s="39"/>
      <c r="U498" s="39">
        <v>0.17</v>
      </c>
      <c r="V498" s="39"/>
      <c r="W498" s="39"/>
      <c r="X498" s="49" t="s">
        <v>71</v>
      </c>
      <c r="Y498" s="50">
        <v>2288.05</v>
      </c>
      <c r="Z498" s="51">
        <v>2280</v>
      </c>
      <c r="AA498" s="52">
        <f>IFERROR(Z498/Y498,0)</f>
        <v>0.996481720242127</v>
      </c>
      <c r="AB498" s="12">
        <v>2280</v>
      </c>
      <c r="AC498" s="12">
        <v>0</v>
      </c>
      <c r="AD498" s="43"/>
      <c r="AE498" s="43"/>
      <c r="AF498" s="43"/>
      <c r="AG498" s="43"/>
      <c r="AH498" s="43"/>
      <c r="AI498" s="43"/>
      <c r="AJ498" s="43"/>
      <c r="AK498" s="43"/>
      <c r="AL498" s="43"/>
      <c r="AM498" s="43"/>
      <c r="AN498" s="43"/>
      <c r="AO498" s="43"/>
      <c r="AP498" s="43"/>
      <c r="AQ498" s="43"/>
      <c r="AR498" s="43"/>
      <c r="AS498" s="43"/>
      <c r="AT498" s="43"/>
      <c r="AU498" s="43"/>
      <c r="AV498" s="43"/>
    </row>
    <row r="499" ht="15.75" spans="1:48">
      <c r="A499" s="12">
        <v>495</v>
      </c>
      <c r="B499" s="44">
        <v>656</v>
      </c>
      <c r="C499" s="45" t="s">
        <v>195</v>
      </c>
      <c r="D499" s="46"/>
      <c r="E499" s="47" t="s">
        <v>113</v>
      </c>
      <c r="F499" s="48">
        <v>1.83</v>
      </c>
      <c r="G499" s="38">
        <v>0</v>
      </c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49" t="s">
        <v>232</v>
      </c>
      <c r="Y499" s="50">
        <v>329.4</v>
      </c>
      <c r="Z499" s="51">
        <v>350</v>
      </c>
      <c r="AA499" s="52">
        <f>IFERROR(Z499/Y499,0)</f>
        <v>1.06253794778385</v>
      </c>
      <c r="AB499" s="12">
        <v>350</v>
      </c>
      <c r="AC499" s="12">
        <v>0</v>
      </c>
      <c r="AD499" s="43"/>
      <c r="AE499" s="43"/>
      <c r="AF499" s="43"/>
      <c r="AG499" s="43"/>
      <c r="AH499" s="43"/>
      <c r="AI499" s="43"/>
      <c r="AJ499" s="43"/>
      <c r="AK499" s="43"/>
      <c r="AL499" s="43"/>
      <c r="AM499" s="43"/>
      <c r="AN499" s="43"/>
      <c r="AO499" s="43"/>
      <c r="AP499" s="43"/>
      <c r="AQ499" s="43"/>
      <c r="AR499" s="43"/>
      <c r="AS499" s="43"/>
      <c r="AT499" s="43"/>
      <c r="AU499" s="43"/>
      <c r="AV499" s="43"/>
    </row>
    <row r="500" ht="15.75" spans="1:48">
      <c r="A500" s="12">
        <v>496</v>
      </c>
      <c r="B500" s="44">
        <v>656</v>
      </c>
      <c r="C500" s="45" t="s">
        <v>195</v>
      </c>
      <c r="D500" s="46"/>
      <c r="E500" s="47" t="s">
        <v>113</v>
      </c>
      <c r="F500" s="48">
        <v>1.83</v>
      </c>
      <c r="G500" s="38">
        <v>0</v>
      </c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49" t="s">
        <v>233</v>
      </c>
      <c r="Y500" s="50">
        <v>329.4</v>
      </c>
      <c r="Z500" s="51">
        <v>350</v>
      </c>
      <c r="AA500" s="52">
        <f>IFERROR(Z500/Y500,0)</f>
        <v>1.06253794778385</v>
      </c>
      <c r="AB500" s="12">
        <v>350</v>
      </c>
      <c r="AC500" s="12">
        <v>0</v>
      </c>
      <c r="AD500" s="43"/>
      <c r="AE500" s="43"/>
      <c r="AF500" s="43"/>
      <c r="AG500" s="43"/>
      <c r="AH500" s="43"/>
      <c r="AI500" s="43"/>
      <c r="AJ500" s="43"/>
      <c r="AK500" s="43"/>
      <c r="AL500" s="43"/>
      <c r="AM500" s="43"/>
      <c r="AN500" s="43"/>
      <c r="AO500" s="43"/>
      <c r="AP500" s="43"/>
      <c r="AQ500" s="43"/>
      <c r="AR500" s="43"/>
      <c r="AS500" s="43"/>
      <c r="AT500" s="43"/>
      <c r="AU500" s="43"/>
      <c r="AV500" s="43"/>
    </row>
    <row r="501" ht="15.75" spans="1:48">
      <c r="A501" s="12">
        <v>497</v>
      </c>
      <c r="B501" s="44">
        <v>3919</v>
      </c>
      <c r="C501" s="45" t="s">
        <v>137</v>
      </c>
      <c r="D501" s="46"/>
      <c r="E501" s="47" t="s">
        <v>113</v>
      </c>
      <c r="F501" s="48">
        <v>3</v>
      </c>
      <c r="G501" s="38">
        <v>1.33</v>
      </c>
      <c r="H501" s="39"/>
      <c r="I501" s="39"/>
      <c r="J501" s="39"/>
      <c r="K501" s="39"/>
      <c r="L501" s="39"/>
      <c r="M501" s="39"/>
      <c r="N501" s="39"/>
      <c r="O501" s="39"/>
      <c r="P501" s="39"/>
      <c r="Q501" s="39">
        <v>1.33</v>
      </c>
      <c r="R501" s="39"/>
      <c r="S501" s="39"/>
      <c r="T501" s="39"/>
      <c r="U501" s="39"/>
      <c r="V501" s="39"/>
      <c r="W501" s="39"/>
      <c r="X501" s="49" t="s">
        <v>220</v>
      </c>
      <c r="Y501" s="50">
        <v>5400</v>
      </c>
      <c r="Z501" s="51">
        <v>4800</v>
      </c>
      <c r="AA501" s="52">
        <f>IFERROR(Z501/Y501,0)</f>
        <v>0.888888888888889</v>
      </c>
      <c r="AB501" s="12">
        <v>4800</v>
      </c>
      <c r="AC501" s="12">
        <v>0</v>
      </c>
      <c r="AD501" s="43"/>
      <c r="AE501" s="43"/>
      <c r="AF501" s="43"/>
      <c r="AG501" s="43"/>
      <c r="AH501" s="43"/>
      <c r="AI501" s="43"/>
      <c r="AJ501" s="43"/>
      <c r="AK501" s="43"/>
      <c r="AL501" s="43"/>
      <c r="AM501" s="43"/>
      <c r="AN501" s="43"/>
      <c r="AO501" s="43"/>
      <c r="AP501" s="43"/>
      <c r="AQ501" s="43"/>
      <c r="AR501" s="43"/>
      <c r="AS501" s="43"/>
      <c r="AT501" s="43"/>
      <c r="AU501" s="43"/>
      <c r="AV501" s="43"/>
    </row>
    <row r="502" ht="15.75" spans="1:48">
      <c r="A502" s="12">
        <v>498</v>
      </c>
      <c r="B502" s="44">
        <v>3919</v>
      </c>
      <c r="C502" s="45" t="s">
        <v>137</v>
      </c>
      <c r="D502" s="46"/>
      <c r="E502" s="47" t="s">
        <v>113</v>
      </c>
      <c r="F502" s="48">
        <v>7.67</v>
      </c>
      <c r="G502" s="38">
        <v>0</v>
      </c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49" t="s">
        <v>155</v>
      </c>
      <c r="Y502" s="50">
        <v>0</v>
      </c>
      <c r="Z502" s="51"/>
      <c r="AA502" s="52">
        <f>IFERROR(Z502/Y502,0)</f>
        <v>0</v>
      </c>
      <c r="AB502" s="12">
        <v>0</v>
      </c>
      <c r="AC502" s="12">
        <v>0</v>
      </c>
      <c r="AD502" s="43"/>
      <c r="AE502" s="43"/>
      <c r="AF502" s="43"/>
      <c r="AG502" s="43"/>
      <c r="AH502" s="43"/>
      <c r="AI502" s="43"/>
      <c r="AJ502" s="43"/>
      <c r="AK502" s="43"/>
      <c r="AL502" s="43"/>
      <c r="AM502" s="43"/>
      <c r="AN502" s="43"/>
      <c r="AO502" s="43"/>
      <c r="AP502" s="43"/>
      <c r="AQ502" s="43"/>
      <c r="AR502" s="43"/>
      <c r="AS502" s="43"/>
      <c r="AT502" s="43"/>
      <c r="AU502" s="43"/>
      <c r="AV502" s="43"/>
    </row>
    <row r="503" ht="15.75" spans="1:48">
      <c r="A503" s="12">
        <v>499</v>
      </c>
      <c r="B503" s="44">
        <v>4019</v>
      </c>
      <c r="C503" s="45" t="s">
        <v>134</v>
      </c>
      <c r="D503" s="46" t="s">
        <v>76</v>
      </c>
      <c r="E503" s="47" t="s">
        <v>113</v>
      </c>
      <c r="F503" s="48">
        <v>10.17</v>
      </c>
      <c r="G503" s="38">
        <v>1.83</v>
      </c>
      <c r="H503" s="39"/>
      <c r="I503" s="39"/>
      <c r="J503" s="39"/>
      <c r="K503" s="39">
        <v>0.17</v>
      </c>
      <c r="L503" s="39"/>
      <c r="M503" s="39"/>
      <c r="N503" s="39"/>
      <c r="O503" s="39"/>
      <c r="P503" s="39"/>
      <c r="Q503" s="39">
        <v>1.33</v>
      </c>
      <c r="R503" s="39"/>
      <c r="S503" s="39"/>
      <c r="T503" s="39"/>
      <c r="U503" s="39">
        <v>0.33</v>
      </c>
      <c r="V503" s="39"/>
      <c r="W503" s="39"/>
      <c r="X503" s="49" t="s">
        <v>77</v>
      </c>
      <c r="Y503" s="50">
        <v>61020</v>
      </c>
      <c r="Z503" s="51">
        <v>57920</v>
      </c>
      <c r="AA503" s="52">
        <f>IFERROR(Z503/Y503,0)</f>
        <v>0.949196984595215</v>
      </c>
      <c r="AB503" s="12">
        <v>57920</v>
      </c>
      <c r="AC503" s="12">
        <v>0</v>
      </c>
      <c r="AD503" s="43"/>
      <c r="AE503" s="43"/>
      <c r="AF503" s="43"/>
      <c r="AG503" s="43"/>
      <c r="AH503" s="43"/>
      <c r="AI503" s="43"/>
      <c r="AJ503" s="43"/>
      <c r="AK503" s="43"/>
      <c r="AL503" s="43"/>
      <c r="AM503" s="43"/>
      <c r="AN503" s="43"/>
      <c r="AO503" s="43"/>
      <c r="AP503" s="43"/>
      <c r="AQ503" s="43"/>
      <c r="AR503" s="43"/>
      <c r="AS503" s="43"/>
      <c r="AT503" s="43"/>
      <c r="AU503" s="43"/>
      <c r="AV503" s="43"/>
    </row>
    <row r="504" ht="15.75" spans="1:48">
      <c r="A504" s="12">
        <v>500</v>
      </c>
      <c r="B504" s="44">
        <v>4019</v>
      </c>
      <c r="C504" s="45" t="s">
        <v>134</v>
      </c>
      <c r="D504" s="46" t="s">
        <v>207</v>
      </c>
      <c r="E504" s="47" t="s">
        <v>113</v>
      </c>
      <c r="F504" s="48">
        <v>10.17</v>
      </c>
      <c r="G504" s="38">
        <v>1.83</v>
      </c>
      <c r="H504" s="39"/>
      <c r="I504" s="39"/>
      <c r="J504" s="39"/>
      <c r="K504" s="39">
        <v>0.17</v>
      </c>
      <c r="L504" s="39"/>
      <c r="M504" s="39"/>
      <c r="N504" s="39"/>
      <c r="O504" s="39"/>
      <c r="P504" s="39"/>
      <c r="Q504" s="39">
        <v>1.33</v>
      </c>
      <c r="R504" s="39"/>
      <c r="S504" s="39"/>
      <c r="T504" s="39"/>
      <c r="U504" s="39">
        <v>0.33</v>
      </c>
      <c r="V504" s="39"/>
      <c r="W504" s="39"/>
      <c r="X504" s="49" t="s">
        <v>79</v>
      </c>
      <c r="Y504" s="50">
        <v>67732.2</v>
      </c>
      <c r="Z504" s="51">
        <v>61600</v>
      </c>
      <c r="AA504" s="52">
        <f>IFERROR(Z504/Y504,0)</f>
        <v>0.909464036307694</v>
      </c>
      <c r="AB504" s="12">
        <v>61600</v>
      </c>
      <c r="AC504" s="12">
        <v>0</v>
      </c>
      <c r="AD504" s="43"/>
      <c r="AE504" s="43"/>
      <c r="AF504" s="43"/>
      <c r="AG504" s="43"/>
      <c r="AH504" s="43"/>
      <c r="AI504" s="43"/>
      <c r="AJ504" s="43"/>
      <c r="AK504" s="43"/>
      <c r="AL504" s="43"/>
      <c r="AM504" s="43"/>
      <c r="AN504" s="43"/>
      <c r="AO504" s="43"/>
      <c r="AP504" s="43"/>
      <c r="AQ504" s="43"/>
      <c r="AR504" s="43"/>
      <c r="AS504" s="43"/>
      <c r="AT504" s="43"/>
      <c r="AU504" s="43"/>
      <c r="AV504" s="43"/>
    </row>
    <row r="505" ht="15.75" spans="1:48">
      <c r="A505" s="12">
        <v>501</v>
      </c>
      <c r="B505" s="44">
        <v>4019</v>
      </c>
      <c r="C505" s="45" t="s">
        <v>134</v>
      </c>
      <c r="D505" s="46" t="s">
        <v>78</v>
      </c>
      <c r="E505" s="47" t="s">
        <v>113</v>
      </c>
      <c r="F505" s="48">
        <v>10.17</v>
      </c>
      <c r="G505" s="38">
        <v>1.83</v>
      </c>
      <c r="H505" s="39"/>
      <c r="I505" s="39"/>
      <c r="J505" s="39"/>
      <c r="K505" s="39">
        <v>0.17</v>
      </c>
      <c r="L505" s="39"/>
      <c r="M505" s="39"/>
      <c r="N505" s="39"/>
      <c r="O505" s="39"/>
      <c r="P505" s="39"/>
      <c r="Q505" s="39">
        <v>1.33</v>
      </c>
      <c r="R505" s="39"/>
      <c r="S505" s="39"/>
      <c r="T505" s="39"/>
      <c r="U505" s="39">
        <v>0.33</v>
      </c>
      <c r="V505" s="39"/>
      <c r="W505" s="39"/>
      <c r="X505" s="49" t="s">
        <v>79</v>
      </c>
      <c r="Y505" s="50">
        <v>67732.2</v>
      </c>
      <c r="Z505" s="51">
        <v>61440</v>
      </c>
      <c r="AA505" s="52">
        <f>IFERROR(Z505/Y505,0)</f>
        <v>0.907101792057544</v>
      </c>
      <c r="AB505" s="12">
        <v>61440</v>
      </c>
      <c r="AC505" s="12">
        <v>0</v>
      </c>
      <c r="AD505" s="43"/>
      <c r="AE505" s="43"/>
      <c r="AF505" s="43"/>
      <c r="AG505" s="43"/>
      <c r="AH505" s="43"/>
      <c r="AI505" s="43"/>
      <c r="AJ505" s="43"/>
      <c r="AK505" s="43"/>
      <c r="AL505" s="43"/>
      <c r="AM505" s="43"/>
      <c r="AN505" s="43"/>
      <c r="AO505" s="43"/>
      <c r="AP505" s="43"/>
      <c r="AQ505" s="43"/>
      <c r="AR505" s="43"/>
      <c r="AS505" s="43"/>
      <c r="AT505" s="43"/>
      <c r="AU505" s="43"/>
      <c r="AV505" s="43"/>
    </row>
    <row r="506" ht="15.75" spans="1:48">
      <c r="A506" s="12">
        <v>502</v>
      </c>
      <c r="B506" s="44">
        <v>4352</v>
      </c>
      <c r="C506" s="45" t="s">
        <v>132</v>
      </c>
      <c r="D506" s="46" t="s">
        <v>81</v>
      </c>
      <c r="E506" s="47" t="s">
        <v>113</v>
      </c>
      <c r="F506" s="48">
        <v>3.83</v>
      </c>
      <c r="G506" s="38">
        <v>1.5</v>
      </c>
      <c r="H506" s="39"/>
      <c r="I506" s="39"/>
      <c r="J506" s="39"/>
      <c r="K506" s="39"/>
      <c r="L506" s="39"/>
      <c r="M506" s="39"/>
      <c r="N506" s="39"/>
      <c r="O506" s="39"/>
      <c r="P506" s="39"/>
      <c r="Q506" s="39">
        <v>1.33</v>
      </c>
      <c r="R506" s="39"/>
      <c r="S506" s="39"/>
      <c r="T506" s="39"/>
      <c r="U506" s="39">
        <v>0.17</v>
      </c>
      <c r="V506" s="39"/>
      <c r="W506" s="39"/>
      <c r="X506" s="49" t="s">
        <v>210</v>
      </c>
      <c r="Y506" s="50">
        <v>6223.75</v>
      </c>
      <c r="Z506" s="51">
        <v>6356</v>
      </c>
      <c r="AA506" s="52">
        <f>IFERROR(Z506/Y506,0)</f>
        <v>1.02124924683671</v>
      </c>
      <c r="AB506" s="12">
        <v>6356</v>
      </c>
      <c r="AC506" s="12">
        <v>0</v>
      </c>
      <c r="AD506" s="43"/>
      <c r="AE506" s="43"/>
      <c r="AF506" s="43"/>
      <c r="AG506" s="43"/>
      <c r="AH506" s="43"/>
      <c r="AI506" s="43"/>
      <c r="AJ506" s="43"/>
      <c r="AK506" s="43"/>
      <c r="AL506" s="43"/>
      <c r="AM506" s="43"/>
      <c r="AN506" s="43"/>
      <c r="AO506" s="43"/>
      <c r="AP506" s="43"/>
      <c r="AQ506" s="43"/>
      <c r="AR506" s="43"/>
      <c r="AS506" s="43"/>
      <c r="AT506" s="43"/>
      <c r="AU506" s="43"/>
      <c r="AV506" s="43"/>
    </row>
    <row r="507" ht="15.75" spans="1:48">
      <c r="A507" s="12">
        <v>503</v>
      </c>
      <c r="B507" s="44">
        <v>4352</v>
      </c>
      <c r="C507" s="45" t="s">
        <v>132</v>
      </c>
      <c r="D507" s="46" t="s">
        <v>81</v>
      </c>
      <c r="E507" s="47" t="s">
        <v>113</v>
      </c>
      <c r="F507" s="48">
        <v>6.67</v>
      </c>
      <c r="G507" s="38">
        <v>0</v>
      </c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49" t="s">
        <v>201</v>
      </c>
      <c r="Y507" s="50">
        <v>10838.75</v>
      </c>
      <c r="Z507" s="51">
        <v>10724</v>
      </c>
      <c r="AA507" s="52">
        <f>IFERROR(Z507/Y507,0)</f>
        <v>0.989412985814785</v>
      </c>
      <c r="AB507" s="12">
        <v>10724</v>
      </c>
      <c r="AC507" s="12">
        <v>0</v>
      </c>
      <c r="AD507" s="43"/>
      <c r="AE507" s="43"/>
      <c r="AF507" s="43"/>
      <c r="AG507" s="43"/>
      <c r="AH507" s="43"/>
      <c r="AI507" s="43"/>
      <c r="AJ507" s="43"/>
      <c r="AK507" s="43"/>
      <c r="AL507" s="43"/>
      <c r="AM507" s="43"/>
      <c r="AN507" s="43"/>
      <c r="AO507" s="43"/>
      <c r="AP507" s="43"/>
      <c r="AQ507" s="43"/>
      <c r="AR507" s="43"/>
      <c r="AS507" s="43"/>
      <c r="AT507" s="43"/>
      <c r="AU507" s="43"/>
      <c r="AV507" s="43"/>
    </row>
    <row r="508" ht="15.75" spans="1:48">
      <c r="A508" s="12">
        <v>504</v>
      </c>
      <c r="B508" s="44">
        <v>4496</v>
      </c>
      <c r="C508" s="45" t="s">
        <v>133</v>
      </c>
      <c r="D508" s="46" t="s">
        <v>138</v>
      </c>
      <c r="E508" s="47" t="s">
        <v>113</v>
      </c>
      <c r="F508" s="48">
        <v>10.5</v>
      </c>
      <c r="G508" s="38">
        <v>1.5</v>
      </c>
      <c r="H508" s="39"/>
      <c r="I508" s="39"/>
      <c r="J508" s="39"/>
      <c r="K508" s="39"/>
      <c r="L508" s="39"/>
      <c r="M508" s="39"/>
      <c r="N508" s="39"/>
      <c r="O508" s="39"/>
      <c r="P508" s="39"/>
      <c r="Q508" s="39">
        <v>1.33</v>
      </c>
      <c r="R508" s="39"/>
      <c r="S508" s="39"/>
      <c r="T508" s="39"/>
      <c r="U508" s="39">
        <v>0.17</v>
      </c>
      <c r="V508" s="39"/>
      <c r="W508" s="39"/>
      <c r="X508" s="49" t="s">
        <v>139</v>
      </c>
      <c r="Y508" s="50">
        <v>16012.5</v>
      </c>
      <c r="Z508" s="51">
        <v>16000</v>
      </c>
      <c r="AA508" s="52">
        <f>IFERROR(Z508/Y508,0)</f>
        <v>0.999219359875098</v>
      </c>
      <c r="AB508" s="12">
        <v>16000</v>
      </c>
      <c r="AC508" s="12">
        <v>0</v>
      </c>
      <c r="AD508" s="43"/>
      <c r="AE508" s="43"/>
      <c r="AF508" s="43"/>
      <c r="AG508" s="43"/>
      <c r="AH508" s="43"/>
      <c r="AI508" s="43"/>
      <c r="AJ508" s="43"/>
      <c r="AK508" s="43"/>
      <c r="AL508" s="43"/>
      <c r="AM508" s="43"/>
      <c r="AN508" s="43"/>
      <c r="AO508" s="43"/>
      <c r="AP508" s="43"/>
      <c r="AQ508" s="43"/>
      <c r="AR508" s="43"/>
      <c r="AS508" s="43"/>
      <c r="AT508" s="43"/>
      <c r="AU508" s="43"/>
      <c r="AV508" s="43"/>
    </row>
    <row r="509" ht="15.75" spans="1:48">
      <c r="A509" s="12">
        <v>505</v>
      </c>
      <c r="B509" s="44">
        <v>4342</v>
      </c>
      <c r="C509" s="45" t="s">
        <v>147</v>
      </c>
      <c r="D509" s="46"/>
      <c r="E509" s="47" t="s">
        <v>113</v>
      </c>
      <c r="F509" s="48">
        <v>9.83</v>
      </c>
      <c r="G509" s="38">
        <v>2.17</v>
      </c>
      <c r="H509" s="39"/>
      <c r="I509" s="39"/>
      <c r="J509" s="39"/>
      <c r="K509" s="39"/>
      <c r="L509" s="39"/>
      <c r="M509" s="39"/>
      <c r="N509" s="39"/>
      <c r="O509" s="39"/>
      <c r="P509" s="39"/>
      <c r="Q509" s="39">
        <v>1.33</v>
      </c>
      <c r="R509" s="39"/>
      <c r="S509" s="39">
        <v>0.67</v>
      </c>
      <c r="T509" s="39"/>
      <c r="U509" s="39">
        <v>0.17</v>
      </c>
      <c r="V509" s="39"/>
      <c r="W509" s="39"/>
      <c r="X509" s="49" t="s">
        <v>90</v>
      </c>
      <c r="Y509" s="50">
        <v>4620.1</v>
      </c>
      <c r="Z509" s="51">
        <v>4500</v>
      </c>
      <c r="AA509" s="52">
        <f>IFERROR(Z509/Y509,0)</f>
        <v>0.974004891669011</v>
      </c>
      <c r="AB509" s="12">
        <v>4500</v>
      </c>
      <c r="AC509" s="12">
        <v>0</v>
      </c>
      <c r="AD509" s="43"/>
      <c r="AE509" s="43"/>
      <c r="AF509" s="43"/>
      <c r="AG509" s="43"/>
      <c r="AH509" s="43"/>
      <c r="AI509" s="43"/>
      <c r="AJ509" s="43"/>
      <c r="AK509" s="43"/>
      <c r="AL509" s="43"/>
      <c r="AM509" s="43"/>
      <c r="AN509" s="43"/>
      <c r="AO509" s="43"/>
      <c r="AP509" s="43"/>
      <c r="AQ509" s="43"/>
      <c r="AR509" s="43"/>
      <c r="AS509" s="43"/>
      <c r="AT509" s="43"/>
      <c r="AU509" s="43"/>
      <c r="AV509" s="43"/>
    </row>
    <row r="510" ht="15.75" spans="1:48">
      <c r="A510" s="12">
        <v>506</v>
      </c>
      <c r="B510" s="44">
        <v>4017</v>
      </c>
      <c r="C510" s="45" t="s">
        <v>148</v>
      </c>
      <c r="D510" s="46">
        <v>3</v>
      </c>
      <c r="E510" s="47" t="s">
        <v>113</v>
      </c>
      <c r="F510" s="48">
        <v>7.67</v>
      </c>
      <c r="G510" s="38">
        <v>2.17</v>
      </c>
      <c r="H510" s="39"/>
      <c r="I510" s="39"/>
      <c r="J510" s="39"/>
      <c r="K510" s="39"/>
      <c r="L510" s="39"/>
      <c r="M510" s="39"/>
      <c r="N510" s="39"/>
      <c r="O510" s="39"/>
      <c r="P510" s="39"/>
      <c r="Q510" s="39">
        <v>1.33</v>
      </c>
      <c r="R510" s="39"/>
      <c r="S510" s="39"/>
      <c r="T510" s="39">
        <v>0.67</v>
      </c>
      <c r="U510" s="39">
        <v>0.17</v>
      </c>
      <c r="V510" s="39"/>
      <c r="W510" s="39"/>
      <c r="X510" s="49" t="s">
        <v>219</v>
      </c>
      <c r="Y510" s="50">
        <v>3988.4</v>
      </c>
      <c r="Z510" s="51">
        <v>3952</v>
      </c>
      <c r="AA510" s="52">
        <f>IFERROR(Z510/Y510,0)</f>
        <v>0.990873533246415</v>
      </c>
      <c r="AB510" s="12">
        <v>3952</v>
      </c>
      <c r="AC510" s="12">
        <v>0</v>
      </c>
      <c r="AD510" s="43"/>
      <c r="AE510" s="43"/>
      <c r="AF510" s="43"/>
      <c r="AG510" s="43"/>
      <c r="AH510" s="43"/>
      <c r="AI510" s="43"/>
      <c r="AJ510" s="43"/>
      <c r="AK510" s="43"/>
      <c r="AL510" s="43"/>
      <c r="AM510" s="43"/>
      <c r="AN510" s="43"/>
      <c r="AO510" s="43"/>
      <c r="AP510" s="43"/>
      <c r="AQ510" s="43"/>
      <c r="AR510" s="43"/>
      <c r="AS510" s="43"/>
      <c r="AT510" s="43"/>
      <c r="AU510" s="43"/>
      <c r="AV510" s="43"/>
    </row>
    <row r="511" ht="15.75" spans="1:48">
      <c r="A511" s="12">
        <v>507</v>
      </c>
      <c r="B511" s="44">
        <v>2865</v>
      </c>
      <c r="C511" s="45" t="s">
        <v>149</v>
      </c>
      <c r="D511" s="46">
        <v>2</v>
      </c>
      <c r="E511" s="47" t="s">
        <v>113</v>
      </c>
      <c r="F511" s="48">
        <v>0.33</v>
      </c>
      <c r="G511" s="38">
        <v>0</v>
      </c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49">
        <v>1080</v>
      </c>
      <c r="Y511" s="50">
        <v>217.8</v>
      </c>
      <c r="Z511" s="51">
        <v>250</v>
      </c>
      <c r="AA511" s="52">
        <f>IFERROR(Z511/Y511,0)</f>
        <v>1.14784205693297</v>
      </c>
      <c r="AB511" s="12">
        <v>250</v>
      </c>
      <c r="AC511" s="12">
        <v>0</v>
      </c>
      <c r="AD511" s="43"/>
      <c r="AE511" s="43"/>
      <c r="AF511" s="43"/>
      <c r="AG511" s="43"/>
      <c r="AH511" s="43"/>
      <c r="AI511" s="43"/>
      <c r="AJ511" s="43"/>
      <c r="AK511" s="43"/>
      <c r="AL511" s="43"/>
      <c r="AM511" s="43"/>
      <c r="AN511" s="43"/>
      <c r="AO511" s="43"/>
      <c r="AP511" s="43"/>
      <c r="AQ511" s="43"/>
      <c r="AR511" s="43"/>
      <c r="AS511" s="43"/>
      <c r="AT511" s="43"/>
      <c r="AU511" s="43"/>
      <c r="AV511" s="43"/>
    </row>
    <row r="512" ht="15.75" spans="1:48">
      <c r="A512" s="12">
        <v>508</v>
      </c>
      <c r="B512" s="44">
        <v>2865</v>
      </c>
      <c r="C512" s="45" t="s">
        <v>149</v>
      </c>
      <c r="D512" s="46"/>
      <c r="E512" s="47" t="s">
        <v>113</v>
      </c>
      <c r="F512" s="48">
        <v>0.33</v>
      </c>
      <c r="G512" s="38">
        <v>0</v>
      </c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49" t="s">
        <v>105</v>
      </c>
      <c r="Y512" s="50">
        <v>217.8</v>
      </c>
      <c r="Z512" s="51">
        <v>250</v>
      </c>
      <c r="AA512" s="52">
        <f>IFERROR(Z512/Y512,0)</f>
        <v>1.14784205693297</v>
      </c>
      <c r="AB512" s="12">
        <v>250</v>
      </c>
      <c r="AC512" s="12">
        <v>0</v>
      </c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  <c r="AP512" s="43"/>
      <c r="AQ512" s="43"/>
      <c r="AR512" s="43"/>
      <c r="AS512" s="43"/>
      <c r="AT512" s="43"/>
      <c r="AU512" s="43"/>
      <c r="AV512" s="43"/>
    </row>
    <row r="513" ht="15.75" spans="1:48">
      <c r="A513" s="12">
        <v>509</v>
      </c>
      <c r="B513" s="44">
        <v>2865</v>
      </c>
      <c r="C513" s="45" t="s">
        <v>149</v>
      </c>
      <c r="D513" s="46">
        <v>20</v>
      </c>
      <c r="E513" s="47" t="s">
        <v>113</v>
      </c>
      <c r="F513" s="48">
        <v>2.83</v>
      </c>
      <c r="G513" s="38">
        <v>2.66</v>
      </c>
      <c r="H513" s="39"/>
      <c r="I513" s="39"/>
      <c r="J513" s="39"/>
      <c r="K513" s="39">
        <v>0.33</v>
      </c>
      <c r="L513" s="39"/>
      <c r="M513" s="39"/>
      <c r="N513" s="39"/>
      <c r="O513" s="39"/>
      <c r="P513" s="39"/>
      <c r="Q513" s="39">
        <v>1.33</v>
      </c>
      <c r="R513" s="39"/>
      <c r="S513" s="39"/>
      <c r="T513" s="39">
        <v>1</v>
      </c>
      <c r="U513" s="39"/>
      <c r="V513" s="39"/>
      <c r="W513" s="39"/>
      <c r="X513" s="49">
        <v>8052</v>
      </c>
      <c r="Y513" s="50">
        <v>101.88</v>
      </c>
      <c r="Z513" s="51">
        <v>101</v>
      </c>
      <c r="AA513" s="52">
        <f>IFERROR(Z513/Y513,0)</f>
        <v>0.991362387122104</v>
      </c>
      <c r="AB513" s="12">
        <v>101</v>
      </c>
      <c r="AC513" s="12">
        <v>0</v>
      </c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  <c r="AP513" s="43"/>
      <c r="AQ513" s="43"/>
      <c r="AR513" s="43"/>
      <c r="AS513" s="43"/>
      <c r="AT513" s="43"/>
      <c r="AU513" s="43"/>
      <c r="AV513" s="43"/>
    </row>
    <row r="514" ht="15.75" spans="1:48">
      <c r="A514" s="12">
        <v>510</v>
      </c>
      <c r="B514" s="44">
        <v>2865</v>
      </c>
      <c r="C514" s="45" t="s">
        <v>149</v>
      </c>
      <c r="D514" s="46"/>
      <c r="E514" s="47" t="s">
        <v>113</v>
      </c>
      <c r="F514" s="48">
        <v>5.83</v>
      </c>
      <c r="G514" s="38">
        <v>0</v>
      </c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49" t="s">
        <v>155</v>
      </c>
      <c r="Y514" s="50">
        <v>0</v>
      </c>
      <c r="Z514" s="51"/>
      <c r="AA514" s="52">
        <f>IFERROR(Z514/Y514,0)</f>
        <v>0</v>
      </c>
      <c r="AB514" s="12">
        <v>0</v>
      </c>
      <c r="AC514" s="12">
        <v>0</v>
      </c>
      <c r="AD514" s="43"/>
      <c r="AE514" s="43"/>
      <c r="AF514" s="43"/>
      <c r="AG514" s="43"/>
      <c r="AH514" s="43"/>
      <c r="AI514" s="43"/>
      <c r="AJ514" s="43"/>
      <c r="AK514" s="43"/>
      <c r="AL514" s="43"/>
      <c r="AM514" s="43"/>
      <c r="AN514" s="43"/>
      <c r="AO514" s="43"/>
      <c r="AP514" s="43"/>
      <c r="AQ514" s="43"/>
      <c r="AR514" s="43"/>
      <c r="AS514" s="43"/>
      <c r="AT514" s="43"/>
      <c r="AU514" s="43"/>
      <c r="AV514" s="43"/>
    </row>
    <row r="515" ht="15.75" spans="1:48">
      <c r="A515" s="12">
        <v>511</v>
      </c>
      <c r="B515" s="44">
        <v>978</v>
      </c>
      <c r="C515" s="45" t="s">
        <v>144</v>
      </c>
      <c r="D515" s="46">
        <v>7</v>
      </c>
      <c r="E515" s="47" t="s">
        <v>113</v>
      </c>
      <c r="F515" s="48">
        <v>3.17</v>
      </c>
      <c r="G515" s="38">
        <v>1.5</v>
      </c>
      <c r="H515" s="39"/>
      <c r="I515" s="39"/>
      <c r="J515" s="39"/>
      <c r="K515" s="39"/>
      <c r="L515" s="39"/>
      <c r="M515" s="39"/>
      <c r="N515" s="39"/>
      <c r="O515" s="39"/>
      <c r="P515" s="39"/>
      <c r="Q515" s="39">
        <v>1.33</v>
      </c>
      <c r="R515" s="39"/>
      <c r="S515" s="39"/>
      <c r="T515" s="39"/>
      <c r="U515" s="39">
        <v>0.17</v>
      </c>
      <c r="V515" s="39"/>
      <c r="W515" s="39"/>
      <c r="X515" s="49" t="s">
        <v>95</v>
      </c>
      <c r="Y515" s="50">
        <v>4438</v>
      </c>
      <c r="Z515" s="51">
        <v>2800</v>
      </c>
      <c r="AA515" s="52">
        <f>IFERROR(Z515/Y515,0)</f>
        <v>0.630914826498423</v>
      </c>
      <c r="AB515" s="12">
        <v>2800</v>
      </c>
      <c r="AC515" s="12">
        <v>0</v>
      </c>
      <c r="AD515" s="43"/>
      <c r="AE515" s="43"/>
      <c r="AF515" s="43"/>
      <c r="AG515" s="43"/>
      <c r="AH515" s="43"/>
      <c r="AI515" s="43"/>
      <c r="AJ515" s="43"/>
      <c r="AK515" s="43"/>
      <c r="AL515" s="43"/>
      <c r="AM515" s="43"/>
      <c r="AN515" s="43"/>
      <c r="AO515" s="43"/>
      <c r="AP515" s="43"/>
      <c r="AQ515" s="43"/>
      <c r="AR515" s="43"/>
      <c r="AS515" s="43"/>
      <c r="AT515" s="43"/>
      <c r="AU515" s="43"/>
      <c r="AV515" s="43"/>
    </row>
    <row r="516" ht="15.75" spans="1:48">
      <c r="A516" s="12">
        <v>512</v>
      </c>
      <c r="B516" s="44">
        <v>978</v>
      </c>
      <c r="C516" s="45" t="s">
        <v>144</v>
      </c>
      <c r="D516" s="46">
        <v>17</v>
      </c>
      <c r="E516" s="47" t="s">
        <v>113</v>
      </c>
      <c r="F516" s="48">
        <v>5.5</v>
      </c>
      <c r="G516" s="38">
        <v>0.17</v>
      </c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>
        <v>0.17</v>
      </c>
      <c r="V516" s="39"/>
      <c r="W516" s="39"/>
      <c r="X516" s="49" t="s">
        <v>96</v>
      </c>
      <c r="Y516" s="50">
        <v>7975</v>
      </c>
      <c r="Z516" s="51">
        <v>5000</v>
      </c>
      <c r="AA516" s="52">
        <f>IFERROR(Z516/Y516,0)</f>
        <v>0.626959247648903</v>
      </c>
      <c r="AB516" s="12">
        <v>5000</v>
      </c>
      <c r="AC516" s="12">
        <v>0</v>
      </c>
      <c r="AD516" s="43"/>
      <c r="AE516" s="43"/>
      <c r="AF516" s="43"/>
      <c r="AG516" s="43"/>
      <c r="AH516" s="43"/>
      <c r="AI516" s="43"/>
      <c r="AJ516" s="43"/>
      <c r="AK516" s="43"/>
      <c r="AL516" s="43"/>
      <c r="AM516" s="43"/>
      <c r="AN516" s="43"/>
      <c r="AO516" s="43"/>
      <c r="AP516" s="43"/>
      <c r="AQ516" s="43"/>
      <c r="AR516" s="43"/>
      <c r="AS516" s="43"/>
      <c r="AT516" s="43"/>
      <c r="AU516" s="43"/>
      <c r="AV516" s="43"/>
    </row>
    <row r="517" ht="15.75" spans="1:48">
      <c r="A517" s="12">
        <v>513</v>
      </c>
      <c r="B517" s="44">
        <v>692</v>
      </c>
      <c r="C517" s="45" t="s">
        <v>142</v>
      </c>
      <c r="D517" s="46"/>
      <c r="E517" s="47" t="s">
        <v>113</v>
      </c>
      <c r="F517" s="48">
        <v>6</v>
      </c>
      <c r="G517" s="38">
        <v>2</v>
      </c>
      <c r="H517" s="39"/>
      <c r="I517" s="39"/>
      <c r="J517" s="39"/>
      <c r="K517" s="39"/>
      <c r="L517" s="39"/>
      <c r="M517" s="39"/>
      <c r="N517" s="39"/>
      <c r="O517" s="39"/>
      <c r="P517" s="39"/>
      <c r="Q517" s="39">
        <v>1.33</v>
      </c>
      <c r="R517" s="39"/>
      <c r="S517" s="39">
        <v>0.5</v>
      </c>
      <c r="T517" s="39">
        <v>0.17</v>
      </c>
      <c r="U517" s="39"/>
      <c r="V517" s="39"/>
      <c r="W517" s="39"/>
      <c r="X517" s="49" t="s">
        <v>98</v>
      </c>
      <c r="Y517" s="50">
        <v>2820</v>
      </c>
      <c r="Z517" s="51">
        <v>2700</v>
      </c>
      <c r="AA517" s="52">
        <f>IFERROR(Z517/Y517,0)</f>
        <v>0.957446808510638</v>
      </c>
      <c r="AB517" s="12">
        <v>2700</v>
      </c>
      <c r="AC517" s="12">
        <v>0</v>
      </c>
      <c r="AD517" s="43"/>
      <c r="AE517" s="43"/>
      <c r="AF517" s="43"/>
      <c r="AG517" s="43"/>
      <c r="AH517" s="43"/>
      <c r="AI517" s="43"/>
      <c r="AJ517" s="43"/>
      <c r="AK517" s="43"/>
      <c r="AL517" s="43"/>
      <c r="AM517" s="43"/>
      <c r="AN517" s="43"/>
      <c r="AO517" s="43"/>
      <c r="AP517" s="43"/>
      <c r="AQ517" s="43"/>
      <c r="AR517" s="43"/>
      <c r="AS517" s="43"/>
      <c r="AT517" s="43"/>
      <c r="AU517" s="43"/>
      <c r="AV517" s="43"/>
    </row>
    <row r="518" ht="15.75" spans="1:48">
      <c r="A518" s="12">
        <v>514</v>
      </c>
      <c r="B518" s="44">
        <v>692</v>
      </c>
      <c r="C518" s="45" t="s">
        <v>142</v>
      </c>
      <c r="D518" s="46"/>
      <c r="E518" s="47" t="s">
        <v>113</v>
      </c>
      <c r="F518" s="48">
        <v>4</v>
      </c>
      <c r="G518" s="38">
        <v>0</v>
      </c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49" t="s">
        <v>90</v>
      </c>
      <c r="Y518" s="50">
        <v>1880</v>
      </c>
      <c r="Z518" s="51">
        <v>1800</v>
      </c>
      <c r="AA518" s="52">
        <f>IFERROR(Z518/Y518,0)</f>
        <v>0.957446808510638</v>
      </c>
      <c r="AB518" s="12">
        <v>1800</v>
      </c>
      <c r="AC518" s="12">
        <v>0</v>
      </c>
      <c r="AD518" s="43"/>
      <c r="AE518" s="43"/>
      <c r="AF518" s="43"/>
      <c r="AG518" s="43"/>
      <c r="AH518" s="43"/>
      <c r="AI518" s="43"/>
      <c r="AJ518" s="43"/>
      <c r="AK518" s="43"/>
      <c r="AL518" s="43"/>
      <c r="AM518" s="43"/>
      <c r="AN518" s="43"/>
      <c r="AO518" s="43"/>
      <c r="AP518" s="43"/>
      <c r="AQ518" s="43"/>
      <c r="AR518" s="43"/>
      <c r="AS518" s="43"/>
      <c r="AT518" s="43"/>
      <c r="AU518" s="43"/>
      <c r="AV518" s="43"/>
    </row>
    <row r="519" ht="15.75" spans="1:48">
      <c r="A519" s="12">
        <v>515</v>
      </c>
      <c r="B519" s="44">
        <v>977</v>
      </c>
      <c r="C519" s="45" t="s">
        <v>141</v>
      </c>
      <c r="D519" s="46">
        <v>21</v>
      </c>
      <c r="E519" s="47" t="s">
        <v>113</v>
      </c>
      <c r="F519" s="48">
        <v>4.5</v>
      </c>
      <c r="G519" s="38">
        <v>1.5</v>
      </c>
      <c r="H519" s="39"/>
      <c r="I519" s="39"/>
      <c r="J519" s="39"/>
      <c r="K519" s="39">
        <v>0.17</v>
      </c>
      <c r="L519" s="39"/>
      <c r="M519" s="39"/>
      <c r="N519" s="39"/>
      <c r="O519" s="39"/>
      <c r="P519" s="39"/>
      <c r="Q519" s="39">
        <v>1.33</v>
      </c>
      <c r="R519" s="39"/>
      <c r="S519" s="39"/>
      <c r="T519" s="39"/>
      <c r="U519" s="39"/>
      <c r="V519" s="39"/>
      <c r="W519" s="39"/>
      <c r="X519" s="49" t="s">
        <v>228</v>
      </c>
      <c r="Y519" s="50">
        <v>5546.25</v>
      </c>
      <c r="Z519" s="51">
        <v>2700</v>
      </c>
      <c r="AA519" s="52">
        <f>IFERROR(Z519/Y519,0)</f>
        <v>0.486815415821501</v>
      </c>
      <c r="AB519" s="12">
        <v>2700</v>
      </c>
      <c r="AC519" s="12">
        <v>0</v>
      </c>
      <c r="AD519" s="43"/>
      <c r="AE519" s="43"/>
      <c r="AF519" s="43"/>
      <c r="AG519" s="43"/>
      <c r="AH519" s="43"/>
      <c r="AI519" s="43"/>
      <c r="AJ519" s="43"/>
      <c r="AK519" s="43"/>
      <c r="AL519" s="43"/>
      <c r="AM519" s="43"/>
      <c r="AN519" s="43"/>
      <c r="AO519" s="43"/>
      <c r="AP519" s="43"/>
      <c r="AQ519" s="43"/>
      <c r="AR519" s="43"/>
      <c r="AS519" s="43"/>
      <c r="AT519" s="43"/>
      <c r="AU519" s="43"/>
      <c r="AV519" s="43"/>
    </row>
    <row r="520" ht="15.75" spans="1:48">
      <c r="A520" s="12">
        <v>516</v>
      </c>
      <c r="B520" s="44">
        <v>977</v>
      </c>
      <c r="C520" s="45" t="s">
        <v>141</v>
      </c>
      <c r="D520" s="46">
        <v>21</v>
      </c>
      <c r="E520" s="47" t="s">
        <v>113</v>
      </c>
      <c r="F520" s="48">
        <v>2.33</v>
      </c>
      <c r="G520" s="38">
        <v>0</v>
      </c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49" t="s">
        <v>222</v>
      </c>
      <c r="Y520" s="50">
        <v>2871.725</v>
      </c>
      <c r="Z520" s="51">
        <v>1350</v>
      </c>
      <c r="AA520" s="52">
        <f>IFERROR(Z520/Y520,0)</f>
        <v>0.47010072343278</v>
      </c>
      <c r="AB520" s="12">
        <v>1350</v>
      </c>
      <c r="AC520" s="12">
        <v>0</v>
      </c>
      <c r="AD520" s="43"/>
      <c r="AE520" s="43"/>
      <c r="AF520" s="43"/>
      <c r="AG520" s="43"/>
      <c r="AH520" s="43"/>
      <c r="AI520" s="43"/>
      <c r="AJ520" s="43"/>
      <c r="AK520" s="43"/>
      <c r="AL520" s="43"/>
      <c r="AM520" s="43"/>
      <c r="AN520" s="43"/>
      <c r="AO520" s="43"/>
      <c r="AP520" s="43"/>
      <c r="AQ520" s="43"/>
      <c r="AR520" s="43"/>
      <c r="AS520" s="43"/>
      <c r="AT520" s="43"/>
      <c r="AU520" s="43"/>
      <c r="AV520" s="43"/>
    </row>
    <row r="521" ht="15.75" spans="1:48">
      <c r="A521" s="12">
        <v>517</v>
      </c>
      <c r="B521" s="44">
        <v>4110</v>
      </c>
      <c r="C521" s="45" t="s">
        <v>135</v>
      </c>
      <c r="D521" s="46">
        <v>8</v>
      </c>
      <c r="E521" s="47" t="s">
        <v>113</v>
      </c>
      <c r="F521" s="48">
        <v>8.17</v>
      </c>
      <c r="G521" s="38">
        <v>2.16</v>
      </c>
      <c r="H521" s="39"/>
      <c r="I521" s="39"/>
      <c r="J521" s="39">
        <v>0.33</v>
      </c>
      <c r="K521" s="39"/>
      <c r="L521" s="39"/>
      <c r="M521" s="39"/>
      <c r="N521" s="39"/>
      <c r="O521" s="39"/>
      <c r="P521" s="39"/>
      <c r="Q521" s="39">
        <v>1.33</v>
      </c>
      <c r="R521" s="39"/>
      <c r="S521" s="39"/>
      <c r="T521" s="39">
        <v>0.33</v>
      </c>
      <c r="U521" s="39">
        <v>0.17</v>
      </c>
      <c r="V521" s="39"/>
      <c r="W521" s="39"/>
      <c r="X521" s="49">
        <v>9968</v>
      </c>
      <c r="Y521" s="50">
        <v>4942.85</v>
      </c>
      <c r="Z521" s="51">
        <v>4920</v>
      </c>
      <c r="AA521" s="52">
        <f>IFERROR(Z521/Y521,0)</f>
        <v>0.995377160949654</v>
      </c>
      <c r="AB521" s="12">
        <v>4920</v>
      </c>
      <c r="AC521" s="12">
        <v>0</v>
      </c>
      <c r="AD521" s="43"/>
      <c r="AE521" s="43"/>
      <c r="AF521" s="43"/>
      <c r="AG521" s="43"/>
      <c r="AH521" s="43"/>
      <c r="AI521" s="43"/>
      <c r="AJ521" s="43"/>
      <c r="AK521" s="43"/>
      <c r="AL521" s="43"/>
      <c r="AM521" s="43"/>
      <c r="AN521" s="43"/>
      <c r="AO521" s="43"/>
      <c r="AP521" s="43"/>
      <c r="AQ521" s="43"/>
      <c r="AR521" s="43"/>
      <c r="AS521" s="43"/>
      <c r="AT521" s="43"/>
      <c r="AU521" s="43"/>
      <c r="AV521" s="43"/>
    </row>
    <row r="522" ht="15.75" spans="1:48">
      <c r="A522" s="12">
        <v>518</v>
      </c>
      <c r="B522" s="44">
        <v>4384</v>
      </c>
      <c r="C522" s="45" t="s">
        <v>145</v>
      </c>
      <c r="D522" s="46">
        <v>5</v>
      </c>
      <c r="E522" s="47" t="s">
        <v>113</v>
      </c>
      <c r="F522" s="48">
        <v>9</v>
      </c>
      <c r="G522" s="38">
        <v>1.67</v>
      </c>
      <c r="H522" s="39"/>
      <c r="I522" s="39"/>
      <c r="J522" s="39"/>
      <c r="K522" s="39"/>
      <c r="L522" s="39"/>
      <c r="M522" s="39"/>
      <c r="N522" s="39"/>
      <c r="O522" s="39"/>
      <c r="P522" s="39"/>
      <c r="Q522" s="39">
        <v>1.33</v>
      </c>
      <c r="R522" s="39"/>
      <c r="S522" s="39"/>
      <c r="T522" s="39">
        <v>0.17</v>
      </c>
      <c r="U522" s="39">
        <v>0.17</v>
      </c>
      <c r="V522" s="39"/>
      <c r="W522" s="39"/>
      <c r="X522" s="49">
        <v>5770</v>
      </c>
      <c r="Y522" s="50">
        <v>5445</v>
      </c>
      <c r="Z522" s="51">
        <v>5453</v>
      </c>
      <c r="AA522" s="52">
        <f>IFERROR(Z522/Y522,0)</f>
        <v>1.00146923783287</v>
      </c>
      <c r="AB522" s="12">
        <v>5453</v>
      </c>
      <c r="AC522" s="12">
        <v>0</v>
      </c>
      <c r="AD522" s="43"/>
      <c r="AE522" s="43"/>
      <c r="AF522" s="43"/>
      <c r="AG522" s="43"/>
      <c r="AH522" s="43"/>
      <c r="AI522" s="43"/>
      <c r="AJ522" s="43"/>
      <c r="AK522" s="43"/>
      <c r="AL522" s="43"/>
      <c r="AM522" s="43"/>
      <c r="AN522" s="43"/>
      <c r="AO522" s="43"/>
      <c r="AP522" s="43"/>
      <c r="AQ522" s="43"/>
      <c r="AR522" s="43"/>
      <c r="AS522" s="43"/>
      <c r="AT522" s="43"/>
      <c r="AU522" s="43"/>
      <c r="AV522" s="43"/>
    </row>
    <row r="523" ht="15.75" spans="1:48">
      <c r="A523" s="12">
        <v>519</v>
      </c>
      <c r="B523" s="44">
        <v>947</v>
      </c>
      <c r="C523" s="45" t="s">
        <v>143</v>
      </c>
      <c r="D523" s="46">
        <v>18</v>
      </c>
      <c r="E523" s="47" t="s">
        <v>113</v>
      </c>
      <c r="F523" s="48">
        <v>9.83</v>
      </c>
      <c r="G523" s="38">
        <v>2.17</v>
      </c>
      <c r="H523" s="39"/>
      <c r="I523" s="39"/>
      <c r="J523" s="39">
        <v>0.17</v>
      </c>
      <c r="K523" s="39"/>
      <c r="L523" s="39"/>
      <c r="M523" s="39"/>
      <c r="N523" s="39"/>
      <c r="O523" s="39"/>
      <c r="P523" s="39"/>
      <c r="Q523" s="39">
        <v>1.33</v>
      </c>
      <c r="R523" s="39"/>
      <c r="S523" s="39"/>
      <c r="T523" s="39">
        <v>0.5</v>
      </c>
      <c r="U523" s="39">
        <v>0.17</v>
      </c>
      <c r="V523" s="39"/>
      <c r="W523" s="39"/>
      <c r="X523" s="49">
        <v>9968</v>
      </c>
      <c r="Y523" s="50">
        <v>5947.15</v>
      </c>
      <c r="Z523" s="51">
        <v>5400</v>
      </c>
      <c r="AA523" s="52">
        <f>IFERROR(Z523/Y523,0)</f>
        <v>0.907997948597227</v>
      </c>
      <c r="AB523" s="12">
        <v>5400</v>
      </c>
      <c r="AC523" s="12">
        <v>0</v>
      </c>
      <c r="AD523" s="43"/>
      <c r="AE523" s="43"/>
      <c r="AF523" s="43"/>
      <c r="AG523" s="43"/>
      <c r="AH523" s="43"/>
      <c r="AI523" s="43"/>
      <c r="AJ523" s="43"/>
      <c r="AK523" s="43"/>
      <c r="AL523" s="43"/>
      <c r="AM523" s="43"/>
      <c r="AN523" s="43"/>
      <c r="AO523" s="43"/>
      <c r="AP523" s="43"/>
      <c r="AQ523" s="43"/>
      <c r="AR523" s="43"/>
      <c r="AS523" s="43"/>
      <c r="AT523" s="43"/>
      <c r="AU523" s="43"/>
      <c r="AV523" s="43"/>
    </row>
    <row r="524" ht="15.75" spans="1:48">
      <c r="A524" s="12">
        <v>520</v>
      </c>
      <c r="B524" s="44">
        <v>978</v>
      </c>
      <c r="C524" s="45" t="s">
        <v>144</v>
      </c>
      <c r="D524" s="46"/>
      <c r="E524" s="47" t="s">
        <v>113</v>
      </c>
      <c r="F524" s="48">
        <v>1.67</v>
      </c>
      <c r="G524" s="38">
        <v>0</v>
      </c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49" t="s">
        <v>103</v>
      </c>
      <c r="Y524" s="50">
        <v>1402.8</v>
      </c>
      <c r="Z524" s="51">
        <v>1200</v>
      </c>
      <c r="AA524" s="52">
        <f>IFERROR(Z524/Y524,0)</f>
        <v>0.855431993156544</v>
      </c>
      <c r="AB524" s="12">
        <v>1200</v>
      </c>
      <c r="AC524" s="12">
        <v>0</v>
      </c>
      <c r="AD524" s="43"/>
      <c r="AE524" s="43"/>
      <c r="AF524" s="43"/>
      <c r="AG524" s="43"/>
      <c r="AH524" s="43"/>
      <c r="AI524" s="43"/>
      <c r="AJ524" s="43"/>
      <c r="AK524" s="43"/>
      <c r="AL524" s="43"/>
      <c r="AM524" s="43"/>
      <c r="AN524" s="43"/>
      <c r="AO524" s="43"/>
      <c r="AP524" s="43"/>
      <c r="AQ524" s="43"/>
      <c r="AR524" s="43"/>
      <c r="AS524" s="43"/>
      <c r="AT524" s="43"/>
      <c r="AU524" s="43"/>
      <c r="AV524" s="43"/>
    </row>
    <row r="525" ht="15.75" spans="1:48">
      <c r="A525" s="12">
        <v>521</v>
      </c>
      <c r="B525" s="44">
        <v>977</v>
      </c>
      <c r="C525" s="45" t="s">
        <v>141</v>
      </c>
      <c r="D525" s="46"/>
      <c r="E525" s="47" t="s">
        <v>113</v>
      </c>
      <c r="F525" s="48">
        <v>3.67</v>
      </c>
      <c r="G525" s="38">
        <v>0</v>
      </c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49" t="s">
        <v>103</v>
      </c>
      <c r="Y525" s="50">
        <v>2620.38</v>
      </c>
      <c r="Z525" s="51">
        <v>1440</v>
      </c>
      <c r="AA525" s="52">
        <f>IFERROR(Z525/Y525,0)</f>
        <v>0.549538616536533</v>
      </c>
      <c r="AB525" s="12">
        <v>1440</v>
      </c>
      <c r="AC525" s="12">
        <v>0</v>
      </c>
      <c r="AD525" s="43"/>
      <c r="AE525" s="43"/>
      <c r="AF525" s="43"/>
      <c r="AG525" s="43"/>
      <c r="AH525" s="43"/>
      <c r="AI525" s="43"/>
      <c r="AJ525" s="43"/>
      <c r="AK525" s="43"/>
      <c r="AL525" s="43"/>
      <c r="AM525" s="43"/>
      <c r="AN525" s="43"/>
      <c r="AO525" s="43"/>
      <c r="AP525" s="43"/>
      <c r="AQ525" s="43"/>
      <c r="AR525" s="43"/>
      <c r="AS525" s="43"/>
      <c r="AT525" s="43"/>
      <c r="AU525" s="43"/>
      <c r="AV525" s="43"/>
    </row>
    <row r="526" ht="15.75" spans="1:48">
      <c r="A526" s="12">
        <v>522</v>
      </c>
      <c r="B526" s="44">
        <v>4110</v>
      </c>
      <c r="C526" s="45" t="s">
        <v>135</v>
      </c>
      <c r="D526" s="46"/>
      <c r="E526" s="47" t="s">
        <v>113</v>
      </c>
      <c r="F526" s="48">
        <v>1.67</v>
      </c>
      <c r="G526" s="38">
        <v>0</v>
      </c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49" t="s">
        <v>103</v>
      </c>
      <c r="Y526" s="50">
        <v>1402.8</v>
      </c>
      <c r="Z526" s="51">
        <v>1320</v>
      </c>
      <c r="AA526" s="52">
        <f>IFERROR(Z526/Y526,0)</f>
        <v>0.940975192472199</v>
      </c>
      <c r="AB526" s="12">
        <v>1320</v>
      </c>
      <c r="AC526" s="12">
        <v>0</v>
      </c>
      <c r="AD526" s="43"/>
      <c r="AE526" s="43"/>
      <c r="AF526" s="43"/>
      <c r="AG526" s="43"/>
      <c r="AH526" s="43"/>
      <c r="AI526" s="43"/>
      <c r="AJ526" s="43"/>
      <c r="AK526" s="43"/>
      <c r="AL526" s="43"/>
      <c r="AM526" s="43"/>
      <c r="AN526" s="43"/>
      <c r="AO526" s="43"/>
      <c r="AP526" s="43"/>
      <c r="AQ526" s="43"/>
      <c r="AR526" s="43"/>
      <c r="AS526" s="43"/>
      <c r="AT526" s="43"/>
      <c r="AU526" s="43"/>
      <c r="AV526" s="43"/>
    </row>
    <row r="527" ht="15.75" spans="1:48">
      <c r="A527" s="12">
        <v>523</v>
      </c>
      <c r="B527" s="44">
        <v>4384</v>
      </c>
      <c r="C527" s="45" t="s">
        <v>145</v>
      </c>
      <c r="D527" s="46"/>
      <c r="E527" s="47" t="s">
        <v>113</v>
      </c>
      <c r="F527" s="48">
        <v>1.33</v>
      </c>
      <c r="G527" s="38">
        <v>0</v>
      </c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49" t="s">
        <v>103</v>
      </c>
      <c r="Y527" s="50">
        <v>1117.2</v>
      </c>
      <c r="Z527" s="51">
        <v>1080</v>
      </c>
      <c r="AA527" s="52">
        <f>IFERROR(Z527/Y527,0)</f>
        <v>0.966702470461869</v>
      </c>
      <c r="AB527" s="12">
        <v>1080</v>
      </c>
      <c r="AC527" s="12">
        <v>0</v>
      </c>
      <c r="AD527" s="43"/>
      <c r="AE527" s="43"/>
      <c r="AF527" s="43"/>
      <c r="AG527" s="43"/>
      <c r="AH527" s="43"/>
      <c r="AI527" s="43"/>
      <c r="AJ527" s="43"/>
      <c r="AK527" s="43"/>
      <c r="AL527" s="43"/>
      <c r="AM527" s="43"/>
      <c r="AN527" s="43"/>
      <c r="AO527" s="43"/>
      <c r="AP527" s="43"/>
      <c r="AQ527" s="43"/>
      <c r="AR527" s="43"/>
      <c r="AS527" s="43"/>
      <c r="AT527" s="43"/>
      <c r="AU527" s="43"/>
      <c r="AV527" s="43"/>
    </row>
    <row r="528" ht="15.75" spans="1:48">
      <c r="A528" s="12">
        <v>524</v>
      </c>
      <c r="B528" s="44">
        <v>666</v>
      </c>
      <c r="C528" s="45" t="s">
        <v>151</v>
      </c>
      <c r="D528" s="46"/>
      <c r="E528" s="47" t="s">
        <v>113</v>
      </c>
      <c r="F528" s="48">
        <v>1.33</v>
      </c>
      <c r="G528" s="38">
        <v>0</v>
      </c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49" t="s">
        <v>234</v>
      </c>
      <c r="Y528" s="50">
        <v>4947.6</v>
      </c>
      <c r="Z528" s="51">
        <v>5400</v>
      </c>
      <c r="AA528" s="52">
        <f>IFERROR(Z528/Y528,0)</f>
        <v>1.09143827310211</v>
      </c>
      <c r="AB528" s="12">
        <v>5400</v>
      </c>
      <c r="AC528" s="12">
        <v>0</v>
      </c>
      <c r="AD528" s="43"/>
      <c r="AE528" s="43"/>
      <c r="AF528" s="43"/>
      <c r="AG528" s="43"/>
      <c r="AH528" s="43"/>
      <c r="AI528" s="43"/>
      <c r="AJ528" s="43"/>
      <c r="AK528" s="43"/>
      <c r="AL528" s="43"/>
      <c r="AM528" s="43"/>
      <c r="AN528" s="43"/>
      <c r="AO528" s="43"/>
      <c r="AP528" s="43"/>
      <c r="AQ528" s="43"/>
      <c r="AR528" s="43"/>
      <c r="AS528" s="43"/>
      <c r="AT528" s="43"/>
      <c r="AU528" s="43"/>
      <c r="AV528" s="43"/>
    </row>
    <row r="529" ht="15.75" spans="1:48">
      <c r="A529" s="12">
        <v>525</v>
      </c>
      <c r="B529" s="44">
        <v>666</v>
      </c>
      <c r="C529" s="45" t="s">
        <v>151</v>
      </c>
      <c r="D529" s="46"/>
      <c r="E529" s="47" t="s">
        <v>113</v>
      </c>
      <c r="F529" s="48">
        <v>0.67</v>
      </c>
      <c r="G529" s="38">
        <v>0</v>
      </c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49" t="s">
        <v>152</v>
      </c>
      <c r="Y529" s="50">
        <v>2914.5</v>
      </c>
      <c r="Z529" s="51">
        <v>3200</v>
      </c>
      <c r="AA529" s="52">
        <f>IFERROR(Z529/Y529,0)</f>
        <v>1.09795848344484</v>
      </c>
      <c r="AB529" s="12">
        <v>3200</v>
      </c>
      <c r="AC529" s="12">
        <v>0</v>
      </c>
      <c r="AD529" s="43"/>
      <c r="AE529" s="43"/>
      <c r="AF529" s="43"/>
      <c r="AG529" s="43"/>
      <c r="AH529" s="43"/>
      <c r="AI529" s="43"/>
      <c r="AJ529" s="43"/>
      <c r="AK529" s="43"/>
      <c r="AL529" s="43"/>
      <c r="AM529" s="43"/>
      <c r="AN529" s="43"/>
      <c r="AO529" s="43"/>
      <c r="AP529" s="43"/>
      <c r="AQ529" s="43"/>
      <c r="AR529" s="43"/>
      <c r="AS529" s="43"/>
      <c r="AT529" s="43"/>
      <c r="AU529" s="43"/>
      <c r="AV529" s="43"/>
    </row>
    <row r="530" ht="15.75" spans="1:48">
      <c r="A530" s="12">
        <v>526</v>
      </c>
      <c r="B530" s="44">
        <v>666</v>
      </c>
      <c r="C530" s="45" t="s">
        <v>151</v>
      </c>
      <c r="D530" s="46"/>
      <c r="E530" s="47" t="s">
        <v>113</v>
      </c>
      <c r="F530" s="48">
        <v>2.16</v>
      </c>
      <c r="G530" s="38">
        <v>1.5</v>
      </c>
      <c r="H530" s="39"/>
      <c r="I530" s="39"/>
      <c r="J530" s="39"/>
      <c r="K530" s="39"/>
      <c r="L530" s="39"/>
      <c r="M530" s="39"/>
      <c r="N530" s="39"/>
      <c r="O530" s="39"/>
      <c r="P530" s="39"/>
      <c r="Q530" s="39">
        <v>1.33</v>
      </c>
      <c r="R530" s="39"/>
      <c r="S530" s="39"/>
      <c r="T530" s="39"/>
      <c r="U530" s="39">
        <v>0.17</v>
      </c>
      <c r="V530" s="39"/>
      <c r="W530" s="39"/>
      <c r="X530" s="49" t="s">
        <v>229</v>
      </c>
      <c r="Y530" s="50">
        <v>8035.2</v>
      </c>
      <c r="Z530" s="51">
        <v>6300</v>
      </c>
      <c r="AA530" s="52">
        <f>IFERROR(Z530/Y530,0)</f>
        <v>0.784050179211469</v>
      </c>
      <c r="AB530" s="12">
        <v>6300</v>
      </c>
      <c r="AC530" s="12">
        <v>0</v>
      </c>
      <c r="AD530" s="43"/>
      <c r="AE530" s="43"/>
      <c r="AF530" s="43"/>
      <c r="AG530" s="43"/>
      <c r="AH530" s="43"/>
      <c r="AI530" s="43"/>
      <c r="AJ530" s="43"/>
      <c r="AK530" s="43"/>
      <c r="AL530" s="43"/>
      <c r="AM530" s="43"/>
      <c r="AN530" s="43"/>
      <c r="AO530" s="43"/>
      <c r="AP530" s="43"/>
      <c r="AQ530" s="43"/>
      <c r="AR530" s="43"/>
      <c r="AS530" s="43"/>
      <c r="AT530" s="43"/>
      <c r="AU530" s="43"/>
      <c r="AV530" s="43"/>
    </row>
    <row r="531" ht="15.75" spans="1:48">
      <c r="A531" s="12">
        <v>527</v>
      </c>
      <c r="B531" s="44">
        <v>666</v>
      </c>
      <c r="C531" s="45" t="s">
        <v>151</v>
      </c>
      <c r="D531" s="46"/>
      <c r="E531" s="47" t="s">
        <v>113</v>
      </c>
      <c r="F531" s="48">
        <v>4.67</v>
      </c>
      <c r="G531" s="38">
        <v>0</v>
      </c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49" t="s">
        <v>100</v>
      </c>
      <c r="Y531" s="50">
        <v>8966.4</v>
      </c>
      <c r="Z531" s="51">
        <v>7200</v>
      </c>
      <c r="AA531" s="52">
        <f>IFERROR(Z531/Y531,0)</f>
        <v>0.802997858672377</v>
      </c>
      <c r="AB531" s="12">
        <v>7200</v>
      </c>
      <c r="AC531" s="12">
        <v>0</v>
      </c>
      <c r="AD531" s="43"/>
      <c r="AE531" s="43"/>
      <c r="AF531" s="43"/>
      <c r="AG531" s="43"/>
      <c r="AH531" s="43"/>
      <c r="AI531" s="43"/>
      <c r="AJ531" s="43"/>
      <c r="AK531" s="43"/>
      <c r="AL531" s="43"/>
      <c r="AM531" s="43"/>
      <c r="AN531" s="43"/>
      <c r="AO531" s="43"/>
      <c r="AP531" s="43"/>
      <c r="AQ531" s="43"/>
      <c r="AR531" s="43"/>
      <c r="AS531" s="43"/>
      <c r="AT531" s="43"/>
      <c r="AU531" s="43"/>
      <c r="AV531" s="43"/>
    </row>
    <row r="532" ht="15.75" spans="1:48">
      <c r="A532" s="12">
        <v>528</v>
      </c>
      <c r="B532" s="44">
        <v>666</v>
      </c>
      <c r="C532" s="45" t="s">
        <v>151</v>
      </c>
      <c r="D532" s="46"/>
      <c r="E532" s="47" t="s">
        <v>113</v>
      </c>
      <c r="F532" s="48">
        <v>1.67</v>
      </c>
      <c r="G532" s="38">
        <v>0</v>
      </c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49" t="s">
        <v>101</v>
      </c>
      <c r="Y532" s="50">
        <v>3206.4</v>
      </c>
      <c r="Z532" s="51">
        <v>2520</v>
      </c>
      <c r="AA532" s="52">
        <f>IFERROR(Z532/Y532,0)</f>
        <v>0.785928143712575</v>
      </c>
      <c r="AB532" s="12">
        <v>2520</v>
      </c>
      <c r="AC532" s="12">
        <v>0</v>
      </c>
      <c r="AD532" s="43"/>
      <c r="AE532" s="43"/>
      <c r="AF532" s="43"/>
      <c r="AG532" s="43"/>
      <c r="AH532" s="43"/>
      <c r="AI532" s="43"/>
      <c r="AJ532" s="43"/>
      <c r="AK532" s="43"/>
      <c r="AL532" s="43"/>
      <c r="AM532" s="43"/>
      <c r="AN532" s="43"/>
      <c r="AO532" s="43"/>
      <c r="AP532" s="43"/>
      <c r="AQ532" s="43"/>
      <c r="AR532" s="43"/>
      <c r="AS532" s="43"/>
      <c r="AT532" s="43"/>
      <c r="AU532" s="43"/>
      <c r="AV532" s="43"/>
    </row>
    <row r="533" ht="15.75" spans="1:48">
      <c r="A533" s="12">
        <v>529</v>
      </c>
      <c r="B533" s="44">
        <v>1733</v>
      </c>
      <c r="C533" s="45" t="s">
        <v>153</v>
      </c>
      <c r="D533" s="46"/>
      <c r="E533" s="47" t="s">
        <v>113</v>
      </c>
      <c r="F533" s="48">
        <v>10.67</v>
      </c>
      <c r="G533" s="38">
        <v>1.33</v>
      </c>
      <c r="H533" s="39"/>
      <c r="I533" s="39"/>
      <c r="J533" s="39"/>
      <c r="K533" s="39"/>
      <c r="L533" s="39"/>
      <c r="M533" s="39"/>
      <c r="N533" s="39"/>
      <c r="O533" s="39"/>
      <c r="P533" s="39"/>
      <c r="Q533" s="39">
        <v>1.33</v>
      </c>
      <c r="R533" s="39"/>
      <c r="S533" s="39"/>
      <c r="T533" s="39"/>
      <c r="U533" s="39"/>
      <c r="V533" s="39"/>
      <c r="W533" s="39"/>
      <c r="X533" s="49" t="s">
        <v>103</v>
      </c>
      <c r="Y533" s="50">
        <v>8962.8</v>
      </c>
      <c r="Z533" s="51">
        <v>7230</v>
      </c>
      <c r="AA533" s="52">
        <f>IFERROR(Z533/Y533,0)</f>
        <v>0.806667559244879</v>
      </c>
      <c r="AB533" s="12">
        <v>7230</v>
      </c>
      <c r="AC533" s="12">
        <v>0</v>
      </c>
      <c r="AD533" s="43"/>
      <c r="AE533" s="43"/>
      <c r="AF533" s="43"/>
      <c r="AG533" s="43"/>
      <c r="AH533" s="43"/>
      <c r="AI533" s="43"/>
      <c r="AJ533" s="43"/>
      <c r="AK533" s="43"/>
      <c r="AL533" s="43"/>
      <c r="AM533" s="43"/>
      <c r="AN533" s="43"/>
      <c r="AO533" s="43"/>
      <c r="AP533" s="43"/>
      <c r="AQ533" s="43"/>
      <c r="AR533" s="43"/>
      <c r="AS533" s="43"/>
      <c r="AT533" s="43"/>
      <c r="AU533" s="43"/>
      <c r="AV533" s="43"/>
    </row>
    <row r="534" ht="15.75" spans="1:48">
      <c r="A534" s="12">
        <v>530</v>
      </c>
      <c r="B534" s="44">
        <v>4017</v>
      </c>
      <c r="C534" s="45" t="s">
        <v>148</v>
      </c>
      <c r="D534" s="46"/>
      <c r="E534" s="47" t="s">
        <v>113</v>
      </c>
      <c r="F534" s="48">
        <v>2.17</v>
      </c>
      <c r="G534" s="38">
        <v>0</v>
      </c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49" t="s">
        <v>103</v>
      </c>
      <c r="Y534" s="50">
        <v>1822.8</v>
      </c>
      <c r="Z534" s="51">
        <v>1552</v>
      </c>
      <c r="AA534" s="52">
        <f>IFERROR(Z534/Y534,0)</f>
        <v>0.851437349133202</v>
      </c>
      <c r="AB534" s="12">
        <v>1552</v>
      </c>
      <c r="AC534" s="12">
        <v>0</v>
      </c>
      <c r="AD534" s="43"/>
      <c r="AE534" s="43"/>
      <c r="AF534" s="43"/>
      <c r="AG534" s="43"/>
      <c r="AH534" s="43"/>
      <c r="AI534" s="43"/>
      <c r="AJ534" s="43"/>
      <c r="AK534" s="43"/>
      <c r="AL534" s="43"/>
      <c r="AM534" s="43"/>
      <c r="AN534" s="43"/>
      <c r="AO534" s="43"/>
      <c r="AP534" s="43"/>
      <c r="AQ534" s="43"/>
      <c r="AR534" s="43"/>
      <c r="AS534" s="43"/>
      <c r="AT534" s="43"/>
      <c r="AU534" s="43"/>
      <c r="AV534" s="43"/>
    </row>
    <row r="535" ht="15.75" spans="1:48">
      <c r="A535" s="12">
        <v>531</v>
      </c>
      <c r="B535" s="44">
        <v>959</v>
      </c>
      <c r="C535" s="45" t="s">
        <v>168</v>
      </c>
      <c r="D535" s="46"/>
      <c r="E535" s="47" t="s">
        <v>50</v>
      </c>
      <c r="F535" s="48">
        <v>7.17</v>
      </c>
      <c r="G535" s="38">
        <v>0.83</v>
      </c>
      <c r="H535" s="39"/>
      <c r="I535" s="39"/>
      <c r="J535" s="39"/>
      <c r="K535" s="39"/>
      <c r="L535" s="39"/>
      <c r="M535" s="39"/>
      <c r="N535" s="39"/>
      <c r="O535" s="39"/>
      <c r="P535" s="39"/>
      <c r="Q535" s="39">
        <v>0.83</v>
      </c>
      <c r="R535" s="39"/>
      <c r="S535" s="39"/>
      <c r="T535" s="39"/>
      <c r="U535" s="39"/>
      <c r="V535" s="39"/>
      <c r="W535" s="39"/>
      <c r="X535" s="49" t="s">
        <v>235</v>
      </c>
      <c r="Y535" s="50">
        <v>0</v>
      </c>
      <c r="Z535" s="51"/>
      <c r="AA535" s="52">
        <f>IFERROR(Z535/Y535,0)</f>
        <v>0</v>
      </c>
      <c r="AB535" s="12">
        <v>0</v>
      </c>
      <c r="AC535" s="12">
        <v>0</v>
      </c>
      <c r="AD535" s="43"/>
      <c r="AE535" s="43"/>
      <c r="AF535" s="43"/>
      <c r="AG535" s="43"/>
      <c r="AH535" s="43"/>
      <c r="AI535" s="43"/>
      <c r="AJ535" s="43"/>
      <c r="AK535" s="43"/>
      <c r="AL535" s="43"/>
      <c r="AM535" s="43"/>
      <c r="AN535" s="43"/>
      <c r="AO535" s="43"/>
      <c r="AP535" s="43"/>
      <c r="AQ535" s="43"/>
      <c r="AR535" s="43"/>
      <c r="AS535" s="43"/>
      <c r="AT535" s="43"/>
      <c r="AU535" s="43"/>
      <c r="AV535" s="43"/>
    </row>
    <row r="536" ht="15.75" spans="1:48">
      <c r="A536" s="12">
        <v>532</v>
      </c>
      <c r="B536" s="44">
        <v>848</v>
      </c>
      <c r="C536" s="45" t="s">
        <v>150</v>
      </c>
      <c r="D536" s="46"/>
      <c r="E536" s="47" t="s">
        <v>113</v>
      </c>
      <c r="F536" s="48">
        <v>10.67</v>
      </c>
      <c r="G536" s="38">
        <v>1.33</v>
      </c>
      <c r="H536" s="39"/>
      <c r="I536" s="39"/>
      <c r="J536" s="39"/>
      <c r="K536" s="39"/>
      <c r="L536" s="39"/>
      <c r="M536" s="39"/>
      <c r="N536" s="39"/>
      <c r="O536" s="39"/>
      <c r="P536" s="39"/>
      <c r="Q536" s="39">
        <v>1.33</v>
      </c>
      <c r="R536" s="39"/>
      <c r="S536" s="39"/>
      <c r="T536" s="39"/>
      <c r="U536" s="39"/>
      <c r="V536" s="39"/>
      <c r="W536" s="39"/>
      <c r="X536" s="49" t="s">
        <v>103</v>
      </c>
      <c r="Y536" s="50">
        <v>8962.8</v>
      </c>
      <c r="Z536" s="51">
        <v>7440</v>
      </c>
      <c r="AA536" s="52">
        <f>IFERROR(Z536/Y536,0)</f>
        <v>0.830097737314232</v>
      </c>
      <c r="AB536" s="12">
        <v>7440</v>
      </c>
      <c r="AC536" s="12">
        <v>0</v>
      </c>
      <c r="AD536" s="43"/>
      <c r="AE536" s="43"/>
      <c r="AF536" s="43"/>
      <c r="AG536" s="43"/>
      <c r="AH536" s="43"/>
      <c r="AI536" s="43"/>
      <c r="AJ536" s="43"/>
      <c r="AK536" s="43"/>
      <c r="AL536" s="43"/>
      <c r="AM536" s="43"/>
      <c r="AN536" s="43"/>
      <c r="AO536" s="43"/>
      <c r="AP536" s="43"/>
      <c r="AQ536" s="43"/>
      <c r="AR536" s="43"/>
      <c r="AS536" s="43"/>
      <c r="AT536" s="43"/>
      <c r="AU536" s="43"/>
      <c r="AV536" s="43"/>
    </row>
    <row r="537" ht="15.75" spans="1:48">
      <c r="A537" s="12">
        <v>533</v>
      </c>
      <c r="B537" s="44">
        <v>3959</v>
      </c>
      <c r="C537" s="45" t="s">
        <v>123</v>
      </c>
      <c r="D537" s="46"/>
      <c r="E537" s="47" t="s">
        <v>113</v>
      </c>
      <c r="F537" s="48">
        <v>4.585</v>
      </c>
      <c r="G537" s="38">
        <v>0</v>
      </c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49" t="s">
        <v>233</v>
      </c>
      <c r="Y537" s="50">
        <v>825.3</v>
      </c>
      <c r="Z537" s="51">
        <v>850</v>
      </c>
      <c r="AA537" s="52">
        <f>IFERROR(Z537/Y537,0)</f>
        <v>1.02992851084454</v>
      </c>
      <c r="AB537" s="12">
        <v>850</v>
      </c>
      <c r="AC537" s="12">
        <v>0</v>
      </c>
      <c r="AD537" s="43"/>
      <c r="AE537" s="43"/>
      <c r="AF537" s="43"/>
      <c r="AG537" s="43"/>
      <c r="AH537" s="43"/>
      <c r="AI537" s="43"/>
      <c r="AJ537" s="43"/>
      <c r="AK537" s="43"/>
      <c r="AL537" s="43"/>
      <c r="AM537" s="43"/>
      <c r="AN537" s="43"/>
      <c r="AO537" s="43"/>
      <c r="AP537" s="43"/>
      <c r="AQ537" s="43"/>
      <c r="AR537" s="43"/>
      <c r="AS537" s="43"/>
      <c r="AT537" s="43"/>
      <c r="AU537" s="43"/>
      <c r="AV537" s="43"/>
    </row>
    <row r="538" ht="15.75" spans="1:48">
      <c r="A538" s="12">
        <v>534</v>
      </c>
      <c r="B538" s="44">
        <v>3959</v>
      </c>
      <c r="C538" s="45" t="s">
        <v>123</v>
      </c>
      <c r="D538" s="46"/>
      <c r="E538" s="47"/>
      <c r="F538" s="48">
        <v>4.5</v>
      </c>
      <c r="G538" s="38">
        <v>2.83</v>
      </c>
      <c r="H538" s="39"/>
      <c r="I538" s="39"/>
      <c r="J538" s="39"/>
      <c r="K538" s="39"/>
      <c r="L538" s="39"/>
      <c r="M538" s="39"/>
      <c r="N538" s="39"/>
      <c r="O538" s="39"/>
      <c r="P538" s="39"/>
      <c r="Q538" s="39">
        <v>1.33</v>
      </c>
      <c r="R538" s="39"/>
      <c r="S538" s="39"/>
      <c r="T538" s="39">
        <v>1.5</v>
      </c>
      <c r="U538" s="39"/>
      <c r="V538" s="39"/>
      <c r="W538" s="39"/>
      <c r="X538" s="49" t="s">
        <v>232</v>
      </c>
      <c r="Y538" s="50">
        <v>810</v>
      </c>
      <c r="Z538" s="51">
        <v>850</v>
      </c>
      <c r="AA538" s="52">
        <f>IFERROR(Z538/Y538,0)</f>
        <v>1.04938271604938</v>
      </c>
      <c r="AB538" s="12">
        <v>850</v>
      </c>
      <c r="AC538" s="12">
        <v>0</v>
      </c>
      <c r="AD538" s="43"/>
      <c r="AE538" s="43"/>
      <c r="AF538" s="43"/>
      <c r="AG538" s="43"/>
      <c r="AH538" s="43"/>
      <c r="AI538" s="43"/>
      <c r="AJ538" s="43"/>
      <c r="AK538" s="43"/>
      <c r="AL538" s="43"/>
      <c r="AM538" s="43"/>
      <c r="AN538" s="43"/>
      <c r="AO538" s="43"/>
      <c r="AP538" s="43"/>
      <c r="AQ538" s="43"/>
      <c r="AR538" s="43"/>
      <c r="AS538" s="43"/>
      <c r="AT538" s="43"/>
      <c r="AU538" s="43"/>
      <c r="AV538" s="43"/>
    </row>
    <row r="539" ht="15.75" spans="1:48">
      <c r="A539" s="12">
        <v>535</v>
      </c>
      <c r="B539" s="44">
        <v>4478</v>
      </c>
      <c r="C539" s="45" t="s">
        <v>128</v>
      </c>
      <c r="D539" s="46" t="s">
        <v>129</v>
      </c>
      <c r="E539" s="47" t="s">
        <v>50</v>
      </c>
      <c r="F539" s="48">
        <v>7</v>
      </c>
      <c r="G539" s="38">
        <v>1</v>
      </c>
      <c r="H539" s="39"/>
      <c r="I539" s="39"/>
      <c r="J539" s="39"/>
      <c r="K539" s="39"/>
      <c r="L539" s="39"/>
      <c r="M539" s="39"/>
      <c r="N539" s="39"/>
      <c r="O539" s="39"/>
      <c r="P539" s="39"/>
      <c r="Q539" s="39">
        <v>0.83</v>
      </c>
      <c r="R539" s="39"/>
      <c r="S539" s="39"/>
      <c r="T539" s="39"/>
      <c r="U539" s="39">
        <v>0.17</v>
      </c>
      <c r="V539" s="39"/>
      <c r="W539" s="39"/>
      <c r="X539" s="49" t="s">
        <v>220</v>
      </c>
      <c r="Y539" s="50">
        <v>12600</v>
      </c>
      <c r="Z539" s="51">
        <v>8030</v>
      </c>
      <c r="AA539" s="52">
        <f>IFERROR(Z539/Y539,0)</f>
        <v>0.637301587301587</v>
      </c>
      <c r="AB539" s="12">
        <v>8022</v>
      </c>
      <c r="AC539" s="12">
        <v>8</v>
      </c>
      <c r="AD539" s="43"/>
      <c r="AE539" s="43"/>
      <c r="AF539" s="43"/>
      <c r="AG539" s="19">
        <v>8</v>
      </c>
      <c r="AH539" s="43"/>
      <c r="AI539" s="43"/>
      <c r="AJ539" s="43"/>
      <c r="AK539" s="43"/>
      <c r="AL539" s="43"/>
      <c r="AM539" s="43"/>
      <c r="AN539" s="43"/>
      <c r="AO539" s="43"/>
      <c r="AP539" s="43"/>
      <c r="AQ539" s="43"/>
      <c r="AR539" s="43"/>
      <c r="AS539" s="43"/>
      <c r="AT539" s="43"/>
      <c r="AU539" s="43"/>
      <c r="AV539" s="43"/>
    </row>
    <row r="540" ht="15.75" spans="1:48">
      <c r="A540" s="12">
        <v>536</v>
      </c>
      <c r="B540" s="44">
        <v>4185</v>
      </c>
      <c r="C540" s="45" t="s">
        <v>72</v>
      </c>
      <c r="D540" s="46" t="s">
        <v>76</v>
      </c>
      <c r="E540" s="47" t="s">
        <v>50</v>
      </c>
      <c r="F540" s="48">
        <v>10</v>
      </c>
      <c r="G540" s="38">
        <v>2</v>
      </c>
      <c r="H540" s="39"/>
      <c r="I540" s="39"/>
      <c r="J540" s="39"/>
      <c r="K540" s="39">
        <v>0.5</v>
      </c>
      <c r="L540" s="39"/>
      <c r="M540" s="39"/>
      <c r="N540" s="39"/>
      <c r="O540" s="39"/>
      <c r="P540" s="39"/>
      <c r="Q540" s="39">
        <v>1.17</v>
      </c>
      <c r="R540" s="39"/>
      <c r="S540" s="39"/>
      <c r="T540" s="39"/>
      <c r="U540" s="39">
        <v>0.33</v>
      </c>
      <c r="V540" s="39"/>
      <c r="W540" s="39"/>
      <c r="X540" s="49" t="s">
        <v>77</v>
      </c>
      <c r="Y540" s="50">
        <v>60000</v>
      </c>
      <c r="Z540" s="51">
        <v>56160</v>
      </c>
      <c r="AA540" s="52">
        <f>IFERROR(Z540/Y540,0)</f>
        <v>0.936</v>
      </c>
      <c r="AB540" s="12">
        <v>56096</v>
      </c>
      <c r="AC540" s="12">
        <v>64</v>
      </c>
      <c r="AD540" s="43"/>
      <c r="AE540" s="43"/>
      <c r="AF540" s="43"/>
      <c r="AG540" s="19">
        <v>64</v>
      </c>
      <c r="AH540" s="43"/>
      <c r="AI540" s="43"/>
      <c r="AJ540" s="43"/>
      <c r="AK540" s="43"/>
      <c r="AL540" s="43"/>
      <c r="AM540" s="43"/>
      <c r="AN540" s="43"/>
      <c r="AO540" s="43"/>
      <c r="AP540" s="43"/>
      <c r="AQ540" s="43"/>
      <c r="AR540" s="43"/>
      <c r="AS540" s="43"/>
      <c r="AT540" s="43"/>
      <c r="AU540" s="43"/>
      <c r="AV540" s="43"/>
    </row>
    <row r="541" ht="15.75" spans="1:48">
      <c r="A541" s="12">
        <v>537</v>
      </c>
      <c r="B541" s="44">
        <v>2959</v>
      </c>
      <c r="C541" s="45" t="s">
        <v>86</v>
      </c>
      <c r="D541" s="46"/>
      <c r="E541" s="47" t="s">
        <v>50</v>
      </c>
      <c r="F541" s="48">
        <v>10.83</v>
      </c>
      <c r="G541" s="38">
        <v>1.17</v>
      </c>
      <c r="H541" s="39"/>
      <c r="I541" s="39"/>
      <c r="J541" s="39"/>
      <c r="K541" s="39"/>
      <c r="L541" s="39"/>
      <c r="M541" s="39"/>
      <c r="N541" s="39"/>
      <c r="O541" s="39"/>
      <c r="P541" s="39"/>
      <c r="Q541" s="39">
        <v>1.17</v>
      </c>
      <c r="R541" s="39"/>
      <c r="S541" s="39"/>
      <c r="T541" s="39"/>
      <c r="U541" s="39"/>
      <c r="V541" s="39"/>
      <c r="W541" s="39"/>
      <c r="X541" s="49" t="s">
        <v>140</v>
      </c>
      <c r="Y541" s="50">
        <v>0</v>
      </c>
      <c r="Z541" s="51"/>
      <c r="AA541" s="52">
        <f>IFERROR(Z541/Y541,0)</f>
        <v>0</v>
      </c>
      <c r="AB541" s="12">
        <v>0</v>
      </c>
      <c r="AC541" s="12">
        <v>0</v>
      </c>
      <c r="AD541" s="43"/>
      <c r="AE541" s="43"/>
      <c r="AF541" s="43"/>
      <c r="AG541" s="43"/>
      <c r="AH541" s="43"/>
      <c r="AI541" s="43"/>
      <c r="AJ541" s="43"/>
      <c r="AK541" s="43"/>
      <c r="AL541" s="43"/>
      <c r="AM541" s="43"/>
      <c r="AN541" s="43"/>
      <c r="AO541" s="43"/>
      <c r="AP541" s="43"/>
      <c r="AQ541" s="43"/>
      <c r="AR541" s="43"/>
      <c r="AS541" s="43"/>
      <c r="AT541" s="43"/>
      <c r="AU541" s="43"/>
      <c r="AV541" s="43"/>
    </row>
    <row r="542" ht="15.75" spans="1:48">
      <c r="A542" s="12">
        <v>538</v>
      </c>
      <c r="B542" s="44">
        <v>4185</v>
      </c>
      <c r="C542" s="45" t="s">
        <v>72</v>
      </c>
      <c r="D542" s="46" t="s">
        <v>207</v>
      </c>
      <c r="E542" s="47" t="s">
        <v>50</v>
      </c>
      <c r="F542" s="48">
        <v>10.33</v>
      </c>
      <c r="G542" s="38">
        <v>1.67</v>
      </c>
      <c r="H542" s="39"/>
      <c r="I542" s="39"/>
      <c r="J542" s="39"/>
      <c r="K542" s="39">
        <v>0.17</v>
      </c>
      <c r="L542" s="39"/>
      <c r="M542" s="39"/>
      <c r="N542" s="39"/>
      <c r="O542" s="39"/>
      <c r="P542" s="39"/>
      <c r="Q542" s="39">
        <v>1.17</v>
      </c>
      <c r="R542" s="39"/>
      <c r="S542" s="39"/>
      <c r="T542" s="39"/>
      <c r="U542" s="39">
        <v>0.33</v>
      </c>
      <c r="V542" s="39"/>
      <c r="W542" s="39"/>
      <c r="X542" s="49" t="s">
        <v>79</v>
      </c>
      <c r="Y542" s="50">
        <v>68797.8</v>
      </c>
      <c r="Z542" s="51">
        <v>59360</v>
      </c>
      <c r="AA542" s="52">
        <f>IFERROR(Z542/Y542,0)</f>
        <v>0.862818287794086</v>
      </c>
      <c r="AB542" s="12">
        <v>59232</v>
      </c>
      <c r="AC542" s="12">
        <v>128</v>
      </c>
      <c r="AD542" s="43"/>
      <c r="AE542" s="43"/>
      <c r="AF542" s="43"/>
      <c r="AG542" s="19">
        <v>128</v>
      </c>
      <c r="AH542" s="43"/>
      <c r="AI542" s="43"/>
      <c r="AJ542" s="43"/>
      <c r="AK542" s="43"/>
      <c r="AL542" s="43"/>
      <c r="AM542" s="43"/>
      <c r="AN542" s="43"/>
      <c r="AO542" s="43"/>
      <c r="AP542" s="43"/>
      <c r="AQ542" s="43"/>
      <c r="AR542" s="43"/>
      <c r="AS542" s="43"/>
      <c r="AT542" s="43"/>
      <c r="AU542" s="43"/>
      <c r="AV542" s="43"/>
    </row>
    <row r="543" ht="15.75" spans="1:48">
      <c r="A543" s="12">
        <v>539</v>
      </c>
      <c r="B543" s="44">
        <v>4185</v>
      </c>
      <c r="C543" s="45" t="s">
        <v>72</v>
      </c>
      <c r="D543" s="46" t="s">
        <v>78</v>
      </c>
      <c r="E543" s="47" t="s">
        <v>50</v>
      </c>
      <c r="F543" s="48">
        <v>10.33</v>
      </c>
      <c r="G543" s="38">
        <v>1.51</v>
      </c>
      <c r="H543" s="39"/>
      <c r="I543" s="39"/>
      <c r="J543" s="39"/>
      <c r="K543" s="39">
        <v>0.17</v>
      </c>
      <c r="L543" s="39"/>
      <c r="M543" s="39"/>
      <c r="N543" s="39"/>
      <c r="O543" s="39"/>
      <c r="P543" s="39"/>
      <c r="Q543" s="39">
        <v>1.17</v>
      </c>
      <c r="R543" s="39"/>
      <c r="S543" s="39"/>
      <c r="T543" s="39"/>
      <c r="U543" s="39">
        <v>0.17</v>
      </c>
      <c r="V543" s="39"/>
      <c r="W543" s="39"/>
      <c r="X543" s="49" t="s">
        <v>79</v>
      </c>
      <c r="Y543" s="50">
        <v>68797.8</v>
      </c>
      <c r="Z543" s="51">
        <v>59440</v>
      </c>
      <c r="AA543" s="52">
        <f>IFERROR(Z543/Y543,0)</f>
        <v>0.863981115675211</v>
      </c>
      <c r="AB543" s="12">
        <v>59280</v>
      </c>
      <c r="AC543" s="12">
        <v>160</v>
      </c>
      <c r="AD543" s="43"/>
      <c r="AE543" s="43"/>
      <c r="AF543" s="43"/>
      <c r="AG543" s="19">
        <v>160</v>
      </c>
      <c r="AH543" s="43"/>
      <c r="AI543" s="43"/>
      <c r="AJ543" s="43"/>
      <c r="AK543" s="43"/>
      <c r="AL543" s="43"/>
      <c r="AM543" s="43"/>
      <c r="AN543" s="43"/>
      <c r="AO543" s="43"/>
      <c r="AP543" s="43"/>
      <c r="AQ543" s="43"/>
      <c r="AR543" s="43"/>
      <c r="AS543" s="43"/>
      <c r="AT543" s="43"/>
      <c r="AU543" s="43"/>
      <c r="AV543" s="43"/>
    </row>
    <row r="544" ht="15.75" spans="1:48">
      <c r="A544" s="12">
        <v>540</v>
      </c>
      <c r="B544" s="44">
        <v>4173</v>
      </c>
      <c r="C544" s="45" t="s">
        <v>75</v>
      </c>
      <c r="D544" s="46" t="s">
        <v>81</v>
      </c>
      <c r="E544" s="47" t="s">
        <v>50</v>
      </c>
      <c r="F544" s="48">
        <v>7</v>
      </c>
      <c r="G544" s="38">
        <v>1</v>
      </c>
      <c r="H544" s="39"/>
      <c r="I544" s="39"/>
      <c r="J544" s="39"/>
      <c r="K544" s="39"/>
      <c r="L544" s="39"/>
      <c r="M544" s="39"/>
      <c r="N544" s="39"/>
      <c r="O544" s="39"/>
      <c r="P544" s="39"/>
      <c r="Q544" s="39">
        <v>0.83</v>
      </c>
      <c r="R544" s="39"/>
      <c r="S544" s="39"/>
      <c r="T544" s="39"/>
      <c r="U544" s="39">
        <v>0.17</v>
      </c>
      <c r="V544" s="39"/>
      <c r="W544" s="39"/>
      <c r="X544" s="49" t="s">
        <v>201</v>
      </c>
      <c r="Y544" s="50">
        <v>11375</v>
      </c>
      <c r="Z544" s="51">
        <v>11390</v>
      </c>
      <c r="AA544" s="52">
        <f>IFERROR(Z544/Y544,0)</f>
        <v>1.00131868131868</v>
      </c>
      <c r="AB544" s="12">
        <v>11384</v>
      </c>
      <c r="AC544" s="12">
        <v>6</v>
      </c>
      <c r="AD544" s="43"/>
      <c r="AE544" s="43"/>
      <c r="AF544" s="43"/>
      <c r="AG544" s="19">
        <v>6</v>
      </c>
      <c r="AH544" s="43"/>
      <c r="AI544" s="43"/>
      <c r="AJ544" s="43"/>
      <c r="AK544" s="43"/>
      <c r="AL544" s="43"/>
      <c r="AM544" s="43"/>
      <c r="AN544" s="43"/>
      <c r="AO544" s="43"/>
      <c r="AP544" s="43"/>
      <c r="AQ544" s="43"/>
      <c r="AR544" s="43"/>
      <c r="AS544" s="43"/>
      <c r="AT544" s="43"/>
      <c r="AU544" s="43"/>
      <c r="AV544" s="43"/>
    </row>
    <row r="545" ht="15.75" spans="1:48">
      <c r="A545" s="12">
        <v>541</v>
      </c>
      <c r="B545" s="44">
        <v>4344</v>
      </c>
      <c r="C545" s="45" t="s">
        <v>85</v>
      </c>
      <c r="D545" s="46" t="s">
        <v>138</v>
      </c>
      <c r="E545" s="47" t="s">
        <v>50</v>
      </c>
      <c r="F545" s="48">
        <v>9.83</v>
      </c>
      <c r="G545" s="38">
        <v>2.17</v>
      </c>
      <c r="H545" s="39"/>
      <c r="I545" s="39"/>
      <c r="J545" s="39"/>
      <c r="K545" s="39">
        <v>0.33</v>
      </c>
      <c r="L545" s="39"/>
      <c r="M545" s="39"/>
      <c r="N545" s="39"/>
      <c r="O545" s="39"/>
      <c r="P545" s="39"/>
      <c r="Q545" s="39">
        <v>1.17</v>
      </c>
      <c r="R545" s="39"/>
      <c r="S545" s="39">
        <v>0.5</v>
      </c>
      <c r="T545" s="39"/>
      <c r="U545" s="39">
        <v>0.17</v>
      </c>
      <c r="V545" s="39"/>
      <c r="W545" s="39"/>
      <c r="X545" s="49" t="s">
        <v>139</v>
      </c>
      <c r="Y545" s="50">
        <v>14990.75</v>
      </c>
      <c r="Z545" s="51">
        <v>12984</v>
      </c>
      <c r="AA545" s="52">
        <f>IFERROR(Z545/Y545,0)</f>
        <v>0.866134116038224</v>
      </c>
      <c r="AB545" s="12">
        <v>12960</v>
      </c>
      <c r="AC545" s="12">
        <v>24</v>
      </c>
      <c r="AD545" s="43"/>
      <c r="AE545" s="43"/>
      <c r="AF545" s="43"/>
      <c r="AG545" s="19">
        <v>24</v>
      </c>
      <c r="AH545" s="43"/>
      <c r="AI545" s="43"/>
      <c r="AJ545" s="43"/>
      <c r="AK545" s="43"/>
      <c r="AL545" s="43"/>
      <c r="AM545" s="43"/>
      <c r="AN545" s="43"/>
      <c r="AO545" s="43"/>
      <c r="AP545" s="43"/>
      <c r="AQ545" s="43"/>
      <c r="AR545" s="43"/>
      <c r="AS545" s="43"/>
      <c r="AT545" s="43"/>
      <c r="AU545" s="43"/>
      <c r="AV545" s="43"/>
    </row>
    <row r="546" ht="15.75" spans="1:48">
      <c r="A546" s="12">
        <v>542</v>
      </c>
      <c r="B546" s="44">
        <v>3277</v>
      </c>
      <c r="C546" s="45" t="s">
        <v>106</v>
      </c>
      <c r="D546" s="46"/>
      <c r="E546" s="47" t="s">
        <v>50</v>
      </c>
      <c r="F546" s="48">
        <v>10.83</v>
      </c>
      <c r="G546" s="38">
        <v>1.17</v>
      </c>
      <c r="H546" s="39"/>
      <c r="I546" s="39"/>
      <c r="J546" s="39"/>
      <c r="K546" s="39"/>
      <c r="L546" s="39"/>
      <c r="M546" s="39"/>
      <c r="N546" s="39"/>
      <c r="O546" s="39"/>
      <c r="P546" s="39"/>
      <c r="Q546" s="39">
        <v>1.17</v>
      </c>
      <c r="R546" s="39"/>
      <c r="S546" s="39"/>
      <c r="T546" s="39"/>
      <c r="U546" s="39"/>
      <c r="V546" s="39"/>
      <c r="W546" s="39"/>
      <c r="X546" s="49" t="s">
        <v>236</v>
      </c>
      <c r="Y546" s="50">
        <v>0</v>
      </c>
      <c r="Z546" s="51"/>
      <c r="AA546" s="52">
        <f>IFERROR(Z546/Y546,0)</f>
        <v>0</v>
      </c>
      <c r="AB546" s="12">
        <v>0</v>
      </c>
      <c r="AC546" s="12">
        <v>0</v>
      </c>
      <c r="AD546" s="43"/>
      <c r="AE546" s="43"/>
      <c r="AF546" s="43"/>
      <c r="AG546" s="43"/>
      <c r="AH546" s="43"/>
      <c r="AI546" s="43"/>
      <c r="AJ546" s="43"/>
      <c r="AK546" s="43"/>
      <c r="AL546" s="43"/>
      <c r="AM546" s="43"/>
      <c r="AN546" s="43"/>
      <c r="AO546" s="43"/>
      <c r="AP546" s="43"/>
      <c r="AQ546" s="43"/>
      <c r="AR546" s="43"/>
      <c r="AS546" s="43"/>
      <c r="AT546" s="43"/>
      <c r="AU546" s="43"/>
      <c r="AV546" s="43"/>
    </row>
    <row r="547" ht="15.75" spans="1:48">
      <c r="A547" s="12">
        <v>543</v>
      </c>
      <c r="B547" s="44">
        <v>4360</v>
      </c>
      <c r="C547" s="45" t="s">
        <v>97</v>
      </c>
      <c r="D547" s="46">
        <v>15</v>
      </c>
      <c r="E547" s="47" t="s">
        <v>50</v>
      </c>
      <c r="F547" s="48">
        <v>6.33</v>
      </c>
      <c r="G547" s="38">
        <v>2.67</v>
      </c>
      <c r="H547" s="39"/>
      <c r="I547" s="39"/>
      <c r="J547" s="39"/>
      <c r="K547" s="39"/>
      <c r="L547" s="39"/>
      <c r="M547" s="39"/>
      <c r="N547" s="39"/>
      <c r="O547" s="39"/>
      <c r="P547" s="39"/>
      <c r="Q547" s="39">
        <v>1</v>
      </c>
      <c r="R547" s="39"/>
      <c r="S547" s="39">
        <v>0.67</v>
      </c>
      <c r="T547" s="39">
        <v>0.83</v>
      </c>
      <c r="U547" s="39">
        <v>0.17</v>
      </c>
      <c r="V547" s="39"/>
      <c r="W547" s="39"/>
      <c r="X547" s="49">
        <v>3880</v>
      </c>
      <c r="Y547" s="50">
        <v>2532</v>
      </c>
      <c r="Z547" s="51">
        <v>2191</v>
      </c>
      <c r="AA547" s="52">
        <f>IFERROR(Z547/Y547,0)</f>
        <v>0.865323854660348</v>
      </c>
      <c r="AB547" s="12">
        <v>1998</v>
      </c>
      <c r="AC547" s="12">
        <v>193</v>
      </c>
      <c r="AD547" s="19">
        <v>193</v>
      </c>
      <c r="AE547" s="43"/>
      <c r="AF547" s="43"/>
      <c r="AG547" s="43"/>
      <c r="AH547" s="43"/>
      <c r="AI547" s="43"/>
      <c r="AJ547" s="43"/>
      <c r="AK547" s="43"/>
      <c r="AL547" s="43"/>
      <c r="AM547" s="43"/>
      <c r="AN547" s="43"/>
      <c r="AO547" s="43"/>
      <c r="AP547" s="43"/>
      <c r="AQ547" s="43"/>
      <c r="AR547" s="43"/>
      <c r="AS547" s="43"/>
      <c r="AT547" s="43"/>
      <c r="AU547" s="43"/>
      <c r="AV547" s="43"/>
    </row>
    <row r="548" ht="15.75" spans="1:48">
      <c r="A548" s="12">
        <v>544</v>
      </c>
      <c r="B548" s="44">
        <v>4490</v>
      </c>
      <c r="C548" s="45" t="s">
        <v>91</v>
      </c>
      <c r="D548" s="46">
        <v>3</v>
      </c>
      <c r="E548" s="47" t="s">
        <v>50</v>
      </c>
      <c r="F548" s="48">
        <v>7</v>
      </c>
      <c r="G548" s="38">
        <v>2.68</v>
      </c>
      <c r="H548" s="39"/>
      <c r="I548" s="39"/>
      <c r="J548" s="39">
        <v>0.33</v>
      </c>
      <c r="K548" s="39">
        <v>0.17</v>
      </c>
      <c r="L548" s="39"/>
      <c r="M548" s="39"/>
      <c r="N548" s="39"/>
      <c r="O548" s="39"/>
      <c r="P548" s="39"/>
      <c r="Q548" s="39">
        <v>1.17</v>
      </c>
      <c r="R548" s="39"/>
      <c r="S548" s="39">
        <v>0.67</v>
      </c>
      <c r="T548" s="39">
        <v>0.17</v>
      </c>
      <c r="U548" s="39">
        <v>0.17</v>
      </c>
      <c r="V548" s="39"/>
      <c r="W548" s="39"/>
      <c r="X548" s="49">
        <v>9740</v>
      </c>
      <c r="Y548" s="50">
        <v>2940</v>
      </c>
      <c r="Z548" s="51">
        <v>2685</v>
      </c>
      <c r="AA548" s="52">
        <f>IFERROR(Z548/Y548,0)</f>
        <v>0.913265306122449</v>
      </c>
      <c r="AB548" s="12">
        <v>2636</v>
      </c>
      <c r="AC548" s="12">
        <v>49</v>
      </c>
      <c r="AD548" s="19">
        <v>49</v>
      </c>
      <c r="AE548" s="43"/>
      <c r="AF548" s="43"/>
      <c r="AG548" s="43"/>
      <c r="AH548" s="43"/>
      <c r="AI548" s="43"/>
      <c r="AJ548" s="43"/>
      <c r="AK548" s="43"/>
      <c r="AL548" s="43"/>
      <c r="AM548" s="43"/>
      <c r="AN548" s="43"/>
      <c r="AO548" s="43"/>
      <c r="AP548" s="43"/>
      <c r="AQ548" s="43"/>
      <c r="AR548" s="43"/>
      <c r="AS548" s="43"/>
      <c r="AT548" s="43"/>
      <c r="AU548" s="43"/>
      <c r="AV548" s="43"/>
    </row>
    <row r="549" ht="15.75" spans="1:48">
      <c r="A549" s="12">
        <v>545</v>
      </c>
      <c r="B549" s="44">
        <v>669</v>
      </c>
      <c r="C549" s="45" t="s">
        <v>94</v>
      </c>
      <c r="D549" s="46">
        <v>17</v>
      </c>
      <c r="E549" s="47" t="s">
        <v>50</v>
      </c>
      <c r="F549" s="48">
        <v>1.5</v>
      </c>
      <c r="G549" s="38">
        <v>0</v>
      </c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49" t="s">
        <v>96</v>
      </c>
      <c r="Y549" s="50">
        <v>2175</v>
      </c>
      <c r="Z549" s="51">
        <v>2050</v>
      </c>
      <c r="AA549" s="52">
        <f>IFERROR(Z549/Y549,0)</f>
        <v>0.942528735632184</v>
      </c>
      <c r="AB549" s="12">
        <v>2050</v>
      </c>
      <c r="AC549" s="12">
        <v>0</v>
      </c>
      <c r="AD549" s="43"/>
      <c r="AE549" s="43"/>
      <c r="AF549" s="43"/>
      <c r="AG549" s="43"/>
      <c r="AH549" s="43"/>
      <c r="AI549" s="43"/>
      <c r="AJ549" s="43"/>
      <c r="AK549" s="43"/>
      <c r="AL549" s="43"/>
      <c r="AM549" s="43"/>
      <c r="AN549" s="43"/>
      <c r="AO549" s="43"/>
      <c r="AP549" s="43"/>
      <c r="AQ549" s="43"/>
      <c r="AR549" s="43"/>
      <c r="AS549" s="43"/>
      <c r="AT549" s="43"/>
      <c r="AU549" s="43"/>
      <c r="AV549" s="43"/>
    </row>
    <row r="550" ht="15.75" spans="1:48">
      <c r="A550" s="12">
        <v>546</v>
      </c>
      <c r="B550" s="44" t="s">
        <v>187</v>
      </c>
      <c r="C550" s="45" t="s">
        <v>188</v>
      </c>
      <c r="D550" s="46">
        <v>6</v>
      </c>
      <c r="E550" s="47" t="s">
        <v>50</v>
      </c>
      <c r="F550" s="48">
        <v>3.5</v>
      </c>
      <c r="G550" s="38">
        <v>0.17</v>
      </c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>
        <v>0.17</v>
      </c>
      <c r="U550" s="39"/>
      <c r="V550" s="39"/>
      <c r="W550" s="39"/>
      <c r="X550" s="49">
        <v>5770</v>
      </c>
      <c r="Y550" s="50">
        <v>2117.5</v>
      </c>
      <c r="Z550" s="51">
        <v>2160</v>
      </c>
      <c r="AA550" s="52">
        <f>IFERROR(Z550/Y550,0)</f>
        <v>1.02007083825266</v>
      </c>
      <c r="AB550" s="12">
        <v>2160</v>
      </c>
      <c r="AC550" s="12">
        <v>0</v>
      </c>
      <c r="AD550" s="43"/>
      <c r="AE550" s="43"/>
      <c r="AF550" s="43"/>
      <c r="AG550" s="43"/>
      <c r="AH550" s="43"/>
      <c r="AI550" s="43"/>
      <c r="AJ550" s="43"/>
      <c r="AK550" s="43"/>
      <c r="AL550" s="43"/>
      <c r="AM550" s="43"/>
      <c r="AN550" s="43"/>
      <c r="AO550" s="43"/>
      <c r="AP550" s="43"/>
      <c r="AQ550" s="43"/>
      <c r="AR550" s="43"/>
      <c r="AS550" s="43"/>
      <c r="AT550" s="43"/>
      <c r="AU550" s="43"/>
      <c r="AV550" s="43"/>
    </row>
    <row r="551" ht="15.75" spans="1:48">
      <c r="A551" s="12">
        <v>547</v>
      </c>
      <c r="B551" s="44" t="s">
        <v>187</v>
      </c>
      <c r="C551" s="45" t="s">
        <v>188</v>
      </c>
      <c r="D551" s="46"/>
      <c r="E551" s="47" t="s">
        <v>50</v>
      </c>
      <c r="F551" s="48">
        <v>0.33</v>
      </c>
      <c r="G551" s="38">
        <v>0</v>
      </c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49" t="s">
        <v>103</v>
      </c>
      <c r="Y551" s="50">
        <v>277.2</v>
      </c>
      <c r="Z551" s="51">
        <v>240</v>
      </c>
      <c r="AA551" s="52">
        <f>IFERROR(Z551/Y551,0)</f>
        <v>0.865800865800866</v>
      </c>
      <c r="AB551" s="12">
        <v>240</v>
      </c>
      <c r="AC551" s="12">
        <v>0</v>
      </c>
      <c r="AD551" s="43"/>
      <c r="AE551" s="43"/>
      <c r="AF551" s="43"/>
      <c r="AG551" s="43"/>
      <c r="AH551" s="43"/>
      <c r="AI551" s="43"/>
      <c r="AJ551" s="43"/>
      <c r="AK551" s="43"/>
      <c r="AL551" s="43"/>
      <c r="AM551" s="43"/>
      <c r="AN551" s="43"/>
      <c r="AO551" s="43"/>
      <c r="AP551" s="43"/>
      <c r="AQ551" s="43"/>
      <c r="AR551" s="43"/>
      <c r="AS551" s="43"/>
      <c r="AT551" s="43"/>
      <c r="AU551" s="43"/>
      <c r="AV551" s="43"/>
    </row>
    <row r="552" ht="15.75" spans="1:48">
      <c r="A552" s="12">
        <v>548</v>
      </c>
      <c r="B552" s="44">
        <v>4489</v>
      </c>
      <c r="C552" s="45" t="s">
        <v>88</v>
      </c>
      <c r="D552" s="46"/>
      <c r="E552" s="47" t="s">
        <v>50</v>
      </c>
      <c r="F552" s="48">
        <v>7.17</v>
      </c>
      <c r="G552" s="38">
        <v>3.34</v>
      </c>
      <c r="H552" s="39"/>
      <c r="I552" s="39"/>
      <c r="J552" s="39">
        <v>0.17</v>
      </c>
      <c r="K552" s="39">
        <v>0.33</v>
      </c>
      <c r="L552" s="39"/>
      <c r="M552" s="39"/>
      <c r="N552" s="39"/>
      <c r="O552" s="39"/>
      <c r="P552" s="39"/>
      <c r="Q552" s="39">
        <v>1.17</v>
      </c>
      <c r="R552" s="39"/>
      <c r="S552" s="39"/>
      <c r="T552" s="39">
        <v>1.5</v>
      </c>
      <c r="U552" s="39">
        <v>0.17</v>
      </c>
      <c r="V552" s="39"/>
      <c r="W552" s="39"/>
      <c r="X552" s="49">
        <v>2801</v>
      </c>
      <c r="Y552" s="50">
        <v>4337.85</v>
      </c>
      <c r="Z552" s="51">
        <v>4297</v>
      </c>
      <c r="AA552" s="52">
        <f>IFERROR(Z552/Y552,0)</f>
        <v>0.990582892446719</v>
      </c>
      <c r="AB552" s="12">
        <v>3600</v>
      </c>
      <c r="AC552" s="12">
        <v>697</v>
      </c>
      <c r="AD552" s="19">
        <v>697</v>
      </c>
      <c r="AE552" s="43"/>
      <c r="AF552" s="43"/>
      <c r="AG552" s="43"/>
      <c r="AH552" s="43"/>
      <c r="AI552" s="43"/>
      <c r="AJ552" s="43"/>
      <c r="AK552" s="43"/>
      <c r="AL552" s="43"/>
      <c r="AM552" s="43"/>
      <c r="AN552" s="43"/>
      <c r="AO552" s="43"/>
      <c r="AP552" s="43"/>
      <c r="AQ552" s="43"/>
      <c r="AR552" s="43"/>
      <c r="AS552" s="43"/>
      <c r="AT552" s="43"/>
      <c r="AU552" s="43"/>
      <c r="AV552" s="43"/>
    </row>
    <row r="553" ht="15.75" spans="1:48">
      <c r="A553" s="12">
        <v>549</v>
      </c>
      <c r="B553" s="44">
        <v>4382</v>
      </c>
      <c r="C553" s="45" t="s">
        <v>173</v>
      </c>
      <c r="D553" s="46"/>
      <c r="E553" s="47" t="s">
        <v>50</v>
      </c>
      <c r="F553" s="48">
        <v>1</v>
      </c>
      <c r="G553" s="38">
        <v>0</v>
      </c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49" t="s">
        <v>98</v>
      </c>
      <c r="Y553" s="50">
        <v>470</v>
      </c>
      <c r="Z553" s="51">
        <v>540</v>
      </c>
      <c r="AA553" s="52">
        <f>IFERROR(Z553/Y553,0)</f>
        <v>1.14893617021277</v>
      </c>
      <c r="AB553" s="12">
        <v>540</v>
      </c>
      <c r="AC553" s="12">
        <v>0</v>
      </c>
      <c r="AD553" s="43"/>
      <c r="AE553" s="43"/>
      <c r="AF553" s="43"/>
      <c r="AG553" s="43"/>
      <c r="AH553" s="43"/>
      <c r="AI553" s="43"/>
      <c r="AJ553" s="43"/>
      <c r="AK553" s="43"/>
      <c r="AL553" s="43"/>
      <c r="AM553" s="43"/>
      <c r="AN553" s="43"/>
      <c r="AO553" s="43"/>
      <c r="AP553" s="43"/>
      <c r="AQ553" s="43"/>
      <c r="AR553" s="43"/>
      <c r="AS553" s="43"/>
      <c r="AT553" s="43"/>
      <c r="AU553" s="43"/>
      <c r="AV553" s="43"/>
    </row>
    <row r="554" ht="15.75" spans="1:48">
      <c r="A554" s="12">
        <v>550</v>
      </c>
      <c r="B554" s="44">
        <v>846</v>
      </c>
      <c r="C554" s="45" t="s">
        <v>87</v>
      </c>
      <c r="D554" s="46">
        <v>2</v>
      </c>
      <c r="E554" s="47" t="s">
        <v>50</v>
      </c>
      <c r="F554" s="48">
        <v>4.33</v>
      </c>
      <c r="G554" s="38">
        <v>1</v>
      </c>
      <c r="H554" s="39"/>
      <c r="I554" s="39"/>
      <c r="J554" s="39"/>
      <c r="K554" s="39"/>
      <c r="L554" s="39"/>
      <c r="M554" s="39"/>
      <c r="N554" s="39"/>
      <c r="O554" s="39"/>
      <c r="P554" s="39"/>
      <c r="Q554" s="39">
        <v>0.83</v>
      </c>
      <c r="R554" s="39"/>
      <c r="S554" s="39"/>
      <c r="T554" s="39"/>
      <c r="U554" s="39">
        <v>0.17</v>
      </c>
      <c r="V554" s="39"/>
      <c r="W554" s="39"/>
      <c r="X554" s="49">
        <v>1090</v>
      </c>
      <c r="Y554" s="50">
        <v>2857.8</v>
      </c>
      <c r="Z554" s="51">
        <v>2688</v>
      </c>
      <c r="AA554" s="52">
        <f>IFERROR(Z554/Y554,0)</f>
        <v>0.940583665756876</v>
      </c>
      <c r="AB554" s="12">
        <v>2688</v>
      </c>
      <c r="AC554" s="12">
        <v>0</v>
      </c>
      <c r="AD554" s="43"/>
      <c r="AE554" s="43"/>
      <c r="AF554" s="43"/>
      <c r="AG554" s="43"/>
      <c r="AH554" s="43"/>
      <c r="AI554" s="43"/>
      <c r="AJ554" s="43"/>
      <c r="AK554" s="43"/>
      <c r="AL554" s="43"/>
      <c r="AM554" s="43"/>
      <c r="AN554" s="43"/>
      <c r="AO554" s="43"/>
      <c r="AP554" s="43"/>
      <c r="AQ554" s="43"/>
      <c r="AR554" s="43"/>
      <c r="AS554" s="43"/>
      <c r="AT554" s="43"/>
      <c r="AU554" s="43"/>
      <c r="AV554" s="43"/>
    </row>
    <row r="555" ht="15.75" spans="1:48">
      <c r="A555" s="12">
        <v>551</v>
      </c>
      <c r="B555" s="44">
        <v>4412</v>
      </c>
      <c r="C555" s="45" t="s">
        <v>177</v>
      </c>
      <c r="D555" s="46">
        <v>14</v>
      </c>
      <c r="E555" s="47" t="s">
        <v>50</v>
      </c>
      <c r="F555" s="48">
        <v>8.5</v>
      </c>
      <c r="G555" s="38">
        <v>1.67</v>
      </c>
      <c r="H555" s="39"/>
      <c r="I555" s="39"/>
      <c r="J555" s="39"/>
      <c r="K555" s="39"/>
      <c r="L555" s="39"/>
      <c r="M555" s="39"/>
      <c r="N555" s="39"/>
      <c r="O555" s="39"/>
      <c r="P555" s="39"/>
      <c r="Q555" s="39">
        <v>1.17</v>
      </c>
      <c r="R555" s="39"/>
      <c r="S555" s="39"/>
      <c r="T555" s="39">
        <v>0.33</v>
      </c>
      <c r="U555" s="39">
        <v>0.17</v>
      </c>
      <c r="V555" s="39"/>
      <c r="W555" s="39"/>
      <c r="X555" s="49">
        <v>8484</v>
      </c>
      <c r="Y555" s="50">
        <v>4590</v>
      </c>
      <c r="Z555" s="51">
        <v>4680</v>
      </c>
      <c r="AA555" s="52">
        <f>IFERROR(Z555/Y555,0)</f>
        <v>1.01960784313725</v>
      </c>
      <c r="AB555" s="12">
        <v>4643</v>
      </c>
      <c r="AC555" s="12">
        <v>37</v>
      </c>
      <c r="AD555" s="19">
        <v>37</v>
      </c>
      <c r="AE555" s="43"/>
      <c r="AF555" s="43"/>
      <c r="AG555" s="43"/>
      <c r="AH555" s="43"/>
      <c r="AI555" s="43"/>
      <c r="AJ555" s="43"/>
      <c r="AK555" s="43"/>
      <c r="AL555" s="43"/>
      <c r="AM555" s="43"/>
      <c r="AN555" s="43"/>
      <c r="AO555" s="43"/>
      <c r="AP555" s="43"/>
      <c r="AQ555" s="43"/>
      <c r="AR555" s="43"/>
      <c r="AS555" s="43"/>
      <c r="AT555" s="43"/>
      <c r="AU555" s="43"/>
      <c r="AV555" s="43"/>
    </row>
    <row r="556" ht="15.75" spans="1:48">
      <c r="A556" s="12">
        <v>552</v>
      </c>
      <c r="B556" s="44">
        <v>676</v>
      </c>
      <c r="C556" s="45" t="s">
        <v>171</v>
      </c>
      <c r="D556" s="46"/>
      <c r="E556" s="47" t="s">
        <v>50</v>
      </c>
      <c r="F556" s="48">
        <v>6.83</v>
      </c>
      <c r="G556" s="38">
        <v>1.17</v>
      </c>
      <c r="H556" s="39"/>
      <c r="I556" s="39"/>
      <c r="J556" s="39"/>
      <c r="K556" s="39"/>
      <c r="L556" s="39"/>
      <c r="M556" s="39"/>
      <c r="N556" s="39"/>
      <c r="O556" s="39"/>
      <c r="P556" s="39"/>
      <c r="Q556" s="39">
        <v>1.17</v>
      </c>
      <c r="R556" s="39"/>
      <c r="S556" s="39"/>
      <c r="T556" s="39"/>
      <c r="U556" s="39"/>
      <c r="V556" s="39"/>
      <c r="W556" s="39"/>
      <c r="X556" s="49" t="s">
        <v>98</v>
      </c>
      <c r="Y556" s="50">
        <v>3210.1</v>
      </c>
      <c r="Z556" s="51">
        <v>3060</v>
      </c>
      <c r="AA556" s="52">
        <f>IFERROR(Z556/Y556,0)</f>
        <v>0.953241332045731</v>
      </c>
      <c r="AB556" s="12">
        <v>3060</v>
      </c>
      <c r="AC556" s="12">
        <v>0</v>
      </c>
      <c r="AD556" s="43"/>
      <c r="AE556" s="43"/>
      <c r="AF556" s="43"/>
      <c r="AG556" s="43"/>
      <c r="AH556" s="43"/>
      <c r="AI556" s="43"/>
      <c r="AJ556" s="43"/>
      <c r="AK556" s="43"/>
      <c r="AL556" s="43"/>
      <c r="AM556" s="43"/>
      <c r="AN556" s="43"/>
      <c r="AO556" s="43"/>
      <c r="AP556" s="43"/>
      <c r="AQ556" s="43"/>
      <c r="AR556" s="43"/>
      <c r="AS556" s="43"/>
      <c r="AT556" s="43"/>
      <c r="AU556" s="43"/>
      <c r="AV556" s="43"/>
    </row>
    <row r="557" ht="15.75" spans="1:48">
      <c r="A557" s="12">
        <v>553</v>
      </c>
      <c r="B557" s="44">
        <v>676</v>
      </c>
      <c r="C557" s="45" t="s">
        <v>171</v>
      </c>
      <c r="D557" s="46"/>
      <c r="E557" s="47" t="s">
        <v>50</v>
      </c>
      <c r="F557" s="48">
        <v>1</v>
      </c>
      <c r="G557" s="38">
        <v>0</v>
      </c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49" t="s">
        <v>237</v>
      </c>
      <c r="Y557" s="50">
        <v>1100</v>
      </c>
      <c r="Z557" s="51">
        <v>1000</v>
      </c>
      <c r="AA557" s="52">
        <f>IFERROR(Z557/Y557,0)</f>
        <v>0.909090909090909</v>
      </c>
      <c r="AB557" s="12">
        <v>1000</v>
      </c>
      <c r="AC557" s="12">
        <v>0</v>
      </c>
      <c r="AD557" s="43"/>
      <c r="AE557" s="43"/>
      <c r="AF557" s="43"/>
      <c r="AG557" s="43"/>
      <c r="AH557" s="43"/>
      <c r="AI557" s="43"/>
      <c r="AJ557" s="43"/>
      <c r="AK557" s="43"/>
      <c r="AL557" s="43"/>
      <c r="AM557" s="43"/>
      <c r="AN557" s="43"/>
      <c r="AO557" s="43"/>
      <c r="AP557" s="43"/>
      <c r="AQ557" s="43"/>
      <c r="AR557" s="43"/>
      <c r="AS557" s="43"/>
      <c r="AT557" s="43"/>
      <c r="AU557" s="43"/>
      <c r="AV557" s="43"/>
    </row>
    <row r="558" ht="15.75" spans="1:48">
      <c r="A558" s="12">
        <v>554</v>
      </c>
      <c r="B558" s="44">
        <v>676</v>
      </c>
      <c r="C558" s="45" t="s">
        <v>171</v>
      </c>
      <c r="D558" s="46"/>
      <c r="E558" s="47" t="s">
        <v>50</v>
      </c>
      <c r="F558" s="48">
        <v>3</v>
      </c>
      <c r="G558" s="38">
        <v>0</v>
      </c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49" t="s">
        <v>90</v>
      </c>
      <c r="Y558" s="50">
        <v>1410</v>
      </c>
      <c r="Z558" s="51">
        <v>1440</v>
      </c>
      <c r="AA558" s="52">
        <f>IFERROR(Z558/Y558,0)</f>
        <v>1.02127659574468</v>
      </c>
      <c r="AB558" s="12">
        <v>1440</v>
      </c>
      <c r="AC558" s="12">
        <v>0</v>
      </c>
      <c r="AD558" s="43"/>
      <c r="AE558" s="43"/>
      <c r="AF558" s="43"/>
      <c r="AG558" s="43"/>
      <c r="AH558" s="43"/>
      <c r="AI558" s="43"/>
      <c r="AJ558" s="43"/>
      <c r="AK558" s="43"/>
      <c r="AL558" s="43"/>
      <c r="AM558" s="43"/>
      <c r="AN558" s="43"/>
      <c r="AO558" s="43"/>
      <c r="AP558" s="43"/>
      <c r="AQ558" s="43"/>
      <c r="AR558" s="43"/>
      <c r="AS558" s="43"/>
      <c r="AT558" s="43"/>
      <c r="AU558" s="43"/>
      <c r="AV558" s="43"/>
    </row>
    <row r="559" ht="15.75" spans="1:48">
      <c r="A559" s="12">
        <v>555</v>
      </c>
      <c r="B559" s="57">
        <v>4310</v>
      </c>
      <c r="C559" s="45" t="s">
        <v>99</v>
      </c>
      <c r="D559" s="46">
        <v>5</v>
      </c>
      <c r="E559" s="47" t="s">
        <v>50</v>
      </c>
      <c r="F559" s="48">
        <v>9</v>
      </c>
      <c r="G559" s="38">
        <v>1.84</v>
      </c>
      <c r="H559" s="39"/>
      <c r="I559" s="39"/>
      <c r="J559" s="39"/>
      <c r="K559" s="39"/>
      <c r="L559" s="39"/>
      <c r="M559" s="39"/>
      <c r="N559" s="39"/>
      <c r="O559" s="39"/>
      <c r="P559" s="39"/>
      <c r="Q559" s="39">
        <v>1.17</v>
      </c>
      <c r="R559" s="39"/>
      <c r="S559" s="39"/>
      <c r="T559" s="39">
        <v>0.5</v>
      </c>
      <c r="U559" s="39">
        <v>0.17</v>
      </c>
      <c r="V559" s="39"/>
      <c r="W559" s="39"/>
      <c r="X559" s="49">
        <v>5770</v>
      </c>
      <c r="Y559" s="50">
        <v>5445</v>
      </c>
      <c r="Z559" s="51">
        <v>5400</v>
      </c>
      <c r="AA559" s="52">
        <f>IFERROR(Z559/Y559,0)</f>
        <v>0.991735537190083</v>
      </c>
      <c r="AB559" s="12">
        <v>5314</v>
      </c>
      <c r="AC559" s="12">
        <v>86</v>
      </c>
      <c r="AD559" s="19">
        <v>86</v>
      </c>
      <c r="AE559" s="43"/>
      <c r="AF559" s="43"/>
      <c r="AG559" s="43"/>
      <c r="AH559" s="43"/>
      <c r="AI559" s="43"/>
      <c r="AJ559" s="43"/>
      <c r="AK559" s="43"/>
      <c r="AL559" s="43"/>
      <c r="AM559" s="43"/>
      <c r="AN559" s="43"/>
      <c r="AO559" s="43"/>
      <c r="AP559" s="43"/>
      <c r="AQ559" s="43"/>
      <c r="AR559" s="43"/>
      <c r="AS559" s="43"/>
      <c r="AT559" s="43"/>
      <c r="AU559" s="43"/>
      <c r="AV559" s="43"/>
    </row>
    <row r="560" ht="15.75" spans="1:48">
      <c r="A560" s="12">
        <v>556</v>
      </c>
      <c r="B560" s="44">
        <v>669</v>
      </c>
      <c r="C560" s="45" t="s">
        <v>94</v>
      </c>
      <c r="D560" s="46">
        <v>21</v>
      </c>
      <c r="E560" s="47" t="s">
        <v>50</v>
      </c>
      <c r="F560" s="48">
        <v>2.83</v>
      </c>
      <c r="G560" s="38">
        <v>2.16</v>
      </c>
      <c r="H560" s="39"/>
      <c r="I560" s="39"/>
      <c r="J560" s="39"/>
      <c r="K560" s="39"/>
      <c r="L560" s="39"/>
      <c r="M560" s="39"/>
      <c r="N560" s="39"/>
      <c r="O560" s="39"/>
      <c r="P560" s="39"/>
      <c r="Q560" s="39">
        <v>1</v>
      </c>
      <c r="R560" s="39"/>
      <c r="S560" s="39">
        <v>0.33</v>
      </c>
      <c r="T560" s="39">
        <v>0.5</v>
      </c>
      <c r="U560" s="39">
        <v>0.33</v>
      </c>
      <c r="V560" s="39"/>
      <c r="W560" s="39"/>
      <c r="X560" s="49" t="s">
        <v>228</v>
      </c>
      <c r="Y560" s="50">
        <v>4103.5</v>
      </c>
      <c r="Z560" s="51">
        <v>3600</v>
      </c>
      <c r="AA560" s="52">
        <f>IFERROR(Z560/Y560,0)</f>
        <v>0.877299865968076</v>
      </c>
      <c r="AB560" s="12">
        <v>3600</v>
      </c>
      <c r="AC560" s="12">
        <v>0</v>
      </c>
      <c r="AD560" s="43"/>
      <c r="AE560" s="43"/>
      <c r="AF560" s="43"/>
      <c r="AG560" s="43"/>
      <c r="AH560" s="43"/>
      <c r="AI560" s="43"/>
      <c r="AJ560" s="43"/>
      <c r="AK560" s="43"/>
      <c r="AL560" s="43"/>
      <c r="AM560" s="43"/>
      <c r="AN560" s="43"/>
      <c r="AO560" s="43"/>
      <c r="AP560" s="43"/>
      <c r="AQ560" s="43"/>
      <c r="AR560" s="43"/>
      <c r="AS560" s="43"/>
      <c r="AT560" s="43"/>
      <c r="AU560" s="43"/>
      <c r="AV560" s="43"/>
    </row>
    <row r="561" ht="15.75" spans="1:48">
      <c r="A561" s="12">
        <v>557</v>
      </c>
      <c r="B561" s="44">
        <v>669</v>
      </c>
      <c r="C561" s="45" t="s">
        <v>94</v>
      </c>
      <c r="D561" s="46">
        <v>21</v>
      </c>
      <c r="E561" s="47" t="s">
        <v>50</v>
      </c>
      <c r="F561" s="48">
        <v>2.17</v>
      </c>
      <c r="G561" s="38">
        <v>0</v>
      </c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49" t="s">
        <v>222</v>
      </c>
      <c r="Y561" s="50">
        <v>3146.5</v>
      </c>
      <c r="Z561" s="51">
        <v>3150</v>
      </c>
      <c r="AA561" s="52">
        <f>IFERROR(Z561/Y561,0)</f>
        <v>1.00111234705228</v>
      </c>
      <c r="AB561" s="12">
        <v>3150</v>
      </c>
      <c r="AC561" s="12">
        <v>0</v>
      </c>
      <c r="AD561" s="43"/>
      <c r="AE561" s="43"/>
      <c r="AF561" s="43"/>
      <c r="AG561" s="43"/>
      <c r="AH561" s="43"/>
      <c r="AI561" s="43"/>
      <c r="AJ561" s="43"/>
      <c r="AK561" s="43"/>
      <c r="AL561" s="43"/>
      <c r="AM561" s="43"/>
      <c r="AN561" s="43"/>
      <c r="AO561" s="43"/>
      <c r="AP561" s="43"/>
      <c r="AQ561" s="43"/>
      <c r="AR561" s="43"/>
      <c r="AS561" s="43"/>
      <c r="AT561" s="43"/>
      <c r="AU561" s="43"/>
      <c r="AV561" s="43"/>
    </row>
    <row r="562" ht="15.75" spans="1:48">
      <c r="A562" s="12">
        <v>558</v>
      </c>
      <c r="B562" s="44" t="s">
        <v>185</v>
      </c>
      <c r="C562" s="45" t="s">
        <v>179</v>
      </c>
      <c r="D562" s="46">
        <v>18</v>
      </c>
      <c r="E562" s="47" t="s">
        <v>50</v>
      </c>
      <c r="F562" s="48">
        <v>2.5</v>
      </c>
      <c r="G562" s="38">
        <v>0</v>
      </c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49" t="s">
        <v>228</v>
      </c>
      <c r="Y562" s="50">
        <v>3625</v>
      </c>
      <c r="Z562" s="51">
        <v>3150</v>
      </c>
      <c r="AA562" s="52">
        <f>IFERROR(Z562/Y562,0)</f>
        <v>0.868965517241379</v>
      </c>
      <c r="AB562" s="12">
        <v>3150</v>
      </c>
      <c r="AC562" s="12">
        <v>0</v>
      </c>
      <c r="AD562" s="43"/>
      <c r="AE562" s="43"/>
      <c r="AF562" s="43"/>
      <c r="AG562" s="43"/>
      <c r="AH562" s="43"/>
      <c r="AI562" s="43"/>
      <c r="AJ562" s="43"/>
      <c r="AK562" s="43"/>
      <c r="AL562" s="43"/>
      <c r="AM562" s="43"/>
      <c r="AN562" s="43"/>
      <c r="AO562" s="43"/>
      <c r="AP562" s="43"/>
      <c r="AQ562" s="43"/>
      <c r="AR562" s="43"/>
      <c r="AS562" s="43"/>
      <c r="AT562" s="43"/>
      <c r="AU562" s="43"/>
      <c r="AV562" s="43"/>
    </row>
    <row r="563" ht="15.75" spans="1:48">
      <c r="A563" s="12">
        <v>559</v>
      </c>
      <c r="B563" s="44" t="s">
        <v>185</v>
      </c>
      <c r="C563" s="45" t="s">
        <v>179</v>
      </c>
      <c r="D563" s="46"/>
      <c r="E563" s="47" t="s">
        <v>93</v>
      </c>
      <c r="F563" s="48">
        <v>5.16</v>
      </c>
      <c r="G563" s="38">
        <v>1.34</v>
      </c>
      <c r="H563" s="39"/>
      <c r="I563" s="39"/>
      <c r="J563" s="39"/>
      <c r="K563" s="39"/>
      <c r="L563" s="39"/>
      <c r="M563" s="39"/>
      <c r="N563" s="39"/>
      <c r="O563" s="39"/>
      <c r="P563" s="39"/>
      <c r="Q563" s="39">
        <v>1.17</v>
      </c>
      <c r="R563" s="39"/>
      <c r="S563" s="39"/>
      <c r="T563" s="39"/>
      <c r="U563" s="39">
        <v>0.17</v>
      </c>
      <c r="V563" s="39"/>
      <c r="W563" s="39"/>
      <c r="X563" s="49">
        <v>9968</v>
      </c>
      <c r="Y563" s="50">
        <v>2185.26</v>
      </c>
      <c r="Z563" s="51">
        <v>1963</v>
      </c>
      <c r="AA563" s="52">
        <f>IFERROR(Z563/Y563,0)</f>
        <v>0.898291278840962</v>
      </c>
      <c r="AB563" s="12">
        <v>1963</v>
      </c>
      <c r="AC563" s="12">
        <v>0</v>
      </c>
      <c r="AD563" s="43"/>
      <c r="AE563" s="43"/>
      <c r="AF563" s="43"/>
      <c r="AG563" s="43"/>
      <c r="AH563" s="43"/>
      <c r="AI563" s="43"/>
      <c r="AJ563" s="43"/>
      <c r="AK563" s="43"/>
      <c r="AL563" s="43"/>
      <c r="AM563" s="43"/>
      <c r="AN563" s="43"/>
      <c r="AO563" s="43"/>
      <c r="AP563" s="43"/>
      <c r="AQ563" s="43"/>
      <c r="AR563" s="43"/>
      <c r="AS563" s="43"/>
      <c r="AT563" s="43"/>
      <c r="AU563" s="43"/>
      <c r="AV563" s="43"/>
    </row>
    <row r="564" ht="15.75" spans="1:48">
      <c r="A564" s="12">
        <v>560</v>
      </c>
      <c r="B564" s="44" t="s">
        <v>211</v>
      </c>
      <c r="C564" s="45" t="s">
        <v>176</v>
      </c>
      <c r="D564" s="46">
        <v>5</v>
      </c>
      <c r="E564" s="47" t="s">
        <v>50</v>
      </c>
      <c r="F564" s="48">
        <v>4.17</v>
      </c>
      <c r="G564" s="38">
        <v>0</v>
      </c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49">
        <v>5770</v>
      </c>
      <c r="Y564" s="50">
        <v>2522.85</v>
      </c>
      <c r="Z564" s="51">
        <v>2520</v>
      </c>
      <c r="AA564" s="52">
        <f>IFERROR(Z564/Y564,0)</f>
        <v>0.998870325227421</v>
      </c>
      <c r="AB564" s="12">
        <v>2520</v>
      </c>
      <c r="AC564" s="12">
        <v>0</v>
      </c>
      <c r="AD564" s="43"/>
      <c r="AE564" s="43"/>
      <c r="AF564" s="43"/>
      <c r="AG564" s="43"/>
      <c r="AH564" s="43"/>
      <c r="AI564" s="43"/>
      <c r="AJ564" s="43"/>
      <c r="AK564" s="43"/>
      <c r="AL564" s="43"/>
      <c r="AM564" s="43"/>
      <c r="AN564" s="43"/>
      <c r="AO564" s="43"/>
      <c r="AP564" s="43"/>
      <c r="AQ564" s="43"/>
      <c r="AR564" s="43"/>
      <c r="AS564" s="43"/>
      <c r="AT564" s="43"/>
      <c r="AU564" s="43"/>
      <c r="AV564" s="43"/>
    </row>
    <row r="565" ht="15.75" spans="1:48">
      <c r="A565" s="12">
        <v>561</v>
      </c>
      <c r="B565" s="57" t="s">
        <v>211</v>
      </c>
      <c r="C565" s="45" t="s">
        <v>176</v>
      </c>
      <c r="D565" s="46"/>
      <c r="E565" s="47" t="s">
        <v>50</v>
      </c>
      <c r="F565" s="48">
        <v>0.83</v>
      </c>
      <c r="G565" s="38">
        <v>0</v>
      </c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49" t="s">
        <v>103</v>
      </c>
      <c r="Y565" s="50">
        <v>697.2</v>
      </c>
      <c r="Z565" s="51">
        <v>600</v>
      </c>
      <c r="AA565" s="52">
        <f>IFERROR(Z565/Y565,0)</f>
        <v>0.860585197934596</v>
      </c>
      <c r="AB565" s="12">
        <v>600</v>
      </c>
      <c r="AC565" s="12">
        <v>0</v>
      </c>
      <c r="AD565" s="43"/>
      <c r="AE565" s="43"/>
      <c r="AF565" s="43"/>
      <c r="AG565" s="43"/>
      <c r="AH565" s="43"/>
      <c r="AI565" s="43"/>
      <c r="AJ565" s="43"/>
      <c r="AK565" s="43"/>
      <c r="AL565" s="43"/>
      <c r="AM565" s="43"/>
      <c r="AN565" s="43"/>
      <c r="AO565" s="43"/>
      <c r="AP565" s="43"/>
      <c r="AQ565" s="43"/>
      <c r="AR565" s="43"/>
      <c r="AS565" s="43"/>
      <c r="AT565" s="43"/>
      <c r="AU565" s="43"/>
      <c r="AV565" s="43"/>
    </row>
    <row r="566" ht="15.75" spans="1:48">
      <c r="A566" s="12">
        <v>562</v>
      </c>
      <c r="B566" s="44">
        <v>4360</v>
      </c>
      <c r="C566" s="45" t="s">
        <v>97</v>
      </c>
      <c r="D566" s="46"/>
      <c r="E566" s="47" t="s">
        <v>50</v>
      </c>
      <c r="F566" s="48">
        <v>1</v>
      </c>
      <c r="G566" s="38">
        <v>0</v>
      </c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49" t="s">
        <v>103</v>
      </c>
      <c r="Y566" s="50">
        <v>840</v>
      </c>
      <c r="Z566" s="51">
        <v>751</v>
      </c>
      <c r="AA566" s="52">
        <f>IFERROR(Z566/Y566,0)</f>
        <v>0.894047619047619</v>
      </c>
      <c r="AB566" s="12">
        <v>751</v>
      </c>
      <c r="AC566" s="12">
        <v>0</v>
      </c>
      <c r="AD566" s="43"/>
      <c r="AE566" s="43"/>
      <c r="AF566" s="43"/>
      <c r="AG566" s="43"/>
      <c r="AH566" s="43"/>
      <c r="AI566" s="43"/>
      <c r="AJ566" s="43"/>
      <c r="AK566" s="43"/>
      <c r="AL566" s="43"/>
      <c r="AM566" s="43"/>
      <c r="AN566" s="43"/>
      <c r="AO566" s="43"/>
      <c r="AP566" s="43"/>
      <c r="AQ566" s="43"/>
      <c r="AR566" s="43"/>
      <c r="AS566" s="43"/>
      <c r="AT566" s="43"/>
      <c r="AU566" s="43"/>
      <c r="AV566" s="43"/>
    </row>
    <row r="567" ht="15.75" spans="1:48">
      <c r="A567" s="12">
        <v>563</v>
      </c>
      <c r="B567" s="44">
        <v>4490</v>
      </c>
      <c r="C567" s="45" t="s">
        <v>91</v>
      </c>
      <c r="D567" s="46"/>
      <c r="E567" s="47" t="s">
        <v>50</v>
      </c>
      <c r="F567" s="48">
        <v>1.33</v>
      </c>
      <c r="G567" s="38">
        <v>0</v>
      </c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49" t="s">
        <v>104</v>
      </c>
      <c r="Y567" s="50">
        <v>19950</v>
      </c>
      <c r="Z567" s="51">
        <v>19360</v>
      </c>
      <c r="AA567" s="52">
        <f>IFERROR(Z567/Y567,0)</f>
        <v>0.970426065162907</v>
      </c>
      <c r="AB567" s="12">
        <v>19360</v>
      </c>
      <c r="AC567" s="12">
        <v>0</v>
      </c>
      <c r="AD567" s="43"/>
      <c r="AE567" s="43"/>
      <c r="AF567" s="43"/>
      <c r="AG567" s="43"/>
      <c r="AH567" s="43"/>
      <c r="AI567" s="43"/>
      <c r="AJ567" s="43"/>
      <c r="AK567" s="43"/>
      <c r="AL567" s="43"/>
      <c r="AM567" s="43"/>
      <c r="AN567" s="43"/>
      <c r="AO567" s="43"/>
      <c r="AP567" s="43"/>
      <c r="AQ567" s="43"/>
      <c r="AR567" s="43"/>
      <c r="AS567" s="43"/>
      <c r="AT567" s="43"/>
      <c r="AU567" s="43"/>
      <c r="AV567" s="43"/>
    </row>
    <row r="568" ht="15.75" spans="1:48">
      <c r="A568" s="12">
        <v>564</v>
      </c>
      <c r="B568" s="44">
        <v>4490</v>
      </c>
      <c r="C568" s="45" t="s">
        <v>91</v>
      </c>
      <c r="D568" s="46"/>
      <c r="E568" s="47" t="s">
        <v>50</v>
      </c>
      <c r="F568" s="48">
        <v>1</v>
      </c>
      <c r="G568" s="38">
        <v>0</v>
      </c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49" t="s">
        <v>103</v>
      </c>
      <c r="Y568" s="50">
        <v>840</v>
      </c>
      <c r="Z568" s="51">
        <v>765</v>
      </c>
      <c r="AA568" s="52">
        <f>IFERROR(Z568/Y568,0)</f>
        <v>0.910714285714286</v>
      </c>
      <c r="AB568" s="12">
        <v>765</v>
      </c>
      <c r="AC568" s="12">
        <v>0</v>
      </c>
      <c r="AD568" s="43"/>
      <c r="AE568" s="43"/>
      <c r="AF568" s="43"/>
      <c r="AG568" s="43"/>
      <c r="AH568" s="43"/>
      <c r="AI568" s="43"/>
      <c r="AJ568" s="43"/>
      <c r="AK568" s="43"/>
      <c r="AL568" s="43"/>
      <c r="AM568" s="43"/>
      <c r="AN568" s="43"/>
      <c r="AO568" s="43"/>
      <c r="AP568" s="43"/>
      <c r="AQ568" s="43"/>
      <c r="AR568" s="43"/>
      <c r="AS568" s="43"/>
      <c r="AT568" s="43"/>
      <c r="AU568" s="43"/>
      <c r="AV568" s="43"/>
    </row>
    <row r="569" ht="15.75" spans="1:48">
      <c r="A569" s="12">
        <v>565</v>
      </c>
      <c r="B569" s="44">
        <v>669</v>
      </c>
      <c r="C569" s="45" t="s">
        <v>94</v>
      </c>
      <c r="D569" s="46"/>
      <c r="E569" s="47" t="s">
        <v>50</v>
      </c>
      <c r="F569" s="48">
        <v>1.34</v>
      </c>
      <c r="G569" s="38">
        <v>0</v>
      </c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49" t="s">
        <v>105</v>
      </c>
      <c r="Y569" s="50">
        <v>884.4</v>
      </c>
      <c r="Z569" s="51">
        <v>750</v>
      </c>
      <c r="AA569" s="52">
        <f>IFERROR(Z569/Y569,0)</f>
        <v>0.848032564450475</v>
      </c>
      <c r="AB569" s="12">
        <v>750</v>
      </c>
      <c r="AC569" s="12">
        <v>0</v>
      </c>
      <c r="AD569" s="43"/>
      <c r="AE569" s="43"/>
      <c r="AF569" s="43"/>
      <c r="AG569" s="43"/>
      <c r="AH569" s="43"/>
      <c r="AI569" s="43"/>
      <c r="AJ569" s="43"/>
      <c r="AK569" s="43"/>
      <c r="AL569" s="43"/>
      <c r="AM569" s="43"/>
      <c r="AN569" s="43"/>
      <c r="AO569" s="43"/>
      <c r="AP569" s="43"/>
      <c r="AQ569" s="43"/>
      <c r="AR569" s="43"/>
      <c r="AS569" s="43"/>
      <c r="AT569" s="43"/>
      <c r="AU569" s="43"/>
      <c r="AV569" s="43"/>
    </row>
    <row r="570" ht="15.75" spans="1:48">
      <c r="A570" s="12">
        <v>566</v>
      </c>
      <c r="B570" s="44">
        <v>849</v>
      </c>
      <c r="C570" s="45" t="s">
        <v>108</v>
      </c>
      <c r="D570" s="46"/>
      <c r="E570" s="47" t="s">
        <v>50</v>
      </c>
      <c r="F570" s="48">
        <v>7.17</v>
      </c>
      <c r="G570" s="38">
        <v>0.83</v>
      </c>
      <c r="H570" s="39"/>
      <c r="I570" s="39"/>
      <c r="J570" s="39"/>
      <c r="K570" s="39"/>
      <c r="L570" s="39"/>
      <c r="M570" s="39"/>
      <c r="N570" s="39"/>
      <c r="O570" s="39"/>
      <c r="P570" s="39"/>
      <c r="Q570" s="39">
        <v>0.83</v>
      </c>
      <c r="R570" s="39"/>
      <c r="S570" s="39"/>
      <c r="T570" s="39"/>
      <c r="U570" s="39"/>
      <c r="V570" s="39"/>
      <c r="W570" s="39"/>
      <c r="X570" s="49" t="s">
        <v>103</v>
      </c>
      <c r="Y570" s="50">
        <v>6022.8</v>
      </c>
      <c r="Z570" s="51">
        <v>4320</v>
      </c>
      <c r="AA570" s="52">
        <f>IFERROR(Z570/Y570,0)</f>
        <v>0.717274357441721</v>
      </c>
      <c r="AB570" s="12">
        <v>4320</v>
      </c>
      <c r="AC570" s="12">
        <v>0</v>
      </c>
      <c r="AD570" s="43"/>
      <c r="AE570" s="43"/>
      <c r="AF570" s="43"/>
      <c r="AG570" s="43"/>
      <c r="AH570" s="43"/>
      <c r="AI570" s="43"/>
      <c r="AJ570" s="43"/>
      <c r="AK570" s="43"/>
      <c r="AL570" s="43"/>
      <c r="AM570" s="43"/>
      <c r="AN570" s="43"/>
      <c r="AO570" s="43"/>
      <c r="AP570" s="43"/>
      <c r="AQ570" s="43"/>
      <c r="AR570" s="43"/>
      <c r="AS570" s="43"/>
      <c r="AT570" s="43"/>
      <c r="AU570" s="43"/>
      <c r="AV570" s="43"/>
    </row>
    <row r="571" ht="15.75" spans="1:48">
      <c r="A571" s="12">
        <v>567</v>
      </c>
      <c r="B571" s="44">
        <v>4489</v>
      </c>
      <c r="C571" s="45" t="s">
        <v>88</v>
      </c>
      <c r="D571" s="46"/>
      <c r="E571" s="47" t="s">
        <v>50</v>
      </c>
      <c r="F571" s="48">
        <v>1.5</v>
      </c>
      <c r="G571" s="38">
        <v>0</v>
      </c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49" t="s">
        <v>103</v>
      </c>
      <c r="Y571" s="50">
        <v>1260</v>
      </c>
      <c r="Z571" s="51">
        <v>1417</v>
      </c>
      <c r="AA571" s="52">
        <f>IFERROR(Z571/Y571,0)</f>
        <v>1.12460317460317</v>
      </c>
      <c r="AB571" s="12">
        <v>1417</v>
      </c>
      <c r="AC571" s="12">
        <v>0</v>
      </c>
      <c r="AD571" s="43"/>
      <c r="AE571" s="43"/>
      <c r="AF571" s="43"/>
      <c r="AG571" s="43"/>
      <c r="AH571" s="43"/>
      <c r="AI571" s="43"/>
      <c r="AJ571" s="43"/>
      <c r="AK571" s="43"/>
      <c r="AL571" s="43"/>
      <c r="AM571" s="43"/>
      <c r="AN571" s="43"/>
      <c r="AO571" s="43"/>
      <c r="AP571" s="43"/>
      <c r="AQ571" s="43"/>
      <c r="AR571" s="43"/>
      <c r="AS571" s="43"/>
      <c r="AT571" s="43"/>
      <c r="AU571" s="43"/>
      <c r="AV571" s="43"/>
    </row>
    <row r="572" ht="15.75" spans="1:48">
      <c r="A572" s="12">
        <v>568</v>
      </c>
      <c r="B572" s="44" t="s">
        <v>230</v>
      </c>
      <c r="C572" s="45" t="s">
        <v>231</v>
      </c>
      <c r="D572" s="46"/>
      <c r="E572" s="47" t="s">
        <v>50</v>
      </c>
      <c r="F572" s="48">
        <v>3</v>
      </c>
      <c r="G572" s="38">
        <v>0</v>
      </c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49" t="s">
        <v>103</v>
      </c>
      <c r="Y572" s="50">
        <v>2520</v>
      </c>
      <c r="Z572" s="51">
        <v>1920</v>
      </c>
      <c r="AA572" s="52">
        <f>IFERROR(Z572/Y572,0)</f>
        <v>0.761904761904762</v>
      </c>
      <c r="AB572" s="12">
        <v>1920</v>
      </c>
      <c r="AC572" s="12">
        <v>0</v>
      </c>
      <c r="AD572" s="43"/>
      <c r="AE572" s="43"/>
      <c r="AF572" s="43"/>
      <c r="AG572" s="43"/>
      <c r="AH572" s="43"/>
      <c r="AI572" s="43"/>
      <c r="AJ572" s="43"/>
      <c r="AK572" s="43"/>
      <c r="AL572" s="43"/>
      <c r="AM572" s="43"/>
      <c r="AN572" s="43"/>
      <c r="AO572" s="43"/>
      <c r="AP572" s="43"/>
      <c r="AQ572" s="43"/>
      <c r="AR572" s="43"/>
      <c r="AS572" s="43"/>
      <c r="AT572" s="43"/>
      <c r="AU572" s="43"/>
      <c r="AV572" s="43"/>
    </row>
    <row r="573" ht="15.75" spans="1:48">
      <c r="A573" s="12">
        <v>569</v>
      </c>
      <c r="B573" s="44">
        <v>850</v>
      </c>
      <c r="C573" s="45" t="s">
        <v>109</v>
      </c>
      <c r="D573" s="46"/>
      <c r="E573" s="47" t="s">
        <v>50</v>
      </c>
      <c r="F573" s="48">
        <v>7.17</v>
      </c>
      <c r="G573" s="38">
        <v>0.83</v>
      </c>
      <c r="H573" s="39"/>
      <c r="I573" s="39"/>
      <c r="J573" s="39"/>
      <c r="K573" s="39"/>
      <c r="L573" s="39"/>
      <c r="M573" s="39"/>
      <c r="N573" s="39"/>
      <c r="O573" s="39"/>
      <c r="P573" s="39"/>
      <c r="Q573" s="39">
        <v>0.83</v>
      </c>
      <c r="R573" s="39"/>
      <c r="S573" s="39"/>
      <c r="T573" s="39"/>
      <c r="U573" s="39"/>
      <c r="V573" s="39"/>
      <c r="W573" s="39"/>
      <c r="X573" s="49" t="s">
        <v>103</v>
      </c>
      <c r="Y573" s="50">
        <v>6022.8</v>
      </c>
      <c r="Z573" s="51">
        <v>2880</v>
      </c>
      <c r="AA573" s="52">
        <f>IFERROR(Z573/Y573,0)</f>
        <v>0.478182904961148</v>
      </c>
      <c r="AB573" s="12">
        <v>2880</v>
      </c>
      <c r="AC573" s="12">
        <v>0</v>
      </c>
      <c r="AD573" s="43"/>
      <c r="AE573" s="43"/>
      <c r="AF573" s="43"/>
      <c r="AG573" s="43"/>
      <c r="AH573" s="43"/>
      <c r="AI573" s="43"/>
      <c r="AJ573" s="43"/>
      <c r="AK573" s="43"/>
      <c r="AL573" s="43"/>
      <c r="AM573" s="43"/>
      <c r="AN573" s="43"/>
      <c r="AO573" s="43"/>
      <c r="AP573" s="43"/>
      <c r="AQ573" s="43"/>
      <c r="AR573" s="43"/>
      <c r="AS573" s="43"/>
      <c r="AT573" s="43"/>
      <c r="AU573" s="43"/>
      <c r="AV573" s="43"/>
    </row>
    <row r="574" ht="15.75" spans="1:48">
      <c r="A574" s="12">
        <v>570</v>
      </c>
      <c r="B574" s="44">
        <v>846</v>
      </c>
      <c r="C574" s="45" t="s">
        <v>87</v>
      </c>
      <c r="D574" s="46"/>
      <c r="E574" s="47" t="s">
        <v>50</v>
      </c>
      <c r="F574" s="48">
        <v>2.67</v>
      </c>
      <c r="G574" s="38">
        <v>0</v>
      </c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49" t="s">
        <v>105</v>
      </c>
      <c r="Y574" s="50">
        <v>1762.2</v>
      </c>
      <c r="Z574" s="51">
        <v>1507</v>
      </c>
      <c r="AA574" s="52">
        <f>IFERROR(Z574/Y574,0)</f>
        <v>0.85518102372035</v>
      </c>
      <c r="AB574" s="12">
        <v>1507</v>
      </c>
      <c r="AC574" s="12">
        <v>0</v>
      </c>
      <c r="AD574" s="43"/>
      <c r="AE574" s="43"/>
      <c r="AF574" s="43"/>
      <c r="AG574" s="43"/>
      <c r="AH574" s="43"/>
      <c r="AI574" s="43"/>
      <c r="AJ574" s="43"/>
      <c r="AK574" s="43"/>
      <c r="AL574" s="43"/>
      <c r="AM574" s="43"/>
      <c r="AN574" s="43"/>
      <c r="AO574" s="43"/>
      <c r="AP574" s="43"/>
      <c r="AQ574" s="43"/>
      <c r="AR574" s="43"/>
      <c r="AS574" s="43"/>
      <c r="AT574" s="43"/>
      <c r="AU574" s="43"/>
      <c r="AV574" s="43"/>
    </row>
    <row r="575" ht="15.75" spans="1:48">
      <c r="A575" s="12">
        <v>571</v>
      </c>
      <c r="B575" s="44" t="s">
        <v>181</v>
      </c>
      <c r="C575" s="45" t="s">
        <v>182</v>
      </c>
      <c r="D575" s="46"/>
      <c r="E575" s="47" t="s">
        <v>50</v>
      </c>
      <c r="F575" s="48">
        <v>0.4</v>
      </c>
      <c r="G575" s="38">
        <v>0</v>
      </c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49" t="s">
        <v>105</v>
      </c>
      <c r="Y575" s="50">
        <v>264</v>
      </c>
      <c r="Z575" s="51">
        <v>250</v>
      </c>
      <c r="AA575" s="52">
        <f>IFERROR(Z575/Y575,0)</f>
        <v>0.946969696969697</v>
      </c>
      <c r="AB575" s="12">
        <v>250</v>
      </c>
      <c r="AC575" s="12">
        <v>0</v>
      </c>
      <c r="AD575" s="43"/>
      <c r="AE575" s="43"/>
      <c r="AF575" s="43"/>
      <c r="AG575" s="43"/>
      <c r="AH575" s="43"/>
      <c r="AI575" s="43"/>
      <c r="AJ575" s="43"/>
      <c r="AK575" s="43"/>
      <c r="AL575" s="43"/>
      <c r="AM575" s="43"/>
      <c r="AN575" s="43"/>
      <c r="AO575" s="43"/>
      <c r="AP575" s="43"/>
      <c r="AQ575" s="43"/>
      <c r="AR575" s="43"/>
      <c r="AS575" s="43"/>
      <c r="AT575" s="43"/>
      <c r="AU575" s="43"/>
      <c r="AV575" s="43"/>
    </row>
    <row r="576" ht="15.75" spans="1:48">
      <c r="A576" s="12">
        <v>572</v>
      </c>
      <c r="B576" s="44" t="s">
        <v>181</v>
      </c>
      <c r="C576" s="45" t="s">
        <v>182</v>
      </c>
      <c r="D576" s="46"/>
      <c r="E576" s="47" t="s">
        <v>50</v>
      </c>
      <c r="F576" s="48">
        <v>6.77</v>
      </c>
      <c r="G576" s="38">
        <v>0.83</v>
      </c>
      <c r="H576" s="39"/>
      <c r="I576" s="39"/>
      <c r="J576" s="39"/>
      <c r="K576" s="39"/>
      <c r="L576" s="39"/>
      <c r="M576" s="39"/>
      <c r="N576" s="39"/>
      <c r="O576" s="39"/>
      <c r="P576" s="39"/>
      <c r="Q576" s="39">
        <v>0.83</v>
      </c>
      <c r="R576" s="39"/>
      <c r="S576" s="39"/>
      <c r="T576" s="39"/>
      <c r="U576" s="39"/>
      <c r="V576" s="39"/>
      <c r="W576" s="39"/>
      <c r="X576" s="49" t="s">
        <v>103</v>
      </c>
      <c r="Y576" s="50">
        <v>3980.76</v>
      </c>
      <c r="Z576" s="51">
        <v>3360</v>
      </c>
      <c r="AA576" s="52">
        <f>IFERROR(Z576/Y576,0)</f>
        <v>0.844059928254906</v>
      </c>
      <c r="AB576" s="12">
        <v>3360</v>
      </c>
      <c r="AC576" s="12">
        <v>0</v>
      </c>
      <c r="AD576" s="43"/>
      <c r="AE576" s="43"/>
      <c r="AF576" s="43"/>
      <c r="AG576" s="43"/>
      <c r="AH576" s="43"/>
      <c r="AI576" s="43"/>
      <c r="AJ576" s="43"/>
      <c r="AK576" s="43"/>
      <c r="AL576" s="43"/>
      <c r="AM576" s="43"/>
      <c r="AN576" s="43"/>
      <c r="AO576" s="43"/>
      <c r="AP576" s="43"/>
      <c r="AQ576" s="43"/>
      <c r="AR576" s="43"/>
      <c r="AS576" s="43"/>
      <c r="AT576" s="43"/>
      <c r="AU576" s="43"/>
      <c r="AV576" s="43"/>
    </row>
    <row r="577" ht="15.75" spans="1:48">
      <c r="A577" s="12">
        <v>573</v>
      </c>
      <c r="B577" s="44">
        <v>4382</v>
      </c>
      <c r="C577" s="45" t="s">
        <v>173</v>
      </c>
      <c r="D577" s="46"/>
      <c r="E577" s="47" t="s">
        <v>50</v>
      </c>
      <c r="F577" s="48">
        <v>3</v>
      </c>
      <c r="G577" s="38">
        <v>0</v>
      </c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49" t="s">
        <v>234</v>
      </c>
      <c r="Y577" s="50">
        <v>11160</v>
      </c>
      <c r="Z577" s="51">
        <v>9900</v>
      </c>
      <c r="AA577" s="52">
        <f>IFERROR(Z577/Y577,0)</f>
        <v>0.887096774193548</v>
      </c>
      <c r="AB577" s="12">
        <v>9900</v>
      </c>
      <c r="AC577" s="12">
        <v>0</v>
      </c>
      <c r="AD577" s="43"/>
      <c r="AE577" s="43"/>
      <c r="AF577" s="43"/>
      <c r="AG577" s="43"/>
      <c r="AH577" s="43"/>
      <c r="AI577" s="43"/>
      <c r="AJ577" s="43"/>
      <c r="AK577" s="43"/>
      <c r="AL577" s="43"/>
      <c r="AM577" s="43"/>
      <c r="AN577" s="43"/>
      <c r="AO577" s="43"/>
      <c r="AP577" s="43"/>
      <c r="AQ577" s="43"/>
      <c r="AR577" s="43"/>
      <c r="AS577" s="43"/>
      <c r="AT577" s="43"/>
      <c r="AU577" s="43"/>
      <c r="AV577" s="43"/>
    </row>
    <row r="578" ht="15.75" spans="1:48">
      <c r="A578" s="12">
        <v>574</v>
      </c>
      <c r="B578" s="44">
        <v>4382</v>
      </c>
      <c r="C578" s="45" t="s">
        <v>173</v>
      </c>
      <c r="D578" s="46"/>
      <c r="E578" s="47" t="s">
        <v>50</v>
      </c>
      <c r="F578" s="48">
        <v>2</v>
      </c>
      <c r="G578" s="38">
        <v>0</v>
      </c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49" t="s">
        <v>152</v>
      </c>
      <c r="Y578" s="50">
        <v>8700</v>
      </c>
      <c r="Z578" s="51">
        <v>8400</v>
      </c>
      <c r="AA578" s="52">
        <f>IFERROR(Z578/Y578,0)</f>
        <v>0.96551724137931</v>
      </c>
      <c r="AB578" s="12">
        <v>8400</v>
      </c>
      <c r="AC578" s="12">
        <v>0</v>
      </c>
      <c r="AD578" s="43"/>
      <c r="AE578" s="43"/>
      <c r="AF578" s="43"/>
      <c r="AG578" s="43"/>
      <c r="AH578" s="43"/>
      <c r="AI578" s="43"/>
      <c r="AJ578" s="43"/>
      <c r="AK578" s="43"/>
      <c r="AL578" s="43"/>
      <c r="AM578" s="43"/>
      <c r="AN578" s="43"/>
      <c r="AO578" s="43"/>
      <c r="AP578" s="43"/>
      <c r="AQ578" s="43"/>
      <c r="AR578" s="43"/>
      <c r="AS578" s="43"/>
      <c r="AT578" s="43"/>
      <c r="AU578" s="43"/>
      <c r="AV578" s="43"/>
    </row>
    <row r="579" ht="15.75" spans="1:48">
      <c r="A579" s="12">
        <v>575</v>
      </c>
      <c r="B579" s="44">
        <v>4382</v>
      </c>
      <c r="C579" s="45" t="s">
        <v>173</v>
      </c>
      <c r="D579" s="46"/>
      <c r="E579" s="47" t="s">
        <v>50</v>
      </c>
      <c r="F579" s="48">
        <v>1.5</v>
      </c>
      <c r="G579" s="38">
        <v>0</v>
      </c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49" t="s">
        <v>101</v>
      </c>
      <c r="Y579" s="50">
        <v>2880</v>
      </c>
      <c r="Z579" s="51">
        <v>2880</v>
      </c>
      <c r="AA579" s="52">
        <f>IFERROR(Z579/Y579,0)</f>
        <v>1</v>
      </c>
      <c r="AB579" s="12">
        <v>2880</v>
      </c>
      <c r="AC579" s="12">
        <v>0</v>
      </c>
      <c r="AD579" s="43"/>
      <c r="AE579" s="43"/>
      <c r="AF579" s="43"/>
      <c r="AG579" s="43"/>
      <c r="AH579" s="43"/>
      <c r="AI579" s="43"/>
      <c r="AJ579" s="43"/>
      <c r="AK579" s="43"/>
      <c r="AL579" s="43"/>
      <c r="AM579" s="43"/>
      <c r="AN579" s="43"/>
      <c r="AO579" s="43"/>
      <c r="AP579" s="43"/>
      <c r="AQ579" s="43"/>
      <c r="AR579" s="43"/>
      <c r="AS579" s="43"/>
      <c r="AT579" s="43"/>
      <c r="AU579" s="43"/>
      <c r="AV579" s="43"/>
    </row>
    <row r="580" ht="15.75" spans="1:48">
      <c r="A580" s="12">
        <v>576</v>
      </c>
      <c r="B580" s="44">
        <v>4382</v>
      </c>
      <c r="C580" s="45" t="s">
        <v>173</v>
      </c>
      <c r="D580" s="46"/>
      <c r="E580" s="47" t="s">
        <v>50</v>
      </c>
      <c r="F580" s="48">
        <v>2.33</v>
      </c>
      <c r="G580" s="38">
        <v>0</v>
      </c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49" t="s">
        <v>100</v>
      </c>
      <c r="Y580" s="50">
        <v>4473.6</v>
      </c>
      <c r="Z580" s="51">
        <v>3780</v>
      </c>
      <c r="AA580" s="52">
        <f>IFERROR(Z580/Y580,0)</f>
        <v>0.844957081545064</v>
      </c>
      <c r="AB580" s="12">
        <v>3780</v>
      </c>
      <c r="AC580" s="12">
        <v>0</v>
      </c>
      <c r="AD580" s="43"/>
      <c r="AE580" s="43"/>
      <c r="AF580" s="43"/>
      <c r="AG580" s="43"/>
      <c r="AH580" s="43"/>
      <c r="AI580" s="43"/>
      <c r="AJ580" s="43"/>
      <c r="AK580" s="43"/>
      <c r="AL580" s="43"/>
      <c r="AM580" s="43"/>
      <c r="AN580" s="43"/>
      <c r="AO580" s="43"/>
      <c r="AP580" s="43"/>
      <c r="AQ580" s="43"/>
      <c r="AR580" s="43"/>
      <c r="AS580" s="43"/>
      <c r="AT580" s="43"/>
      <c r="AU580" s="43"/>
      <c r="AV580" s="43"/>
    </row>
    <row r="581" ht="15.75" spans="1:48">
      <c r="A581" s="12">
        <v>577</v>
      </c>
      <c r="B581" s="44">
        <v>4382</v>
      </c>
      <c r="C581" s="45" t="s">
        <v>173</v>
      </c>
      <c r="D581" s="46"/>
      <c r="E581" s="47" t="s">
        <v>50</v>
      </c>
      <c r="F581" s="48">
        <v>1</v>
      </c>
      <c r="G581" s="38">
        <v>1.17</v>
      </c>
      <c r="H581" s="39"/>
      <c r="I581" s="39"/>
      <c r="J581" s="39"/>
      <c r="K581" s="39"/>
      <c r="L581" s="39"/>
      <c r="M581" s="39"/>
      <c r="N581" s="39"/>
      <c r="O581" s="39"/>
      <c r="P581" s="39"/>
      <c r="Q581" s="39">
        <v>1.17</v>
      </c>
      <c r="R581" s="39"/>
      <c r="S581" s="39"/>
      <c r="T581" s="39"/>
      <c r="U581" s="39"/>
      <c r="V581" s="39"/>
      <c r="W581" s="39"/>
      <c r="X581" s="49" t="s">
        <v>102</v>
      </c>
      <c r="Y581" s="50">
        <v>4500</v>
      </c>
      <c r="Z581" s="51">
        <v>4500</v>
      </c>
      <c r="AA581" s="52">
        <f>IFERROR(Z581/Y581,0)</f>
        <v>1</v>
      </c>
      <c r="AB581" s="12">
        <v>4500</v>
      </c>
      <c r="AC581" s="12">
        <v>0</v>
      </c>
      <c r="AD581" s="43"/>
      <c r="AE581" s="43"/>
      <c r="AF581" s="43"/>
      <c r="AG581" s="43"/>
      <c r="AH581" s="43"/>
      <c r="AI581" s="43"/>
      <c r="AJ581" s="43"/>
      <c r="AK581" s="43"/>
      <c r="AL581" s="43"/>
      <c r="AM581" s="43"/>
      <c r="AN581" s="43"/>
      <c r="AO581" s="43"/>
      <c r="AP581" s="43"/>
      <c r="AQ581" s="43"/>
      <c r="AR581" s="43"/>
      <c r="AS581" s="43"/>
      <c r="AT581" s="43"/>
      <c r="AU581" s="43"/>
      <c r="AV581" s="43"/>
    </row>
    <row r="582" ht="15.75" spans="1:48">
      <c r="A582" s="12">
        <v>578</v>
      </c>
      <c r="B582" s="44">
        <v>4310</v>
      </c>
      <c r="C582" s="45" t="s">
        <v>99</v>
      </c>
      <c r="D582" s="46"/>
      <c r="E582" s="47" t="s">
        <v>50</v>
      </c>
      <c r="F582" s="48">
        <v>1.17</v>
      </c>
      <c r="G582" s="38">
        <v>0</v>
      </c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49" t="s">
        <v>103</v>
      </c>
      <c r="Y582" s="50">
        <v>982.8</v>
      </c>
      <c r="Z582" s="51">
        <v>1080</v>
      </c>
      <c r="AA582" s="52">
        <f>IFERROR(Z582/Y582,0)</f>
        <v>1.0989010989011</v>
      </c>
      <c r="AB582" s="12">
        <v>1080</v>
      </c>
      <c r="AC582" s="12">
        <v>0</v>
      </c>
      <c r="AD582" s="43"/>
      <c r="AE582" s="43"/>
      <c r="AF582" s="43"/>
      <c r="AG582" s="43"/>
      <c r="AH582" s="43"/>
      <c r="AI582" s="43"/>
      <c r="AJ582" s="43"/>
      <c r="AK582" s="43"/>
      <c r="AL582" s="43"/>
      <c r="AM582" s="43"/>
      <c r="AN582" s="43"/>
      <c r="AO582" s="43"/>
      <c r="AP582" s="43"/>
      <c r="AQ582" s="43"/>
      <c r="AR582" s="43"/>
      <c r="AS582" s="43"/>
      <c r="AT582" s="43"/>
      <c r="AU582" s="43"/>
      <c r="AV582" s="43"/>
    </row>
    <row r="583" ht="15.75" spans="1:48">
      <c r="A583" s="12">
        <v>579</v>
      </c>
      <c r="B583" s="44">
        <v>959</v>
      </c>
      <c r="C583" s="45" t="s">
        <v>168</v>
      </c>
      <c r="D583" s="46"/>
      <c r="E583" s="47" t="s">
        <v>50</v>
      </c>
      <c r="F583" s="48">
        <v>7.17</v>
      </c>
      <c r="G583" s="38">
        <v>0.83</v>
      </c>
      <c r="H583" s="39"/>
      <c r="I583" s="39"/>
      <c r="J583" s="39"/>
      <c r="K583" s="39"/>
      <c r="L583" s="39"/>
      <c r="M583" s="39"/>
      <c r="N583" s="39"/>
      <c r="O583" s="39"/>
      <c r="P583" s="39"/>
      <c r="Q583" s="39">
        <v>0.83</v>
      </c>
      <c r="R583" s="39"/>
      <c r="S583" s="39"/>
      <c r="T583" s="39"/>
      <c r="U583" s="39"/>
      <c r="V583" s="39"/>
      <c r="W583" s="39"/>
      <c r="X583" s="49" t="s">
        <v>105</v>
      </c>
      <c r="Y583" s="50">
        <v>4732.2</v>
      </c>
      <c r="Z583" s="51">
        <v>3600</v>
      </c>
      <c r="AA583" s="52">
        <f>IFERROR(Z583/Y583,0)</f>
        <v>0.760745530620008</v>
      </c>
      <c r="AB583" s="12">
        <v>3600</v>
      </c>
      <c r="AC583" s="12">
        <v>0</v>
      </c>
      <c r="AD583" s="43"/>
      <c r="AE583" s="43"/>
      <c r="AF583" s="43"/>
      <c r="AG583" s="43"/>
      <c r="AH583" s="43"/>
      <c r="AI583" s="43"/>
      <c r="AJ583" s="43"/>
      <c r="AK583" s="43"/>
      <c r="AL583" s="43"/>
      <c r="AM583" s="43"/>
      <c r="AN583" s="43"/>
      <c r="AO583" s="43"/>
      <c r="AP583" s="43"/>
      <c r="AQ583" s="43"/>
      <c r="AR583" s="43"/>
      <c r="AS583" s="43"/>
      <c r="AT583" s="43"/>
      <c r="AU583" s="43"/>
      <c r="AV583" s="43"/>
    </row>
    <row r="584" ht="15.75" spans="1:48">
      <c r="A584" s="12">
        <v>580</v>
      </c>
      <c r="B584" s="44" t="s">
        <v>185</v>
      </c>
      <c r="C584" s="45" t="s">
        <v>179</v>
      </c>
      <c r="D584" s="46"/>
      <c r="E584" s="47" t="s">
        <v>50</v>
      </c>
      <c r="F584" s="48">
        <v>3</v>
      </c>
      <c r="G584" s="38">
        <v>0</v>
      </c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49" t="s">
        <v>103</v>
      </c>
      <c r="Y584" s="50">
        <v>2520</v>
      </c>
      <c r="Z584" s="51">
        <v>1963</v>
      </c>
      <c r="AA584" s="52">
        <f>IFERROR(Z584/Y584,0)</f>
        <v>0.778968253968254</v>
      </c>
      <c r="AB584" s="12">
        <v>1963</v>
      </c>
      <c r="AC584" s="12">
        <v>0</v>
      </c>
      <c r="AD584" s="43"/>
      <c r="AE584" s="43"/>
      <c r="AF584" s="43"/>
      <c r="AG584" s="43"/>
      <c r="AH584" s="43"/>
      <c r="AI584" s="43"/>
      <c r="AJ584" s="43"/>
      <c r="AK584" s="43"/>
      <c r="AL584" s="43"/>
      <c r="AM584" s="43"/>
      <c r="AN584" s="43"/>
      <c r="AO584" s="43"/>
      <c r="AP584" s="43"/>
      <c r="AQ584" s="43"/>
      <c r="AR584" s="43"/>
      <c r="AS584" s="43"/>
      <c r="AT584" s="43"/>
      <c r="AU584" s="43"/>
      <c r="AV584" s="43"/>
    </row>
    <row r="585" ht="15.75" spans="1:48">
      <c r="A585" s="12">
        <v>581</v>
      </c>
      <c r="B585" s="44">
        <v>4412</v>
      </c>
      <c r="C585" s="45" t="s">
        <v>177</v>
      </c>
      <c r="D585" s="46"/>
      <c r="E585" s="47" t="s">
        <v>50</v>
      </c>
      <c r="F585" s="48">
        <v>1.83</v>
      </c>
      <c r="G585" s="38">
        <v>0</v>
      </c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49" t="s">
        <v>105</v>
      </c>
      <c r="Y585" s="50">
        <v>1207.8</v>
      </c>
      <c r="Z585" s="51">
        <v>1080</v>
      </c>
      <c r="AA585" s="52">
        <f>IFERROR(Z585/Y585,0)</f>
        <v>0.894187779433681</v>
      </c>
      <c r="AB585" s="12">
        <v>1080</v>
      </c>
      <c r="AC585" s="12">
        <v>0</v>
      </c>
      <c r="AD585" s="43"/>
      <c r="AE585" s="43"/>
      <c r="AF585" s="43"/>
      <c r="AG585" s="43"/>
      <c r="AH585" s="43"/>
      <c r="AI585" s="43"/>
      <c r="AJ585" s="43"/>
      <c r="AK585" s="43"/>
      <c r="AL585" s="43"/>
      <c r="AM585" s="43"/>
      <c r="AN585" s="43"/>
      <c r="AO585" s="43"/>
      <c r="AP585" s="43"/>
      <c r="AQ585" s="43"/>
      <c r="AR585" s="43"/>
      <c r="AS585" s="43"/>
      <c r="AT585" s="43"/>
      <c r="AU585" s="43"/>
      <c r="AV585" s="43"/>
    </row>
    <row r="586" ht="15.75" spans="1:48">
      <c r="A586" s="12">
        <v>582</v>
      </c>
      <c r="B586" s="44">
        <v>3268</v>
      </c>
      <c r="C586" s="45" t="s">
        <v>80</v>
      </c>
      <c r="D586" s="46">
        <v>17</v>
      </c>
      <c r="E586" s="47" t="s">
        <v>50</v>
      </c>
      <c r="F586" s="48">
        <v>6.67</v>
      </c>
      <c r="G586" s="38">
        <v>1.34</v>
      </c>
      <c r="H586" s="39"/>
      <c r="I586" s="39"/>
      <c r="J586" s="39"/>
      <c r="K586" s="39"/>
      <c r="L586" s="39"/>
      <c r="M586" s="39"/>
      <c r="N586" s="39"/>
      <c r="O586" s="39"/>
      <c r="P586" s="39"/>
      <c r="Q586" s="39">
        <v>1.17</v>
      </c>
      <c r="R586" s="39"/>
      <c r="S586" s="39"/>
      <c r="T586" s="39"/>
      <c r="U586" s="39">
        <v>0.17</v>
      </c>
      <c r="V586" s="39"/>
      <c r="W586" s="39"/>
      <c r="X586" s="49" t="s">
        <v>96</v>
      </c>
      <c r="Y586" s="50">
        <v>9671.5</v>
      </c>
      <c r="Z586" s="51">
        <v>9000</v>
      </c>
      <c r="AA586" s="52">
        <f>IFERROR(Z586/Y586,0)</f>
        <v>0.930569198159541</v>
      </c>
      <c r="AB586" s="12">
        <v>9000</v>
      </c>
      <c r="AC586" s="12">
        <v>0</v>
      </c>
      <c r="AD586" s="43"/>
      <c r="AE586" s="43"/>
      <c r="AF586" s="43"/>
      <c r="AG586" s="43"/>
      <c r="AH586" s="43"/>
      <c r="AI586" s="43"/>
      <c r="AJ586" s="43"/>
      <c r="AK586" s="43"/>
      <c r="AL586" s="43"/>
      <c r="AM586" s="43"/>
      <c r="AN586" s="43"/>
      <c r="AO586" s="43"/>
      <c r="AP586" s="43"/>
      <c r="AQ586" s="43"/>
      <c r="AR586" s="43"/>
      <c r="AS586" s="43"/>
      <c r="AT586" s="43"/>
      <c r="AU586" s="43"/>
      <c r="AV586" s="43"/>
    </row>
    <row r="587" ht="15.75" spans="1:48">
      <c r="A587" s="12">
        <v>583</v>
      </c>
      <c r="B587" s="57">
        <v>3268</v>
      </c>
      <c r="C587" s="58" t="s">
        <v>80</v>
      </c>
      <c r="D587" s="59"/>
      <c r="E587" s="47" t="s">
        <v>50</v>
      </c>
      <c r="F587" s="48">
        <v>4</v>
      </c>
      <c r="G587" s="38">
        <v>0</v>
      </c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49" t="s">
        <v>90</v>
      </c>
      <c r="Y587" s="50">
        <v>1880</v>
      </c>
      <c r="Z587" s="51">
        <v>1800</v>
      </c>
      <c r="AA587" s="52">
        <f>IFERROR(Z587/Y587,0)</f>
        <v>0.957446808510638</v>
      </c>
      <c r="AB587" s="12">
        <v>1800</v>
      </c>
      <c r="AC587" s="12">
        <v>0</v>
      </c>
      <c r="AD587" s="43"/>
      <c r="AE587" s="43"/>
      <c r="AF587" s="43"/>
      <c r="AG587" s="43"/>
      <c r="AH587" s="43"/>
      <c r="AI587" s="43"/>
      <c r="AJ587" s="43"/>
      <c r="AK587" s="43"/>
      <c r="AL587" s="43"/>
      <c r="AM587" s="43"/>
      <c r="AN587" s="43"/>
      <c r="AO587" s="43"/>
      <c r="AP587" s="43"/>
      <c r="AQ587" s="43"/>
      <c r="AR587" s="43"/>
      <c r="AS587" s="43"/>
      <c r="AT587" s="43"/>
      <c r="AU587" s="43"/>
      <c r="AV587" s="43"/>
    </row>
    <row r="588" ht="15.75" spans="1:48">
      <c r="A588" s="12">
        <v>584</v>
      </c>
      <c r="B588" s="44">
        <v>2516</v>
      </c>
      <c r="C588" s="45" t="s">
        <v>189</v>
      </c>
      <c r="D588" s="46" t="s">
        <v>53</v>
      </c>
      <c r="E588" s="47" t="s">
        <v>50</v>
      </c>
      <c r="F588" s="48">
        <v>10</v>
      </c>
      <c r="G588" s="38">
        <v>2</v>
      </c>
      <c r="H588" s="39"/>
      <c r="I588" s="39"/>
      <c r="J588" s="39"/>
      <c r="K588" s="39">
        <v>0.33</v>
      </c>
      <c r="L588" s="39"/>
      <c r="M588" s="39"/>
      <c r="N588" s="39"/>
      <c r="O588" s="39"/>
      <c r="P588" s="39"/>
      <c r="Q588" s="39">
        <v>1.17</v>
      </c>
      <c r="R588" s="39"/>
      <c r="S588" s="39"/>
      <c r="T588" s="39">
        <v>0.33</v>
      </c>
      <c r="U588" s="39">
        <v>0.17</v>
      </c>
      <c r="V588" s="39"/>
      <c r="W588" s="39"/>
      <c r="X588" s="49" t="s">
        <v>55</v>
      </c>
      <c r="Y588" s="50">
        <v>24150</v>
      </c>
      <c r="Z588" s="51">
        <v>24600</v>
      </c>
      <c r="AA588" s="52">
        <f>IFERROR(Z588/Y588,0)</f>
        <v>1.01863354037267</v>
      </c>
      <c r="AB588" s="12">
        <v>24573</v>
      </c>
      <c r="AC588" s="12">
        <v>27</v>
      </c>
      <c r="AD588" s="43"/>
      <c r="AE588" s="43"/>
      <c r="AF588" s="43"/>
      <c r="AG588" s="43"/>
      <c r="AH588" s="43"/>
      <c r="AI588" s="43"/>
      <c r="AJ588" s="43"/>
      <c r="AK588" s="19">
        <v>6</v>
      </c>
      <c r="AL588" s="43"/>
      <c r="AM588" s="43"/>
      <c r="AN588" s="19">
        <v>21</v>
      </c>
      <c r="AO588" s="43"/>
      <c r="AP588" s="43"/>
      <c r="AQ588" s="43"/>
      <c r="AR588" s="43"/>
      <c r="AS588" s="43"/>
      <c r="AT588" s="43"/>
      <c r="AU588" s="43"/>
      <c r="AV588" s="43"/>
    </row>
    <row r="589" ht="15.75" spans="1:48">
      <c r="A589" s="12">
        <v>585</v>
      </c>
      <c r="B589" s="44">
        <v>3187</v>
      </c>
      <c r="C589" s="45" t="s">
        <v>52</v>
      </c>
      <c r="D589" s="46" t="s">
        <v>202</v>
      </c>
      <c r="E589" s="47" t="s">
        <v>50</v>
      </c>
      <c r="F589" s="48">
        <v>10.33</v>
      </c>
      <c r="G589" s="38">
        <v>1.67</v>
      </c>
      <c r="H589" s="39"/>
      <c r="I589" s="39"/>
      <c r="J589" s="39"/>
      <c r="K589" s="39">
        <v>0.33</v>
      </c>
      <c r="L589" s="39"/>
      <c r="M589" s="39"/>
      <c r="N589" s="39"/>
      <c r="O589" s="39"/>
      <c r="P589" s="39"/>
      <c r="Q589" s="39">
        <v>1.17</v>
      </c>
      <c r="R589" s="39"/>
      <c r="S589" s="39"/>
      <c r="T589" s="39"/>
      <c r="U589" s="39">
        <v>0.17</v>
      </c>
      <c r="V589" s="39"/>
      <c r="W589" s="39"/>
      <c r="X589" s="49" t="s">
        <v>238</v>
      </c>
      <c r="Y589" s="50">
        <v>8780.5</v>
      </c>
      <c r="Z589" s="51">
        <v>8480</v>
      </c>
      <c r="AA589" s="52">
        <f>IFERROR(Z589/Y589,0)</f>
        <v>0.965776436421616</v>
      </c>
      <c r="AB589" s="12">
        <v>8473</v>
      </c>
      <c r="AC589" s="12">
        <v>7</v>
      </c>
      <c r="AD589" s="43"/>
      <c r="AE589" s="43"/>
      <c r="AF589" s="43"/>
      <c r="AG589" s="43"/>
      <c r="AH589" s="43"/>
      <c r="AI589" s="43"/>
      <c r="AJ589" s="43"/>
      <c r="AK589" s="43"/>
      <c r="AL589" s="43"/>
      <c r="AM589" s="43"/>
      <c r="AN589" s="19">
        <v>7</v>
      </c>
      <c r="AO589" s="43"/>
      <c r="AP589" s="43"/>
      <c r="AQ589" s="43"/>
      <c r="AR589" s="43"/>
      <c r="AS589" s="43"/>
      <c r="AT589" s="43"/>
      <c r="AU589" s="43"/>
      <c r="AV589" s="43"/>
    </row>
    <row r="590" ht="15.75" spans="1:48">
      <c r="A590" s="12">
        <v>586</v>
      </c>
      <c r="B590" s="44">
        <v>3353</v>
      </c>
      <c r="C590" s="45" t="s">
        <v>48</v>
      </c>
      <c r="D590" s="46" t="s">
        <v>112</v>
      </c>
      <c r="E590" s="47" t="s">
        <v>50</v>
      </c>
      <c r="F590" s="48">
        <v>5.67</v>
      </c>
      <c r="G590" s="38">
        <v>6.34</v>
      </c>
      <c r="H590" s="39"/>
      <c r="I590" s="39"/>
      <c r="J590" s="39"/>
      <c r="K590" s="39"/>
      <c r="L590" s="39"/>
      <c r="M590" s="39"/>
      <c r="N590" s="39"/>
      <c r="O590" s="39"/>
      <c r="P590" s="39"/>
      <c r="Q590" s="39">
        <v>1.17</v>
      </c>
      <c r="R590" s="39"/>
      <c r="S590" s="39">
        <v>5</v>
      </c>
      <c r="T590" s="39"/>
      <c r="U590" s="39">
        <v>0.17</v>
      </c>
      <c r="V590" s="39"/>
      <c r="W590" s="39"/>
      <c r="X590" s="49" t="s">
        <v>190</v>
      </c>
      <c r="Y590" s="50">
        <v>5103</v>
      </c>
      <c r="Z590" s="51">
        <v>4800</v>
      </c>
      <c r="AA590" s="52">
        <f>IFERROR(Z590/Y590,0)</f>
        <v>0.940623162845385</v>
      </c>
      <c r="AB590" s="12">
        <v>4800</v>
      </c>
      <c r="AC590" s="12">
        <v>0</v>
      </c>
      <c r="AD590" s="43"/>
      <c r="AE590" s="43"/>
      <c r="AF590" s="43"/>
      <c r="AG590" s="43"/>
      <c r="AH590" s="43"/>
      <c r="AI590" s="43"/>
      <c r="AJ590" s="43"/>
      <c r="AK590" s="43"/>
      <c r="AL590" s="43"/>
      <c r="AM590" s="43"/>
      <c r="AN590" s="43"/>
      <c r="AO590" s="43"/>
      <c r="AP590" s="43"/>
      <c r="AQ590" s="43"/>
      <c r="AR590" s="43"/>
      <c r="AS590" s="43"/>
      <c r="AT590" s="43"/>
      <c r="AU590" s="43"/>
      <c r="AV590" s="43"/>
    </row>
    <row r="591" ht="15.75" spans="1:48">
      <c r="A591" s="12">
        <v>587</v>
      </c>
      <c r="B591" s="44" t="s">
        <v>227</v>
      </c>
      <c r="C591" s="45" t="e">
        <v>#N/A</v>
      </c>
      <c r="D591" s="46"/>
      <c r="E591" s="47" t="s">
        <v>50</v>
      </c>
      <c r="F591" s="48">
        <v>4.835</v>
      </c>
      <c r="G591" s="38">
        <v>1.17</v>
      </c>
      <c r="H591" s="39"/>
      <c r="I591" s="39"/>
      <c r="J591" s="39"/>
      <c r="K591" s="39"/>
      <c r="L591" s="39"/>
      <c r="M591" s="39"/>
      <c r="N591" s="39"/>
      <c r="O591" s="39"/>
      <c r="P591" s="39"/>
      <c r="Q591" s="39">
        <v>1.17</v>
      </c>
      <c r="R591" s="39"/>
      <c r="S591" s="39"/>
      <c r="T591" s="39"/>
      <c r="U591" s="39"/>
      <c r="V591" s="39"/>
      <c r="W591" s="39"/>
      <c r="X591" s="49" t="s">
        <v>63</v>
      </c>
      <c r="Y591" s="50">
        <v>870.3</v>
      </c>
      <c r="Z591" s="51">
        <v>850</v>
      </c>
      <c r="AA591" s="52">
        <f>IFERROR(Z591/Y591,0)</f>
        <v>0.97667470987016</v>
      </c>
      <c r="AB591" s="12">
        <v>850</v>
      </c>
      <c r="AC591" s="12">
        <v>0</v>
      </c>
      <c r="AD591" s="43"/>
      <c r="AE591" s="43"/>
      <c r="AF591" s="43"/>
      <c r="AG591" s="43"/>
      <c r="AH591" s="43"/>
      <c r="AI591" s="43"/>
      <c r="AJ591" s="43"/>
      <c r="AK591" s="43"/>
      <c r="AL591" s="43"/>
      <c r="AM591" s="43"/>
      <c r="AN591" s="43"/>
      <c r="AO591" s="43"/>
      <c r="AP591" s="43"/>
      <c r="AQ591" s="43"/>
      <c r="AR591" s="43"/>
      <c r="AS591" s="43"/>
      <c r="AT591" s="43"/>
      <c r="AU591" s="43"/>
      <c r="AV591" s="43"/>
    </row>
    <row r="592" ht="15.75" spans="1:48">
      <c r="A592" s="12">
        <v>588</v>
      </c>
      <c r="B592" s="44" t="s">
        <v>225</v>
      </c>
      <c r="C592" s="45" t="e">
        <v>#N/A</v>
      </c>
      <c r="D592" s="46"/>
      <c r="E592" s="47" t="s">
        <v>50</v>
      </c>
      <c r="F592" s="48">
        <v>4.835</v>
      </c>
      <c r="G592" s="38">
        <v>1.5</v>
      </c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>
        <v>1.5</v>
      </c>
      <c r="T592" s="39"/>
      <c r="U592" s="39"/>
      <c r="V592" s="39"/>
      <c r="W592" s="39"/>
      <c r="X592" s="49" t="s">
        <v>62</v>
      </c>
      <c r="Y592" s="50">
        <v>870.3</v>
      </c>
      <c r="Z592" s="51">
        <v>850</v>
      </c>
      <c r="AA592" s="52">
        <f>IFERROR(Z592/Y592,0)</f>
        <v>0.97667470987016</v>
      </c>
      <c r="AB592" s="12">
        <v>850</v>
      </c>
      <c r="AC592" s="12">
        <v>0</v>
      </c>
      <c r="AD592" s="43"/>
      <c r="AE592" s="43"/>
      <c r="AF592" s="43"/>
      <c r="AG592" s="43"/>
      <c r="AH592" s="43"/>
      <c r="AI592" s="43"/>
      <c r="AJ592" s="43"/>
      <c r="AK592" s="43"/>
      <c r="AL592" s="43"/>
      <c r="AM592" s="43"/>
      <c r="AN592" s="43"/>
      <c r="AO592" s="43"/>
      <c r="AP592" s="43"/>
      <c r="AQ592" s="43"/>
      <c r="AR592" s="43"/>
      <c r="AS592" s="43"/>
      <c r="AT592" s="43"/>
      <c r="AU592" s="43"/>
      <c r="AV592" s="43"/>
    </row>
    <row r="593" ht="15.75" spans="1:48">
      <c r="A593" s="12">
        <v>589</v>
      </c>
      <c r="B593" s="44">
        <v>3526</v>
      </c>
      <c r="C593" s="45" t="s">
        <v>65</v>
      </c>
      <c r="D593" s="46"/>
      <c r="E593" s="47" t="s">
        <v>50</v>
      </c>
      <c r="F593" s="48">
        <v>10.83</v>
      </c>
      <c r="G593" s="38">
        <v>1.34</v>
      </c>
      <c r="H593" s="39"/>
      <c r="I593" s="39"/>
      <c r="J593" s="39"/>
      <c r="K593" s="39"/>
      <c r="L593" s="39"/>
      <c r="M593" s="39"/>
      <c r="N593" s="39"/>
      <c r="O593" s="39"/>
      <c r="P593" s="39"/>
      <c r="Q593" s="39">
        <v>1.17</v>
      </c>
      <c r="R593" s="39"/>
      <c r="S593" s="39"/>
      <c r="T593" s="39"/>
      <c r="U593" s="39">
        <v>0.17</v>
      </c>
      <c r="V593" s="39"/>
      <c r="W593" s="39"/>
      <c r="X593" s="49" t="s">
        <v>191</v>
      </c>
      <c r="Y593" s="50">
        <v>3628.05</v>
      </c>
      <c r="Z593" s="51">
        <v>3400</v>
      </c>
      <c r="AA593" s="52">
        <f>IFERROR(Z593/Y593,0)</f>
        <v>0.937142542136961</v>
      </c>
      <c r="AB593" s="12">
        <v>3400</v>
      </c>
      <c r="AC593" s="12">
        <v>0</v>
      </c>
      <c r="AD593" s="43"/>
      <c r="AE593" s="43"/>
      <c r="AF593" s="43"/>
      <c r="AG593" s="43"/>
      <c r="AH593" s="43"/>
      <c r="AI593" s="43"/>
      <c r="AJ593" s="43"/>
      <c r="AK593" s="43"/>
      <c r="AL593" s="43"/>
      <c r="AM593" s="43"/>
      <c r="AN593" s="43"/>
      <c r="AO593" s="43"/>
      <c r="AP593" s="43"/>
      <c r="AQ593" s="43"/>
      <c r="AR593" s="43"/>
      <c r="AS593" s="43"/>
      <c r="AT593" s="43"/>
      <c r="AU593" s="43"/>
      <c r="AV593" s="43"/>
    </row>
    <row r="594" ht="15.75" spans="1:48">
      <c r="A594" s="12">
        <v>590</v>
      </c>
      <c r="B594" s="44">
        <v>4031</v>
      </c>
      <c r="C594" s="45" t="s">
        <v>64</v>
      </c>
      <c r="D594" s="46"/>
      <c r="E594" s="47" t="s">
        <v>50</v>
      </c>
      <c r="F594" s="48">
        <v>10.67</v>
      </c>
      <c r="G594" s="38">
        <v>1.34</v>
      </c>
      <c r="H594" s="39"/>
      <c r="I594" s="39"/>
      <c r="J594" s="39"/>
      <c r="K594" s="39"/>
      <c r="L594" s="39"/>
      <c r="M594" s="39"/>
      <c r="N594" s="39"/>
      <c r="O594" s="39"/>
      <c r="P594" s="39"/>
      <c r="Q594" s="39">
        <v>1.17</v>
      </c>
      <c r="R594" s="39"/>
      <c r="S594" s="39"/>
      <c r="T594" s="39"/>
      <c r="U594" s="39">
        <v>0.17</v>
      </c>
      <c r="V594" s="39"/>
      <c r="W594" s="39"/>
      <c r="X594" s="49" t="s">
        <v>58</v>
      </c>
      <c r="Y594" s="50">
        <v>3734.5</v>
      </c>
      <c r="Z594" s="51">
        <v>3840</v>
      </c>
      <c r="AA594" s="52">
        <f>IFERROR(Z594/Y594,0)</f>
        <v>1.02825010041505</v>
      </c>
      <c r="AB594" s="12">
        <v>3840</v>
      </c>
      <c r="AC594" s="12">
        <v>0</v>
      </c>
      <c r="AD594" s="43"/>
      <c r="AE594" s="43"/>
      <c r="AF594" s="43"/>
      <c r="AG594" s="43"/>
      <c r="AH594" s="43"/>
      <c r="AI594" s="43"/>
      <c r="AJ594" s="43"/>
      <c r="AK594" s="43"/>
      <c r="AL594" s="43"/>
      <c r="AM594" s="43"/>
      <c r="AN594" s="43"/>
      <c r="AO594" s="43"/>
      <c r="AP594" s="43"/>
      <c r="AQ594" s="43"/>
      <c r="AR594" s="43"/>
      <c r="AS594" s="43"/>
      <c r="AT594" s="43"/>
      <c r="AU594" s="43"/>
      <c r="AV594" s="43"/>
    </row>
    <row r="595" ht="15.75" spans="1:48">
      <c r="A595" s="12">
        <v>591</v>
      </c>
      <c r="B595" s="44">
        <v>2284</v>
      </c>
      <c r="C595" s="45" t="s">
        <v>59</v>
      </c>
      <c r="D595" s="46"/>
      <c r="E595" s="47" t="s">
        <v>50</v>
      </c>
      <c r="F595" s="48">
        <v>2</v>
      </c>
      <c r="G595" s="38">
        <v>6</v>
      </c>
      <c r="H595" s="39"/>
      <c r="I595" s="39"/>
      <c r="J595" s="39"/>
      <c r="K595" s="39"/>
      <c r="L595" s="39"/>
      <c r="M595" s="39"/>
      <c r="N595" s="39"/>
      <c r="O595" s="39"/>
      <c r="P595" s="39"/>
      <c r="Q595" s="39">
        <v>0.83</v>
      </c>
      <c r="R595" s="39"/>
      <c r="S595" s="39">
        <v>5.17</v>
      </c>
      <c r="T595" s="39"/>
      <c r="U595" s="39"/>
      <c r="V595" s="39"/>
      <c r="W595" s="39"/>
      <c r="X595" s="49">
        <v>2168</v>
      </c>
      <c r="Y595" s="50">
        <v>1200</v>
      </c>
      <c r="Z595" s="51">
        <v>1200</v>
      </c>
      <c r="AA595" s="52">
        <f>IFERROR(Z595/Y595,0)</f>
        <v>1</v>
      </c>
      <c r="AB595" s="12">
        <v>1200</v>
      </c>
      <c r="AC595" s="12">
        <v>0</v>
      </c>
      <c r="AD595" s="43"/>
      <c r="AE595" s="43"/>
      <c r="AF595" s="43"/>
      <c r="AG595" s="43"/>
      <c r="AH595" s="43"/>
      <c r="AI595" s="43"/>
      <c r="AJ595" s="43"/>
      <c r="AK595" s="43"/>
      <c r="AL595" s="43"/>
      <c r="AM595" s="43"/>
      <c r="AN595" s="43"/>
      <c r="AO595" s="43"/>
      <c r="AP595" s="43"/>
      <c r="AQ595" s="43"/>
      <c r="AR595" s="43"/>
      <c r="AS595" s="43"/>
      <c r="AT595" s="43"/>
      <c r="AU595" s="43"/>
      <c r="AV595" s="43"/>
    </row>
    <row r="596" ht="15.75" spans="1:48">
      <c r="A596" s="12">
        <v>592</v>
      </c>
      <c r="B596" s="44">
        <v>3352</v>
      </c>
      <c r="C596" s="45" t="s">
        <v>66</v>
      </c>
      <c r="D596" s="46"/>
      <c r="E596" s="47" t="s">
        <v>50</v>
      </c>
      <c r="F596" s="48">
        <v>7.17</v>
      </c>
      <c r="G596" s="38">
        <v>0.83</v>
      </c>
      <c r="H596" s="39"/>
      <c r="I596" s="39"/>
      <c r="J596" s="39"/>
      <c r="K596" s="39"/>
      <c r="L596" s="39"/>
      <c r="M596" s="39"/>
      <c r="N596" s="39"/>
      <c r="O596" s="39"/>
      <c r="P596" s="39"/>
      <c r="Q596" s="39">
        <v>0.83</v>
      </c>
      <c r="R596" s="39"/>
      <c r="S596" s="39"/>
      <c r="T596" s="39"/>
      <c r="U596" s="39"/>
      <c r="V596" s="39"/>
      <c r="W596" s="39"/>
      <c r="X596" s="49" t="s">
        <v>67</v>
      </c>
      <c r="Y596" s="50">
        <v>1792.5</v>
      </c>
      <c r="Z596" s="51">
        <v>1720</v>
      </c>
      <c r="AA596" s="52">
        <f>IFERROR(Z596/Y596,0)</f>
        <v>0.95955369595537</v>
      </c>
      <c r="AB596" s="12">
        <v>1720</v>
      </c>
      <c r="AC596" s="12">
        <v>0</v>
      </c>
      <c r="AD596" s="43"/>
      <c r="AE596" s="43"/>
      <c r="AF596" s="43"/>
      <c r="AG596" s="43"/>
      <c r="AH596" s="43"/>
      <c r="AI596" s="43"/>
      <c r="AJ596" s="43"/>
      <c r="AK596" s="43"/>
      <c r="AL596" s="43"/>
      <c r="AM596" s="43"/>
      <c r="AN596" s="43"/>
      <c r="AO596" s="43"/>
      <c r="AP596" s="43"/>
      <c r="AQ596" s="43"/>
      <c r="AR596" s="43"/>
      <c r="AS596" s="43"/>
      <c r="AT596" s="43"/>
      <c r="AU596" s="43"/>
      <c r="AV596" s="43"/>
    </row>
    <row r="597" ht="15.75" spans="1:48">
      <c r="A597" s="12">
        <v>593</v>
      </c>
      <c r="B597" s="44">
        <v>698</v>
      </c>
      <c r="C597" s="45" t="s">
        <v>68</v>
      </c>
      <c r="D597" s="46"/>
      <c r="E597" s="47" t="s">
        <v>50</v>
      </c>
      <c r="F597" s="48">
        <v>3</v>
      </c>
      <c r="G597" s="38">
        <v>1.34</v>
      </c>
      <c r="H597" s="39"/>
      <c r="I597" s="39"/>
      <c r="J597" s="39"/>
      <c r="K597" s="39"/>
      <c r="L597" s="39"/>
      <c r="M597" s="39"/>
      <c r="N597" s="39"/>
      <c r="O597" s="39"/>
      <c r="P597" s="39"/>
      <c r="Q597" s="39">
        <v>1.17</v>
      </c>
      <c r="R597" s="39"/>
      <c r="S597" s="39"/>
      <c r="T597" s="39"/>
      <c r="U597" s="39">
        <v>0.17</v>
      </c>
      <c r="V597" s="39"/>
      <c r="W597" s="39"/>
      <c r="X597" s="49" t="s">
        <v>69</v>
      </c>
      <c r="Y597" s="50">
        <v>1530</v>
      </c>
      <c r="Z597" s="51">
        <v>1485</v>
      </c>
      <c r="AA597" s="52">
        <f>IFERROR(Z597/Y597,0)</f>
        <v>0.970588235294118</v>
      </c>
      <c r="AB597" s="12">
        <v>1485</v>
      </c>
      <c r="AC597" s="12">
        <v>0</v>
      </c>
      <c r="AD597" s="43"/>
      <c r="AE597" s="43"/>
      <c r="AF597" s="43"/>
      <c r="AG597" s="43"/>
      <c r="AH597" s="43"/>
      <c r="AI597" s="43"/>
      <c r="AJ597" s="43"/>
      <c r="AK597" s="43"/>
      <c r="AL597" s="43"/>
      <c r="AM597" s="43"/>
      <c r="AN597" s="43"/>
      <c r="AO597" s="43"/>
      <c r="AP597" s="43"/>
      <c r="AQ597" s="43"/>
      <c r="AR597" s="43"/>
      <c r="AS597" s="43"/>
      <c r="AT597" s="43"/>
      <c r="AU597" s="43"/>
      <c r="AV597" s="43"/>
    </row>
    <row r="598" ht="15.75" spans="1:48">
      <c r="A598" s="12">
        <v>594</v>
      </c>
      <c r="B598" s="44">
        <v>698</v>
      </c>
      <c r="C598" s="45" t="s">
        <v>68</v>
      </c>
      <c r="D598" s="46"/>
      <c r="E598" s="47" t="s">
        <v>50</v>
      </c>
      <c r="F598" s="48">
        <v>3.835</v>
      </c>
      <c r="G598" s="38">
        <v>0</v>
      </c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49" t="s">
        <v>63</v>
      </c>
      <c r="Y598" s="50">
        <v>690.3</v>
      </c>
      <c r="Z598" s="51">
        <v>650</v>
      </c>
      <c r="AA598" s="52">
        <f>IFERROR(Z598/Y598,0)</f>
        <v>0.941619585687382</v>
      </c>
      <c r="AB598" s="12">
        <v>650</v>
      </c>
      <c r="AC598" s="12">
        <v>0</v>
      </c>
      <c r="AD598" s="43"/>
      <c r="AE598" s="43"/>
      <c r="AF598" s="43"/>
      <c r="AG598" s="43"/>
      <c r="AH598" s="43"/>
      <c r="AI598" s="43"/>
      <c r="AJ598" s="43"/>
      <c r="AK598" s="43"/>
      <c r="AL598" s="43"/>
      <c r="AM598" s="43"/>
      <c r="AN598" s="43"/>
      <c r="AO598" s="43"/>
      <c r="AP598" s="43"/>
      <c r="AQ598" s="43"/>
      <c r="AR598" s="43"/>
      <c r="AS598" s="43"/>
      <c r="AT598" s="43"/>
      <c r="AU598" s="43"/>
      <c r="AV598" s="43"/>
    </row>
    <row r="599" ht="15.75" spans="1:48">
      <c r="A599" s="12">
        <v>595</v>
      </c>
      <c r="B599" s="44">
        <v>698</v>
      </c>
      <c r="C599" s="45" t="s">
        <v>68</v>
      </c>
      <c r="D599" s="46"/>
      <c r="E599" s="47" t="s">
        <v>50</v>
      </c>
      <c r="F599" s="48">
        <v>3.835</v>
      </c>
      <c r="G599" s="38">
        <v>0</v>
      </c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49" t="s">
        <v>62</v>
      </c>
      <c r="Y599" s="50">
        <v>690.3</v>
      </c>
      <c r="Z599" s="51">
        <v>660</v>
      </c>
      <c r="AA599" s="52">
        <f>IFERROR(Z599/Y599,0)</f>
        <v>0.956106040851804</v>
      </c>
      <c r="AB599" s="12">
        <v>660</v>
      </c>
      <c r="AC599" s="12">
        <v>0</v>
      </c>
      <c r="AD599" s="43"/>
      <c r="AE599" s="43"/>
      <c r="AF599" s="43"/>
      <c r="AG599" s="43"/>
      <c r="AH599" s="43"/>
      <c r="AI599" s="43"/>
      <c r="AJ599" s="43"/>
      <c r="AK599" s="43"/>
      <c r="AL599" s="43"/>
      <c r="AM599" s="43"/>
      <c r="AN599" s="43"/>
      <c r="AO599" s="43"/>
      <c r="AP599" s="43"/>
      <c r="AQ599" s="43"/>
      <c r="AR599" s="43"/>
      <c r="AS599" s="43"/>
      <c r="AT599" s="43"/>
      <c r="AU599" s="43"/>
      <c r="AV599" s="43"/>
    </row>
    <row r="600" ht="15.75" spans="1:48">
      <c r="A600" s="12">
        <v>596</v>
      </c>
      <c r="B600" s="44">
        <v>655</v>
      </c>
      <c r="C600" s="45" t="s">
        <v>198</v>
      </c>
      <c r="D600" s="46"/>
      <c r="E600" s="47" t="s">
        <v>113</v>
      </c>
      <c r="F600" s="48">
        <v>10.5</v>
      </c>
      <c r="G600" s="38">
        <v>1.5</v>
      </c>
      <c r="H600" s="39"/>
      <c r="I600" s="39"/>
      <c r="J600" s="39"/>
      <c r="K600" s="39"/>
      <c r="L600" s="39"/>
      <c r="M600" s="39"/>
      <c r="N600" s="39"/>
      <c r="O600" s="39"/>
      <c r="P600" s="39"/>
      <c r="Q600" s="39">
        <v>1.33</v>
      </c>
      <c r="R600" s="39"/>
      <c r="S600" s="39"/>
      <c r="T600" s="39"/>
      <c r="U600" s="39">
        <v>0.17</v>
      </c>
      <c r="V600" s="39"/>
      <c r="W600" s="39"/>
      <c r="X600" s="49" t="s">
        <v>71</v>
      </c>
      <c r="Y600" s="50">
        <v>3517.5</v>
      </c>
      <c r="Z600" s="51">
        <v>3480</v>
      </c>
      <c r="AA600" s="52">
        <f>IFERROR(Z600/Y600,0)</f>
        <v>0.989339019189765</v>
      </c>
      <c r="AB600" s="12">
        <v>3480</v>
      </c>
      <c r="AC600" s="12">
        <v>0</v>
      </c>
      <c r="AD600" s="43"/>
      <c r="AE600" s="43"/>
      <c r="AF600" s="43"/>
      <c r="AG600" s="43"/>
      <c r="AH600" s="43"/>
      <c r="AI600" s="43"/>
      <c r="AJ600" s="43"/>
      <c r="AK600" s="43"/>
      <c r="AL600" s="43"/>
      <c r="AM600" s="43"/>
      <c r="AN600" s="43"/>
      <c r="AO600" s="43"/>
      <c r="AP600" s="43"/>
      <c r="AQ600" s="43"/>
      <c r="AR600" s="43"/>
      <c r="AS600" s="43"/>
      <c r="AT600" s="43"/>
      <c r="AU600" s="43"/>
      <c r="AV600" s="43"/>
    </row>
    <row r="601" ht="15.75" spans="1:48">
      <c r="A601" s="12">
        <v>597</v>
      </c>
      <c r="B601" s="44">
        <v>3959</v>
      </c>
      <c r="C601" s="45" t="s">
        <v>123</v>
      </c>
      <c r="D601" s="46"/>
      <c r="E601" s="47" t="s">
        <v>113</v>
      </c>
      <c r="F601" s="48">
        <v>4.67032967032967</v>
      </c>
      <c r="G601" s="38">
        <v>0</v>
      </c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49" t="s">
        <v>63</v>
      </c>
      <c r="Y601" s="50">
        <v>840.659340659341</v>
      </c>
      <c r="Z601" s="51">
        <v>850</v>
      </c>
      <c r="AA601" s="52">
        <f>IFERROR(Z601/Y601,0)</f>
        <v>1.01111111111111</v>
      </c>
      <c r="AB601" s="12">
        <v>850</v>
      </c>
      <c r="AC601" s="12">
        <v>0</v>
      </c>
      <c r="AD601" s="43"/>
      <c r="AE601" s="43"/>
      <c r="AF601" s="43"/>
      <c r="AG601" s="43"/>
      <c r="AH601" s="43"/>
      <c r="AI601" s="43"/>
      <c r="AJ601" s="43"/>
      <c r="AK601" s="43"/>
      <c r="AL601" s="43"/>
      <c r="AM601" s="43"/>
      <c r="AN601" s="43"/>
      <c r="AO601" s="43"/>
      <c r="AP601" s="43"/>
      <c r="AQ601" s="43"/>
      <c r="AR601" s="43"/>
      <c r="AS601" s="43"/>
      <c r="AT601" s="43"/>
      <c r="AU601" s="43"/>
      <c r="AV601" s="43"/>
    </row>
    <row r="602" ht="15.75" spans="1:48">
      <c r="A602" s="12">
        <v>598</v>
      </c>
      <c r="B602" s="44">
        <v>3959</v>
      </c>
      <c r="C602" s="45" t="s">
        <v>123</v>
      </c>
      <c r="D602" s="46"/>
      <c r="E602" s="47" t="s">
        <v>113</v>
      </c>
      <c r="F602" s="48">
        <v>4.67</v>
      </c>
      <c r="G602" s="38">
        <v>0</v>
      </c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49" t="s">
        <v>62</v>
      </c>
      <c r="Y602" s="50">
        <v>840.6</v>
      </c>
      <c r="Z602" s="51">
        <v>850</v>
      </c>
      <c r="AA602" s="52">
        <f>IFERROR(Z602/Y602,0)</f>
        <v>1.01118248869855</v>
      </c>
      <c r="AB602" s="12">
        <v>850</v>
      </c>
      <c r="AC602" s="12">
        <v>0</v>
      </c>
      <c r="AD602" s="43"/>
      <c r="AE602" s="43"/>
      <c r="AF602" s="43"/>
      <c r="AG602" s="43"/>
      <c r="AH602" s="43"/>
      <c r="AI602" s="43"/>
      <c r="AJ602" s="43"/>
      <c r="AK602" s="43"/>
      <c r="AL602" s="43"/>
      <c r="AM602" s="43"/>
      <c r="AN602" s="43"/>
      <c r="AO602" s="43"/>
      <c r="AP602" s="43"/>
      <c r="AQ602" s="43"/>
      <c r="AR602" s="43"/>
      <c r="AS602" s="43"/>
      <c r="AT602" s="43"/>
      <c r="AU602" s="43"/>
      <c r="AV602" s="43"/>
    </row>
    <row r="603" ht="15.75" spans="1:48">
      <c r="A603" s="12">
        <v>599</v>
      </c>
      <c r="B603" s="44">
        <v>4418</v>
      </c>
      <c r="C603" s="45" t="s">
        <v>125</v>
      </c>
      <c r="D603" s="46"/>
      <c r="E603" s="47" t="s">
        <v>113</v>
      </c>
      <c r="F603" s="48">
        <v>10.5</v>
      </c>
      <c r="G603" s="38">
        <v>1.5</v>
      </c>
      <c r="H603" s="39"/>
      <c r="I603" s="39"/>
      <c r="J603" s="39"/>
      <c r="K603" s="39"/>
      <c r="L603" s="39"/>
      <c r="M603" s="39"/>
      <c r="N603" s="39"/>
      <c r="O603" s="39"/>
      <c r="P603" s="39"/>
      <c r="Q603" s="39">
        <v>1.33</v>
      </c>
      <c r="R603" s="39"/>
      <c r="S603" s="39"/>
      <c r="T603" s="39"/>
      <c r="U603" s="39">
        <v>0.17</v>
      </c>
      <c r="V603" s="39"/>
      <c r="W603" s="39"/>
      <c r="X603" s="49" t="s">
        <v>239</v>
      </c>
      <c r="Y603" s="50">
        <v>5355</v>
      </c>
      <c r="Z603" s="51">
        <v>5265</v>
      </c>
      <c r="AA603" s="52">
        <f>IFERROR(Z603/Y603,0)</f>
        <v>0.983193277310924</v>
      </c>
      <c r="AB603" s="12">
        <v>5265</v>
      </c>
      <c r="AC603" s="12">
        <v>0</v>
      </c>
      <c r="AD603" s="43"/>
      <c r="AE603" s="43"/>
      <c r="AF603" s="43"/>
      <c r="AG603" s="43"/>
      <c r="AH603" s="43"/>
      <c r="AI603" s="43"/>
      <c r="AJ603" s="43"/>
      <c r="AK603" s="43"/>
      <c r="AL603" s="43"/>
      <c r="AM603" s="43"/>
      <c r="AN603" s="43"/>
      <c r="AO603" s="43"/>
      <c r="AP603" s="43"/>
      <c r="AQ603" s="43"/>
      <c r="AR603" s="43"/>
      <c r="AS603" s="43"/>
      <c r="AT603" s="43"/>
      <c r="AU603" s="43"/>
      <c r="AV603" s="43"/>
    </row>
    <row r="604" ht="15.75" spans="1:48">
      <c r="A604" s="12">
        <v>600</v>
      </c>
      <c r="B604" s="44">
        <v>4325</v>
      </c>
      <c r="C604" s="45" t="s">
        <v>118</v>
      </c>
      <c r="D604" s="46"/>
      <c r="E604" s="47" t="s">
        <v>113</v>
      </c>
      <c r="F604" s="48">
        <v>10.66</v>
      </c>
      <c r="G604" s="38">
        <v>1.33</v>
      </c>
      <c r="H604" s="39"/>
      <c r="I604" s="39"/>
      <c r="J604" s="39"/>
      <c r="K604" s="39"/>
      <c r="L604" s="39"/>
      <c r="M604" s="39"/>
      <c r="N604" s="39"/>
      <c r="O604" s="39"/>
      <c r="P604" s="39"/>
      <c r="Q604" s="39">
        <v>1.33</v>
      </c>
      <c r="R604" s="39"/>
      <c r="S604" s="39"/>
      <c r="T604" s="39"/>
      <c r="U604" s="39"/>
      <c r="V604" s="39"/>
      <c r="W604" s="39"/>
      <c r="X604" s="49" t="s">
        <v>213</v>
      </c>
      <c r="Y604" s="50">
        <v>1279.2</v>
      </c>
      <c r="Z604" s="51">
        <v>1300</v>
      </c>
      <c r="AA604" s="52">
        <f>IFERROR(Z604/Y604,0)</f>
        <v>1.01626016260163</v>
      </c>
      <c r="AB604" s="12">
        <v>1300</v>
      </c>
      <c r="AC604" s="12">
        <v>0</v>
      </c>
      <c r="AD604" s="43"/>
      <c r="AE604" s="43"/>
      <c r="AF604" s="43"/>
      <c r="AG604" s="43"/>
      <c r="AH604" s="43"/>
      <c r="AI604" s="43"/>
      <c r="AJ604" s="43"/>
      <c r="AK604" s="43"/>
      <c r="AL604" s="43"/>
      <c r="AM604" s="43"/>
      <c r="AN604" s="43"/>
      <c r="AO604" s="43"/>
      <c r="AP604" s="43"/>
      <c r="AQ604" s="43"/>
      <c r="AR604" s="43"/>
      <c r="AS604" s="43"/>
      <c r="AT604" s="43"/>
      <c r="AU604" s="43"/>
      <c r="AV604" s="43"/>
    </row>
    <row r="605" ht="15.75" spans="1:48">
      <c r="A605" s="12">
        <v>601</v>
      </c>
      <c r="B605" s="44">
        <v>4456</v>
      </c>
      <c r="C605" s="45" t="s">
        <v>119</v>
      </c>
      <c r="D605" s="46"/>
      <c r="E605" s="47" t="s">
        <v>113</v>
      </c>
      <c r="F605" s="48">
        <v>10.66</v>
      </c>
      <c r="G605" s="38">
        <v>1.33</v>
      </c>
      <c r="H605" s="39"/>
      <c r="I605" s="39"/>
      <c r="J605" s="39"/>
      <c r="K605" s="39"/>
      <c r="L605" s="39"/>
      <c r="M605" s="39"/>
      <c r="N605" s="39"/>
      <c r="O605" s="39"/>
      <c r="P605" s="39"/>
      <c r="Q605" s="39">
        <v>1.33</v>
      </c>
      <c r="R605" s="39"/>
      <c r="S605" s="39"/>
      <c r="T605" s="39"/>
      <c r="U605" s="39"/>
      <c r="V605" s="39"/>
      <c r="W605" s="39"/>
      <c r="X605" s="49" t="s">
        <v>120</v>
      </c>
      <c r="Y605" s="50">
        <v>2665</v>
      </c>
      <c r="Z605" s="51">
        <v>2550</v>
      </c>
      <c r="AA605" s="52">
        <f>IFERROR(Z605/Y605,0)</f>
        <v>0.956848030018762</v>
      </c>
      <c r="AB605" s="12">
        <v>2550</v>
      </c>
      <c r="AC605" s="12">
        <v>0</v>
      </c>
      <c r="AD605" s="43"/>
      <c r="AE605" s="43"/>
      <c r="AF605" s="43"/>
      <c r="AG605" s="43"/>
      <c r="AH605" s="43"/>
      <c r="AI605" s="43"/>
      <c r="AJ605" s="43"/>
      <c r="AK605" s="43"/>
      <c r="AL605" s="43"/>
      <c r="AM605" s="43"/>
      <c r="AN605" s="43"/>
      <c r="AO605" s="43"/>
      <c r="AP605" s="43"/>
      <c r="AQ605" s="43"/>
      <c r="AR605" s="43"/>
      <c r="AS605" s="43"/>
      <c r="AT605" s="43"/>
      <c r="AU605" s="43"/>
      <c r="AV605" s="43"/>
    </row>
    <row r="606" ht="15.75" spans="1:48">
      <c r="A606" s="12">
        <v>602</v>
      </c>
      <c r="B606" s="44">
        <v>2649</v>
      </c>
      <c r="C606" s="45" t="s">
        <v>121</v>
      </c>
      <c r="D606" s="46"/>
      <c r="E606" s="47" t="s">
        <v>113</v>
      </c>
      <c r="F606" s="48">
        <v>8</v>
      </c>
      <c r="G606" s="38">
        <v>1.33</v>
      </c>
      <c r="H606" s="39"/>
      <c r="I606" s="39"/>
      <c r="J606" s="39"/>
      <c r="K606" s="39"/>
      <c r="L606" s="39"/>
      <c r="M606" s="39"/>
      <c r="N606" s="39"/>
      <c r="O606" s="39"/>
      <c r="P606" s="39"/>
      <c r="Q606" s="39">
        <v>1.33</v>
      </c>
      <c r="R606" s="39"/>
      <c r="S606" s="39"/>
      <c r="T606" s="39"/>
      <c r="U606" s="39"/>
      <c r="V606" s="39"/>
      <c r="W606" s="39"/>
      <c r="X606" s="49" t="s">
        <v>120</v>
      </c>
      <c r="Y606" s="50">
        <v>2000</v>
      </c>
      <c r="Z606" s="51">
        <v>1950</v>
      </c>
      <c r="AA606" s="52">
        <f>IFERROR(Z606/Y606,0)</f>
        <v>0.975</v>
      </c>
      <c r="AB606" s="12">
        <v>1950</v>
      </c>
      <c r="AC606" s="12">
        <v>0</v>
      </c>
      <c r="AD606" s="43"/>
      <c r="AE606" s="43"/>
      <c r="AF606" s="43"/>
      <c r="AG606" s="43"/>
      <c r="AH606" s="43"/>
      <c r="AI606" s="43"/>
      <c r="AJ606" s="43"/>
      <c r="AK606" s="43"/>
      <c r="AL606" s="43"/>
      <c r="AM606" s="43"/>
      <c r="AN606" s="43"/>
      <c r="AO606" s="43"/>
      <c r="AP606" s="43"/>
      <c r="AQ606" s="43"/>
      <c r="AR606" s="43"/>
      <c r="AS606" s="43"/>
      <c r="AT606" s="43"/>
      <c r="AU606" s="43"/>
      <c r="AV606" s="43"/>
    </row>
    <row r="607" ht="15.75" spans="1:48">
      <c r="A607" s="12">
        <v>603</v>
      </c>
      <c r="B607" s="44">
        <v>2649</v>
      </c>
      <c r="C607" s="45" t="s">
        <v>121</v>
      </c>
      <c r="D607" s="46"/>
      <c r="E607" s="47" t="s">
        <v>113</v>
      </c>
      <c r="F607" s="48">
        <v>2.66</v>
      </c>
      <c r="G607" s="38">
        <v>0</v>
      </c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49" t="s">
        <v>122</v>
      </c>
      <c r="Y607" s="50">
        <v>0</v>
      </c>
      <c r="Z607" s="51"/>
      <c r="AA607" s="52">
        <f>IFERROR(Z607/Y607,0)</f>
        <v>0</v>
      </c>
      <c r="AB607" s="12">
        <v>0</v>
      </c>
      <c r="AC607" s="12">
        <v>0</v>
      </c>
      <c r="AD607" s="43"/>
      <c r="AE607" s="43"/>
      <c r="AF607" s="43"/>
      <c r="AG607" s="43"/>
      <c r="AH607" s="43"/>
      <c r="AI607" s="43"/>
      <c r="AJ607" s="43"/>
      <c r="AK607" s="43"/>
      <c r="AL607" s="43"/>
      <c r="AM607" s="43"/>
      <c r="AN607" s="43"/>
      <c r="AO607" s="43"/>
      <c r="AP607" s="43"/>
      <c r="AQ607" s="43"/>
      <c r="AR607" s="43"/>
      <c r="AS607" s="43"/>
      <c r="AT607" s="43"/>
      <c r="AU607" s="43"/>
      <c r="AV607" s="43"/>
    </row>
    <row r="608" ht="15.75" spans="1:48">
      <c r="A608" s="12">
        <v>604</v>
      </c>
      <c r="B608" s="57">
        <v>656</v>
      </c>
      <c r="C608" s="58" t="s">
        <v>195</v>
      </c>
      <c r="D608" s="59"/>
      <c r="E608" s="47" t="s">
        <v>113</v>
      </c>
      <c r="F608" s="48">
        <v>6.66</v>
      </c>
      <c r="G608" s="38">
        <v>1.5</v>
      </c>
      <c r="H608" s="39"/>
      <c r="I608" s="39"/>
      <c r="J608" s="39"/>
      <c r="K608" s="39"/>
      <c r="L608" s="39"/>
      <c r="M608" s="39"/>
      <c r="N608" s="39"/>
      <c r="O608" s="39"/>
      <c r="P608" s="39"/>
      <c r="Q608" s="39">
        <v>1.33</v>
      </c>
      <c r="R608" s="39"/>
      <c r="S608" s="39"/>
      <c r="T608" s="39"/>
      <c r="U608" s="39">
        <v>0.17</v>
      </c>
      <c r="V608" s="39"/>
      <c r="W608" s="39"/>
      <c r="X608" s="49" t="s">
        <v>199</v>
      </c>
      <c r="Y608" s="50">
        <v>2331</v>
      </c>
      <c r="Z608" s="51">
        <v>2400</v>
      </c>
      <c r="AA608" s="52">
        <f>IFERROR(Z608/Y608,0)</f>
        <v>1.02960102960103</v>
      </c>
      <c r="AB608" s="12">
        <v>2400</v>
      </c>
      <c r="AC608" s="12">
        <v>0</v>
      </c>
      <c r="AD608" s="43"/>
      <c r="AE608" s="43"/>
      <c r="AF608" s="43"/>
      <c r="AG608" s="43"/>
      <c r="AH608" s="43"/>
      <c r="AI608" s="43"/>
      <c r="AJ608" s="43"/>
      <c r="AK608" s="43"/>
      <c r="AL608" s="43"/>
      <c r="AM608" s="43"/>
      <c r="AN608" s="43"/>
      <c r="AO608" s="43"/>
      <c r="AP608" s="43"/>
      <c r="AQ608" s="43"/>
      <c r="AR608" s="43"/>
      <c r="AS608" s="43"/>
      <c r="AT608" s="43"/>
      <c r="AU608" s="43"/>
      <c r="AV608" s="43"/>
    </row>
    <row r="609" ht="15.75" spans="1:48">
      <c r="A609" s="12">
        <v>605</v>
      </c>
      <c r="B609" s="57">
        <v>656</v>
      </c>
      <c r="C609" s="45" t="s">
        <v>195</v>
      </c>
      <c r="D609" s="46"/>
      <c r="E609" s="47" t="s">
        <v>113</v>
      </c>
      <c r="F609" s="48">
        <v>3.02197802197802</v>
      </c>
      <c r="G609" s="38">
        <v>0</v>
      </c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49" t="s">
        <v>63</v>
      </c>
      <c r="Y609" s="50">
        <v>543.956043956044</v>
      </c>
      <c r="Z609" s="51">
        <v>550</v>
      </c>
      <c r="AA609" s="52">
        <f>IFERROR(Z609/Y609,0)</f>
        <v>1.01111111111111</v>
      </c>
      <c r="AB609" s="12">
        <v>550</v>
      </c>
      <c r="AC609" s="12">
        <v>0</v>
      </c>
      <c r="AD609" s="43"/>
      <c r="AE609" s="43"/>
      <c r="AF609" s="43"/>
      <c r="AG609" s="43"/>
      <c r="AH609" s="43"/>
      <c r="AI609" s="43"/>
      <c r="AJ609" s="43"/>
      <c r="AK609" s="43"/>
      <c r="AL609" s="43"/>
      <c r="AM609" s="43"/>
      <c r="AN609" s="43"/>
      <c r="AO609" s="43"/>
      <c r="AP609" s="43"/>
      <c r="AQ609" s="43"/>
      <c r="AR609" s="43"/>
      <c r="AS609" s="43"/>
      <c r="AT609" s="43"/>
      <c r="AU609" s="43"/>
      <c r="AV609" s="43"/>
    </row>
    <row r="610" ht="15.75" spans="1:48">
      <c r="A610" s="12">
        <v>606</v>
      </c>
      <c r="B610" s="57">
        <v>656</v>
      </c>
      <c r="C610" s="45" t="s">
        <v>195</v>
      </c>
      <c r="D610" s="46"/>
      <c r="E610" s="47" t="s">
        <v>113</v>
      </c>
      <c r="F610" s="48">
        <v>0.824175824175824</v>
      </c>
      <c r="G610" s="38">
        <v>0</v>
      </c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49" t="s">
        <v>62</v>
      </c>
      <c r="Y610" s="50">
        <v>148.351648351648</v>
      </c>
      <c r="Z610" s="51">
        <v>150</v>
      </c>
      <c r="AA610" s="52">
        <f>IFERROR(Z610/Y610,0)</f>
        <v>1.01111111111111</v>
      </c>
      <c r="AB610" s="12">
        <v>150</v>
      </c>
      <c r="AC610" s="12">
        <v>0</v>
      </c>
      <c r="AD610" s="43"/>
      <c r="AE610" s="43"/>
      <c r="AF610" s="43"/>
      <c r="AG610" s="43"/>
      <c r="AH610" s="43"/>
      <c r="AI610" s="43"/>
      <c r="AJ610" s="43"/>
      <c r="AK610" s="43"/>
      <c r="AL610" s="43"/>
      <c r="AM610" s="43"/>
      <c r="AN610" s="43"/>
      <c r="AO610" s="43"/>
      <c r="AP610" s="43"/>
      <c r="AQ610" s="43"/>
      <c r="AR610" s="43"/>
      <c r="AS610" s="43"/>
      <c r="AT610" s="43"/>
      <c r="AU610" s="43"/>
      <c r="AV610" s="43"/>
    </row>
    <row r="611" ht="15.75" spans="1:48">
      <c r="A611" s="12">
        <v>607</v>
      </c>
      <c r="B611" s="44">
        <v>3919</v>
      </c>
      <c r="C611" s="45" t="s">
        <v>137</v>
      </c>
      <c r="D611" s="46"/>
      <c r="E611" s="47" t="s">
        <v>113</v>
      </c>
      <c r="F611" s="48">
        <v>3.17</v>
      </c>
      <c r="G611" s="38">
        <v>1.33</v>
      </c>
      <c r="H611" s="39"/>
      <c r="I611" s="39"/>
      <c r="J611" s="39"/>
      <c r="K611" s="39"/>
      <c r="L611" s="39"/>
      <c r="M611" s="39"/>
      <c r="N611" s="39"/>
      <c r="O611" s="39"/>
      <c r="P611" s="39"/>
      <c r="Q611" s="39">
        <v>1.33</v>
      </c>
      <c r="R611" s="39"/>
      <c r="S611" s="39"/>
      <c r="T611" s="39"/>
      <c r="U611" s="39"/>
      <c r="V611" s="39"/>
      <c r="W611" s="39"/>
      <c r="X611" s="49" t="s">
        <v>74</v>
      </c>
      <c r="Y611" s="50">
        <v>5151.25</v>
      </c>
      <c r="Z611" s="51">
        <v>5172</v>
      </c>
      <c r="AA611" s="52">
        <f>IFERROR(Z611/Y611,0)</f>
        <v>1.00402814850764</v>
      </c>
      <c r="AB611" s="12">
        <v>5172</v>
      </c>
      <c r="AC611" s="12">
        <v>0</v>
      </c>
      <c r="AD611" s="43"/>
      <c r="AE611" s="43"/>
      <c r="AF611" s="43"/>
      <c r="AG611" s="43"/>
      <c r="AH611" s="43"/>
      <c r="AI611" s="43"/>
      <c r="AJ611" s="43"/>
      <c r="AK611" s="43"/>
      <c r="AL611" s="43"/>
      <c r="AM611" s="43"/>
      <c r="AN611" s="43"/>
      <c r="AO611" s="43"/>
      <c r="AP611" s="43"/>
      <c r="AQ611" s="43"/>
      <c r="AR611" s="43"/>
      <c r="AS611" s="43"/>
      <c r="AT611" s="43"/>
      <c r="AU611" s="43"/>
      <c r="AV611" s="43"/>
    </row>
    <row r="612" ht="15.75" spans="1:48">
      <c r="A612" s="12">
        <v>608</v>
      </c>
      <c r="B612" s="44">
        <v>3919</v>
      </c>
      <c r="C612" s="45" t="s">
        <v>137</v>
      </c>
      <c r="D612" s="46"/>
      <c r="E612" s="47" t="s">
        <v>113</v>
      </c>
      <c r="F612" s="48">
        <v>7.5</v>
      </c>
      <c r="G612" s="38">
        <v>0</v>
      </c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49" t="s">
        <v>140</v>
      </c>
      <c r="Y612" s="50">
        <v>0</v>
      </c>
      <c r="Z612" s="51"/>
      <c r="AA612" s="52">
        <f>IFERROR(Z612/Y612,0)</f>
        <v>0</v>
      </c>
      <c r="AB612" s="12">
        <v>0</v>
      </c>
      <c r="AC612" s="12">
        <v>0</v>
      </c>
      <c r="AD612" s="43"/>
      <c r="AE612" s="43"/>
      <c r="AF612" s="43"/>
      <c r="AG612" s="43"/>
      <c r="AH612" s="43"/>
      <c r="AI612" s="43"/>
      <c r="AJ612" s="43"/>
      <c r="AK612" s="43"/>
      <c r="AL612" s="43"/>
      <c r="AM612" s="43"/>
      <c r="AN612" s="43"/>
      <c r="AO612" s="43"/>
      <c r="AP612" s="43"/>
      <c r="AQ612" s="43"/>
      <c r="AR612" s="43"/>
      <c r="AS612" s="43"/>
      <c r="AT612" s="43"/>
      <c r="AU612" s="43"/>
      <c r="AV612" s="43"/>
    </row>
    <row r="613" ht="15.75" spans="1:48">
      <c r="A613" s="12">
        <v>609</v>
      </c>
      <c r="B613" s="44">
        <v>4352</v>
      </c>
      <c r="C613" s="45" t="s">
        <v>132</v>
      </c>
      <c r="D613" s="46" t="s">
        <v>81</v>
      </c>
      <c r="E613" s="47" t="s">
        <v>113</v>
      </c>
      <c r="F613" s="48">
        <v>10.5</v>
      </c>
      <c r="G613" s="38">
        <v>1.5</v>
      </c>
      <c r="H613" s="39"/>
      <c r="I613" s="39"/>
      <c r="J613" s="39"/>
      <c r="K613" s="39"/>
      <c r="L613" s="39"/>
      <c r="M613" s="39"/>
      <c r="N613" s="39"/>
      <c r="O613" s="39"/>
      <c r="P613" s="39"/>
      <c r="Q613" s="39">
        <v>1.33</v>
      </c>
      <c r="R613" s="39"/>
      <c r="S613" s="39"/>
      <c r="T613" s="39"/>
      <c r="U613" s="39">
        <v>0.17</v>
      </c>
      <c r="V613" s="39"/>
      <c r="W613" s="39"/>
      <c r="X613" s="49" t="s">
        <v>201</v>
      </c>
      <c r="Y613" s="50">
        <v>17062.5</v>
      </c>
      <c r="Z613" s="51">
        <v>17062</v>
      </c>
      <c r="AA613" s="52">
        <f>IFERROR(Z613/Y613,0)</f>
        <v>0.999970695970696</v>
      </c>
      <c r="AB613" s="12">
        <v>17044</v>
      </c>
      <c r="AC613" s="12">
        <v>18</v>
      </c>
      <c r="AD613" s="19">
        <v>18</v>
      </c>
      <c r="AE613" s="43"/>
      <c r="AF613" s="43"/>
      <c r="AG613" s="43"/>
      <c r="AH613" s="43"/>
      <c r="AI613" s="43"/>
      <c r="AJ613" s="43"/>
      <c r="AK613" s="43"/>
      <c r="AL613" s="43"/>
      <c r="AM613" s="43"/>
      <c r="AN613" s="43"/>
      <c r="AO613" s="43"/>
      <c r="AP613" s="43"/>
      <c r="AQ613" s="43"/>
      <c r="AR613" s="43"/>
      <c r="AS613" s="43"/>
      <c r="AT613" s="43"/>
      <c r="AU613" s="43"/>
      <c r="AV613" s="43"/>
    </row>
    <row r="614" ht="15.75" spans="1:48">
      <c r="A614" s="12">
        <v>610</v>
      </c>
      <c r="B614" s="44">
        <v>4019</v>
      </c>
      <c r="C614" s="45" t="s">
        <v>134</v>
      </c>
      <c r="D614" s="46" t="s">
        <v>76</v>
      </c>
      <c r="E614" s="47" t="s">
        <v>113</v>
      </c>
      <c r="F614" s="48">
        <v>10.17</v>
      </c>
      <c r="G614" s="38">
        <v>1.83</v>
      </c>
      <c r="H614" s="39"/>
      <c r="I614" s="39"/>
      <c r="J614" s="39"/>
      <c r="K614" s="39">
        <v>0.17</v>
      </c>
      <c r="L614" s="39"/>
      <c r="M614" s="39"/>
      <c r="N614" s="39"/>
      <c r="O614" s="39"/>
      <c r="P614" s="39"/>
      <c r="Q614" s="39">
        <v>1.33</v>
      </c>
      <c r="R614" s="39"/>
      <c r="S614" s="39"/>
      <c r="T614" s="39"/>
      <c r="U614" s="39">
        <v>0.33</v>
      </c>
      <c r="V614" s="39"/>
      <c r="W614" s="39"/>
      <c r="X614" s="49" t="s">
        <v>77</v>
      </c>
      <c r="Y614" s="50">
        <v>61020</v>
      </c>
      <c r="Z614" s="51">
        <v>57792</v>
      </c>
      <c r="AA614" s="52">
        <f>IFERROR(Z614/Y614,0)</f>
        <v>0.947099311701082</v>
      </c>
      <c r="AB614" s="12">
        <v>57664</v>
      </c>
      <c r="AC614" s="12">
        <v>128</v>
      </c>
      <c r="AD614" s="43"/>
      <c r="AE614" s="43"/>
      <c r="AF614" s="43"/>
      <c r="AG614" s="19">
        <v>56</v>
      </c>
      <c r="AH614" s="43"/>
      <c r="AI614" s="43"/>
      <c r="AJ614" s="43"/>
      <c r="AK614" s="43"/>
      <c r="AL614" s="43"/>
      <c r="AM614" s="43"/>
      <c r="AN614" s="19">
        <v>72</v>
      </c>
      <c r="AO614" s="43"/>
      <c r="AP614" s="43"/>
      <c r="AQ614" s="43"/>
      <c r="AR614" s="43"/>
      <c r="AS614" s="43"/>
      <c r="AT614" s="43"/>
      <c r="AU614" s="43"/>
      <c r="AV614" s="43"/>
    </row>
    <row r="615" ht="15.75" spans="1:48">
      <c r="A615" s="12">
        <v>611</v>
      </c>
      <c r="B615" s="44">
        <v>4019</v>
      </c>
      <c r="C615" s="45" t="s">
        <v>134</v>
      </c>
      <c r="D615" s="46" t="s">
        <v>78</v>
      </c>
      <c r="E615" s="47" t="s">
        <v>113</v>
      </c>
      <c r="F615" s="48">
        <v>10.17</v>
      </c>
      <c r="G615" s="38">
        <v>1.83</v>
      </c>
      <c r="H615" s="39"/>
      <c r="I615" s="39"/>
      <c r="J615" s="39"/>
      <c r="K615" s="39">
        <v>0.17</v>
      </c>
      <c r="L615" s="39"/>
      <c r="M615" s="39"/>
      <c r="N615" s="39"/>
      <c r="O615" s="39"/>
      <c r="P615" s="39"/>
      <c r="Q615" s="39">
        <v>1.33</v>
      </c>
      <c r="R615" s="39"/>
      <c r="S615" s="39"/>
      <c r="T615" s="39"/>
      <c r="U615" s="39">
        <v>0.33</v>
      </c>
      <c r="V615" s="39"/>
      <c r="W615" s="39"/>
      <c r="X615" s="49" t="s">
        <v>79</v>
      </c>
      <c r="Y615" s="50">
        <v>67732.2</v>
      </c>
      <c r="Z615" s="51">
        <v>61448</v>
      </c>
      <c r="AA615" s="52">
        <f>IFERROR(Z615/Y615,0)</f>
        <v>0.907219904270052</v>
      </c>
      <c r="AB615" s="12">
        <v>61336</v>
      </c>
      <c r="AC615" s="12">
        <v>112</v>
      </c>
      <c r="AD615" s="43"/>
      <c r="AE615" s="43"/>
      <c r="AF615" s="43"/>
      <c r="AG615" s="19">
        <v>56</v>
      </c>
      <c r="AH615" s="43"/>
      <c r="AI615" s="43"/>
      <c r="AJ615" s="43"/>
      <c r="AK615" s="43"/>
      <c r="AL615" s="43"/>
      <c r="AM615" s="43"/>
      <c r="AN615" s="19">
        <v>56</v>
      </c>
      <c r="AO615" s="43"/>
      <c r="AP615" s="43"/>
      <c r="AQ615" s="43"/>
      <c r="AR615" s="43"/>
      <c r="AS615" s="43"/>
      <c r="AT615" s="43"/>
      <c r="AU615" s="43"/>
      <c r="AV615" s="43"/>
    </row>
    <row r="616" ht="15.75" spans="1:48">
      <c r="A616" s="12">
        <v>612</v>
      </c>
      <c r="B616" s="44">
        <v>4019</v>
      </c>
      <c r="C616" s="45" t="s">
        <v>134</v>
      </c>
      <c r="D616" s="46" t="s">
        <v>207</v>
      </c>
      <c r="E616" s="47" t="s">
        <v>113</v>
      </c>
      <c r="F616" s="48">
        <v>10.17</v>
      </c>
      <c r="G616" s="38">
        <v>1.83</v>
      </c>
      <c r="H616" s="39"/>
      <c r="I616" s="39"/>
      <c r="J616" s="39"/>
      <c r="K616" s="39">
        <v>0.17</v>
      </c>
      <c r="L616" s="39"/>
      <c r="M616" s="39"/>
      <c r="N616" s="39"/>
      <c r="O616" s="39"/>
      <c r="P616" s="39"/>
      <c r="Q616" s="39">
        <v>1.33</v>
      </c>
      <c r="R616" s="39"/>
      <c r="S616" s="39"/>
      <c r="T616" s="39"/>
      <c r="U616" s="39">
        <v>0.33</v>
      </c>
      <c r="V616" s="39"/>
      <c r="W616" s="39"/>
      <c r="X616" s="49" t="s">
        <v>79</v>
      </c>
      <c r="Y616" s="50">
        <v>67732.2</v>
      </c>
      <c r="Z616" s="51">
        <v>61056</v>
      </c>
      <c r="AA616" s="52">
        <f>IFERROR(Z616/Y616,0)</f>
        <v>0.901432405857185</v>
      </c>
      <c r="AB616" s="12">
        <v>60912</v>
      </c>
      <c r="AC616" s="12">
        <v>144</v>
      </c>
      <c r="AD616" s="43"/>
      <c r="AE616" s="43"/>
      <c r="AF616" s="43"/>
      <c r="AG616" s="19">
        <v>72</v>
      </c>
      <c r="AH616" s="43"/>
      <c r="AI616" s="43"/>
      <c r="AJ616" s="43"/>
      <c r="AK616" s="43"/>
      <c r="AL616" s="43"/>
      <c r="AM616" s="43"/>
      <c r="AN616" s="19">
        <v>72</v>
      </c>
      <c r="AO616" s="43"/>
      <c r="AP616" s="43"/>
      <c r="AQ616" s="43"/>
      <c r="AR616" s="43"/>
      <c r="AS616" s="43"/>
      <c r="AT616" s="43"/>
      <c r="AU616" s="43"/>
      <c r="AV616" s="43"/>
    </row>
    <row r="617" ht="15.75" spans="1:48">
      <c r="A617" s="12">
        <v>613</v>
      </c>
      <c r="B617" s="44">
        <v>4496</v>
      </c>
      <c r="C617" s="45" t="s">
        <v>133</v>
      </c>
      <c r="D617" s="46" t="s">
        <v>138</v>
      </c>
      <c r="E617" s="47" t="s">
        <v>113</v>
      </c>
      <c r="F617" s="48">
        <v>0.25</v>
      </c>
      <c r="G617" s="38">
        <v>0</v>
      </c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49" t="s">
        <v>139</v>
      </c>
      <c r="Y617" s="50">
        <v>381.25</v>
      </c>
      <c r="Z617" s="51">
        <v>440</v>
      </c>
      <c r="AA617" s="52">
        <f>IFERROR(Z617/Y617,0)</f>
        <v>1.15409836065574</v>
      </c>
      <c r="AB617" s="12">
        <v>440</v>
      </c>
      <c r="AC617" s="12">
        <v>0</v>
      </c>
      <c r="AD617" s="43"/>
      <c r="AE617" s="43"/>
      <c r="AF617" s="43"/>
      <c r="AG617" s="43"/>
      <c r="AH617" s="43"/>
      <c r="AI617" s="43"/>
      <c r="AJ617" s="43"/>
      <c r="AK617" s="43"/>
      <c r="AL617" s="43"/>
      <c r="AM617" s="43"/>
      <c r="AN617" s="43"/>
      <c r="AO617" s="43"/>
      <c r="AP617" s="43"/>
      <c r="AQ617" s="43"/>
      <c r="AR617" s="43"/>
      <c r="AS617" s="43"/>
      <c r="AT617" s="43"/>
      <c r="AU617" s="43"/>
      <c r="AV617" s="43"/>
    </row>
    <row r="618" ht="15.75" spans="1:48">
      <c r="A618" s="12">
        <v>614</v>
      </c>
      <c r="B618" s="44">
        <v>4496</v>
      </c>
      <c r="C618" s="45" t="s">
        <v>133</v>
      </c>
      <c r="D618" s="46" t="s">
        <v>112</v>
      </c>
      <c r="E618" s="47" t="s">
        <v>113</v>
      </c>
      <c r="F618" s="48">
        <v>9.58333333333333</v>
      </c>
      <c r="G618" s="38">
        <v>2.17</v>
      </c>
      <c r="H618" s="39"/>
      <c r="I618" s="39"/>
      <c r="J618" s="39"/>
      <c r="K618" s="39">
        <v>0.67</v>
      </c>
      <c r="L618" s="39"/>
      <c r="M618" s="39"/>
      <c r="N618" s="39"/>
      <c r="O618" s="39"/>
      <c r="P618" s="39"/>
      <c r="Q618" s="39">
        <v>1.33</v>
      </c>
      <c r="R618" s="39"/>
      <c r="S618" s="39"/>
      <c r="T618" s="39"/>
      <c r="U618" s="39">
        <v>0.17</v>
      </c>
      <c r="V618" s="39"/>
      <c r="W618" s="39"/>
      <c r="X618" s="49" t="s">
        <v>220</v>
      </c>
      <c r="Y618" s="50">
        <v>17250</v>
      </c>
      <c r="Z618" s="51">
        <v>15000</v>
      </c>
      <c r="AA618" s="52">
        <f>IFERROR(Z618/Y618,0)</f>
        <v>0.869565217391304</v>
      </c>
      <c r="AB618" s="12">
        <v>15000</v>
      </c>
      <c r="AC618" s="12">
        <v>0</v>
      </c>
      <c r="AD618" s="43"/>
      <c r="AE618" s="43"/>
      <c r="AF618" s="43"/>
      <c r="AG618" s="43"/>
      <c r="AH618" s="43"/>
      <c r="AI618" s="43"/>
      <c r="AJ618" s="43"/>
      <c r="AK618" s="43"/>
      <c r="AL618" s="43"/>
      <c r="AM618" s="43"/>
      <c r="AN618" s="43"/>
      <c r="AO618" s="43"/>
      <c r="AP618" s="43"/>
      <c r="AQ618" s="43"/>
      <c r="AR618" s="43"/>
      <c r="AS618" s="43"/>
      <c r="AT618" s="43"/>
      <c r="AU618" s="43"/>
      <c r="AV618" s="43"/>
    </row>
    <row r="619" ht="15.75" spans="1:48">
      <c r="A619" s="12">
        <v>615</v>
      </c>
      <c r="B619" s="44">
        <v>947</v>
      </c>
      <c r="C619" s="45" t="s">
        <v>143</v>
      </c>
      <c r="D619" s="46">
        <v>18</v>
      </c>
      <c r="E619" s="47" t="s">
        <v>113</v>
      </c>
      <c r="F619" s="48">
        <v>7.66</v>
      </c>
      <c r="G619" s="38">
        <v>2.17</v>
      </c>
      <c r="H619" s="39"/>
      <c r="I619" s="39"/>
      <c r="J619" s="39">
        <v>0.17</v>
      </c>
      <c r="K619" s="39"/>
      <c r="L619" s="39"/>
      <c r="M619" s="39"/>
      <c r="N619" s="39"/>
      <c r="O619" s="39"/>
      <c r="P619" s="39"/>
      <c r="Q619" s="39">
        <v>1.33</v>
      </c>
      <c r="R619" s="39"/>
      <c r="S619" s="39"/>
      <c r="T619" s="39">
        <v>0.5</v>
      </c>
      <c r="U619" s="39">
        <v>0.17</v>
      </c>
      <c r="V619" s="39"/>
      <c r="W619" s="39"/>
      <c r="X619" s="49">
        <v>6270</v>
      </c>
      <c r="Y619" s="50">
        <v>4170.87</v>
      </c>
      <c r="Z619" s="51">
        <v>3780</v>
      </c>
      <c r="AA619" s="52">
        <f>IFERROR(Z619/Y619,0)</f>
        <v>0.906285738946551</v>
      </c>
      <c r="AB619" s="12">
        <v>3646</v>
      </c>
      <c r="AC619" s="12">
        <v>134</v>
      </c>
      <c r="AD619" s="19">
        <v>134</v>
      </c>
      <c r="AE619" s="43"/>
      <c r="AF619" s="43"/>
      <c r="AG619" s="43"/>
      <c r="AH619" s="43"/>
      <c r="AI619" s="43"/>
      <c r="AJ619" s="43"/>
      <c r="AK619" s="43"/>
      <c r="AL619" s="43"/>
      <c r="AM619" s="43"/>
      <c r="AN619" s="43"/>
      <c r="AO619" s="43"/>
      <c r="AP619" s="43"/>
      <c r="AQ619" s="43"/>
      <c r="AR619" s="43"/>
      <c r="AS619" s="43"/>
      <c r="AT619" s="43"/>
      <c r="AU619" s="43"/>
      <c r="AV619" s="43"/>
    </row>
    <row r="620" ht="15.75" spans="1:48">
      <c r="A620" s="12">
        <v>616</v>
      </c>
      <c r="B620" s="44">
        <v>2865</v>
      </c>
      <c r="C620" s="45" t="s">
        <v>149</v>
      </c>
      <c r="D620" s="46">
        <v>15</v>
      </c>
      <c r="E620" s="47" t="s">
        <v>113</v>
      </c>
      <c r="F620" s="48">
        <v>6.83</v>
      </c>
      <c r="G620" s="38">
        <v>2</v>
      </c>
      <c r="H620" s="39"/>
      <c r="I620" s="39"/>
      <c r="J620" s="39"/>
      <c r="K620" s="39"/>
      <c r="L620" s="39"/>
      <c r="M620" s="39"/>
      <c r="N620" s="39"/>
      <c r="O620" s="39"/>
      <c r="P620" s="39"/>
      <c r="Q620" s="39">
        <v>1.33</v>
      </c>
      <c r="R620" s="39"/>
      <c r="S620" s="39"/>
      <c r="T620" s="39">
        <v>0.5</v>
      </c>
      <c r="U620" s="39">
        <v>0.17</v>
      </c>
      <c r="V620" s="39"/>
      <c r="W620" s="39"/>
      <c r="X620" s="49">
        <v>3880</v>
      </c>
      <c r="Y620" s="50">
        <v>2732</v>
      </c>
      <c r="Z620" s="51">
        <v>2640</v>
      </c>
      <c r="AA620" s="52">
        <f>IFERROR(Z620/Y620,0)</f>
        <v>0.966325036603221</v>
      </c>
      <c r="AB620" s="12">
        <v>2494</v>
      </c>
      <c r="AC620" s="12">
        <v>146</v>
      </c>
      <c r="AD620" s="19">
        <v>146</v>
      </c>
      <c r="AE620" s="43"/>
      <c r="AF620" s="43"/>
      <c r="AG620" s="43"/>
      <c r="AH620" s="43"/>
      <c r="AI620" s="43"/>
      <c r="AJ620" s="43"/>
      <c r="AK620" s="43"/>
      <c r="AL620" s="43"/>
      <c r="AM620" s="43"/>
      <c r="AN620" s="43"/>
      <c r="AO620" s="43"/>
      <c r="AP620" s="43"/>
      <c r="AQ620" s="43"/>
      <c r="AR620" s="43"/>
      <c r="AS620" s="43"/>
      <c r="AT620" s="43"/>
      <c r="AU620" s="43"/>
      <c r="AV620" s="43"/>
    </row>
    <row r="621" ht="15.75" spans="1:48">
      <c r="A621" s="12">
        <v>617</v>
      </c>
      <c r="B621" s="44">
        <v>4017</v>
      </c>
      <c r="C621" s="45" t="s">
        <v>148</v>
      </c>
      <c r="D621" s="46">
        <v>3</v>
      </c>
      <c r="E621" s="47" t="s">
        <v>113</v>
      </c>
      <c r="F621" s="48">
        <v>7.67</v>
      </c>
      <c r="G621" s="38">
        <v>1.67</v>
      </c>
      <c r="H621" s="39"/>
      <c r="I621" s="39"/>
      <c r="J621" s="39"/>
      <c r="K621" s="39"/>
      <c r="L621" s="39"/>
      <c r="M621" s="39"/>
      <c r="N621" s="39"/>
      <c r="O621" s="39"/>
      <c r="P621" s="39"/>
      <c r="Q621" s="39">
        <v>1.33</v>
      </c>
      <c r="R621" s="39"/>
      <c r="S621" s="39"/>
      <c r="T621" s="39">
        <v>0.17</v>
      </c>
      <c r="U621" s="39">
        <v>0.17</v>
      </c>
      <c r="V621" s="39"/>
      <c r="W621" s="39"/>
      <c r="X621" s="49">
        <v>9740</v>
      </c>
      <c r="Y621" s="50">
        <v>3221.4</v>
      </c>
      <c r="Z621" s="51">
        <v>3180</v>
      </c>
      <c r="AA621" s="52">
        <f>IFERROR(Z621/Y621,0)</f>
        <v>0.987148444775563</v>
      </c>
      <c r="AB621" s="12">
        <v>3151</v>
      </c>
      <c r="AC621" s="12">
        <v>29</v>
      </c>
      <c r="AD621" s="19">
        <v>29</v>
      </c>
      <c r="AE621" s="43"/>
      <c r="AF621" s="43"/>
      <c r="AG621" s="43"/>
      <c r="AH621" s="43"/>
      <c r="AI621" s="43"/>
      <c r="AJ621" s="43"/>
      <c r="AK621" s="43"/>
      <c r="AL621" s="43"/>
      <c r="AM621" s="43"/>
      <c r="AN621" s="43"/>
      <c r="AO621" s="43"/>
      <c r="AP621" s="43"/>
      <c r="AQ621" s="43"/>
      <c r="AR621" s="43"/>
      <c r="AS621" s="43"/>
      <c r="AT621" s="43"/>
      <c r="AU621" s="43"/>
      <c r="AV621" s="43"/>
    </row>
    <row r="622" ht="15.75" spans="1:48">
      <c r="A622" s="12">
        <v>618</v>
      </c>
      <c r="B622" s="44">
        <v>4384</v>
      </c>
      <c r="C622" s="45" t="s">
        <v>145</v>
      </c>
      <c r="D622" s="46">
        <v>17</v>
      </c>
      <c r="E622" s="47" t="s">
        <v>113</v>
      </c>
      <c r="F622" s="48">
        <v>1.33</v>
      </c>
      <c r="G622" s="38">
        <v>0</v>
      </c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49" t="s">
        <v>96</v>
      </c>
      <c r="Y622" s="50">
        <v>1928.5</v>
      </c>
      <c r="Z622" s="51">
        <v>2000</v>
      </c>
      <c r="AA622" s="52">
        <f>IFERROR(Z622/Y622,0)</f>
        <v>1.03707544723879</v>
      </c>
      <c r="AB622" s="12">
        <v>2000</v>
      </c>
      <c r="AC622" s="12">
        <v>0</v>
      </c>
      <c r="AD622" s="43"/>
      <c r="AE622" s="43"/>
      <c r="AF622" s="43"/>
      <c r="AG622" s="43"/>
      <c r="AH622" s="43"/>
      <c r="AI622" s="43"/>
      <c r="AJ622" s="43"/>
      <c r="AK622" s="43"/>
      <c r="AL622" s="43"/>
      <c r="AM622" s="43"/>
      <c r="AN622" s="43"/>
      <c r="AO622" s="43"/>
      <c r="AP622" s="43"/>
      <c r="AQ622" s="43"/>
      <c r="AR622" s="43"/>
      <c r="AS622" s="43"/>
      <c r="AT622" s="43"/>
      <c r="AU622" s="43"/>
      <c r="AV622" s="43"/>
    </row>
    <row r="623" ht="15.75" spans="1:48">
      <c r="A623" s="12">
        <v>619</v>
      </c>
      <c r="B623" s="44">
        <v>551</v>
      </c>
      <c r="C623" s="45" t="s">
        <v>146</v>
      </c>
      <c r="D623" s="46">
        <v>2</v>
      </c>
      <c r="E623" s="47" t="s">
        <v>113</v>
      </c>
      <c r="F623" s="48">
        <v>4.5</v>
      </c>
      <c r="G623" s="38">
        <v>1.67</v>
      </c>
      <c r="H623" s="39"/>
      <c r="I623" s="39"/>
      <c r="J623" s="39"/>
      <c r="K623" s="39"/>
      <c r="L623" s="39"/>
      <c r="M623" s="39"/>
      <c r="N623" s="39"/>
      <c r="O623" s="39"/>
      <c r="P623" s="39"/>
      <c r="Q623" s="39">
        <v>1.33</v>
      </c>
      <c r="R623" s="39"/>
      <c r="S623" s="39"/>
      <c r="T623" s="39">
        <v>0.17</v>
      </c>
      <c r="U623" s="39">
        <v>0.17</v>
      </c>
      <c r="V623" s="39"/>
      <c r="W623" s="39"/>
      <c r="X623" s="49">
        <v>1080</v>
      </c>
      <c r="Y623" s="50">
        <v>2970</v>
      </c>
      <c r="Z623" s="51">
        <v>3000</v>
      </c>
      <c r="AA623" s="52">
        <f>IFERROR(Z623/Y623,0)</f>
        <v>1.01010101010101</v>
      </c>
      <c r="AB623" s="12">
        <v>2975</v>
      </c>
      <c r="AC623" s="12">
        <v>25</v>
      </c>
      <c r="AD623" s="19">
        <v>25</v>
      </c>
      <c r="AE623" s="43"/>
      <c r="AF623" s="43"/>
      <c r="AG623" s="43"/>
      <c r="AH623" s="43"/>
      <c r="AI623" s="43"/>
      <c r="AJ623" s="43"/>
      <c r="AK623" s="43"/>
      <c r="AL623" s="43"/>
      <c r="AM623" s="43"/>
      <c r="AN623" s="43"/>
      <c r="AO623" s="43"/>
      <c r="AP623" s="43"/>
      <c r="AQ623" s="43"/>
      <c r="AR623" s="43"/>
      <c r="AS623" s="43"/>
      <c r="AT623" s="43"/>
      <c r="AU623" s="43"/>
      <c r="AV623" s="43"/>
    </row>
    <row r="624" ht="15.75" spans="1:48">
      <c r="A624" s="12">
        <v>620</v>
      </c>
      <c r="B624" s="44">
        <v>551</v>
      </c>
      <c r="C624" s="45" t="s">
        <v>146</v>
      </c>
      <c r="D624" s="46">
        <v>14</v>
      </c>
      <c r="E624" s="47" t="s">
        <v>113</v>
      </c>
      <c r="F624" s="48">
        <v>0.83</v>
      </c>
      <c r="G624" s="38">
        <v>0</v>
      </c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49">
        <v>8484</v>
      </c>
      <c r="Y624" s="50">
        <v>448.2</v>
      </c>
      <c r="Z624" s="51">
        <v>400</v>
      </c>
      <c r="AA624" s="52">
        <f>IFERROR(Z624/Y624,0)</f>
        <v>0.892458723784025</v>
      </c>
      <c r="AB624" s="12">
        <v>400</v>
      </c>
      <c r="AC624" s="12">
        <v>0</v>
      </c>
      <c r="AD624" s="43"/>
      <c r="AE624" s="43"/>
      <c r="AF624" s="43"/>
      <c r="AG624" s="43"/>
      <c r="AH624" s="43"/>
      <c r="AI624" s="43"/>
      <c r="AJ624" s="43"/>
      <c r="AK624" s="43"/>
      <c r="AL624" s="43"/>
      <c r="AM624" s="43"/>
      <c r="AN624" s="43"/>
      <c r="AO624" s="43"/>
      <c r="AP624" s="43"/>
      <c r="AQ624" s="43"/>
      <c r="AR624" s="43"/>
      <c r="AS624" s="43"/>
      <c r="AT624" s="43"/>
      <c r="AU624" s="43"/>
      <c r="AV624" s="43"/>
    </row>
    <row r="625" ht="15.75" spans="1:48">
      <c r="A625" s="12">
        <v>621</v>
      </c>
      <c r="B625" s="44">
        <v>4110</v>
      </c>
      <c r="C625" s="45" t="s">
        <v>135</v>
      </c>
      <c r="D625" s="46">
        <v>8</v>
      </c>
      <c r="E625" s="47" t="s">
        <v>113</v>
      </c>
      <c r="F625" s="48">
        <v>9</v>
      </c>
      <c r="G625" s="38">
        <v>3</v>
      </c>
      <c r="H625" s="39"/>
      <c r="I625" s="39"/>
      <c r="J625" s="39"/>
      <c r="K625" s="39"/>
      <c r="L625" s="39"/>
      <c r="M625" s="39"/>
      <c r="N625" s="39"/>
      <c r="O625" s="39"/>
      <c r="P625" s="39"/>
      <c r="Q625" s="39">
        <v>1.33</v>
      </c>
      <c r="R625" s="39"/>
      <c r="S625" s="39"/>
      <c r="T625" s="39">
        <v>1.5</v>
      </c>
      <c r="U625" s="39">
        <v>0.17</v>
      </c>
      <c r="V625" s="39"/>
      <c r="W625" s="39"/>
      <c r="X625" s="49">
        <v>2801</v>
      </c>
      <c r="Y625" s="50">
        <v>5445</v>
      </c>
      <c r="Z625" s="51">
        <v>5360</v>
      </c>
      <c r="AA625" s="52">
        <f>IFERROR(Z625/Y625,0)</f>
        <v>0.984389348025712</v>
      </c>
      <c r="AB625" s="12">
        <v>5054</v>
      </c>
      <c r="AC625" s="12">
        <v>306</v>
      </c>
      <c r="AD625" s="19">
        <v>306</v>
      </c>
      <c r="AE625" s="43"/>
      <c r="AF625" s="43"/>
      <c r="AG625" s="43"/>
      <c r="AH625" s="43"/>
      <c r="AI625" s="43"/>
      <c r="AJ625" s="43"/>
      <c r="AK625" s="43"/>
      <c r="AL625" s="43"/>
      <c r="AM625" s="43"/>
      <c r="AN625" s="43"/>
      <c r="AO625" s="43"/>
      <c r="AP625" s="43"/>
      <c r="AQ625" s="43"/>
      <c r="AR625" s="43"/>
      <c r="AS625" s="43"/>
      <c r="AT625" s="43"/>
      <c r="AU625" s="43"/>
      <c r="AV625" s="43"/>
    </row>
    <row r="626" ht="15.75" spans="1:48">
      <c r="A626" s="12">
        <v>622</v>
      </c>
      <c r="B626" s="44">
        <v>4342</v>
      </c>
      <c r="C626" s="45" t="s">
        <v>147</v>
      </c>
      <c r="D626" s="46"/>
      <c r="E626" s="47" t="s">
        <v>113</v>
      </c>
      <c r="F626" s="48">
        <v>5.83</v>
      </c>
      <c r="G626" s="38">
        <v>1.5</v>
      </c>
      <c r="H626" s="39"/>
      <c r="I626" s="39"/>
      <c r="J626" s="39"/>
      <c r="K626" s="39"/>
      <c r="L626" s="39"/>
      <c r="M626" s="39"/>
      <c r="N626" s="39"/>
      <c r="O626" s="39"/>
      <c r="P626" s="39"/>
      <c r="Q626" s="39">
        <v>1.33</v>
      </c>
      <c r="R626" s="39"/>
      <c r="S626" s="39" t="s">
        <v>240</v>
      </c>
      <c r="T626" s="39"/>
      <c r="U626" s="39">
        <v>0.17</v>
      </c>
      <c r="V626" s="39"/>
      <c r="W626" s="39"/>
      <c r="X626" s="49" t="s">
        <v>98</v>
      </c>
      <c r="Y626" s="50">
        <v>2740.1</v>
      </c>
      <c r="Z626" s="51">
        <v>2520</v>
      </c>
      <c r="AA626" s="52">
        <f>IFERROR(Z626/Y626,0)</f>
        <v>0.919674464435605</v>
      </c>
      <c r="AB626" s="12">
        <v>2520</v>
      </c>
      <c r="AC626" s="12">
        <v>0</v>
      </c>
      <c r="AD626" s="43"/>
      <c r="AE626" s="43"/>
      <c r="AF626" s="43"/>
      <c r="AG626" s="43"/>
      <c r="AH626" s="43"/>
      <c r="AI626" s="43"/>
      <c r="AJ626" s="43"/>
      <c r="AK626" s="43"/>
      <c r="AL626" s="43"/>
      <c r="AM626" s="43"/>
      <c r="AN626" s="43"/>
      <c r="AO626" s="43"/>
      <c r="AP626" s="43"/>
      <c r="AQ626" s="43"/>
      <c r="AR626" s="43"/>
      <c r="AS626" s="43"/>
      <c r="AT626" s="43"/>
      <c r="AU626" s="43"/>
      <c r="AV626" s="43"/>
    </row>
    <row r="627" ht="15.75" spans="1:48">
      <c r="A627" s="12">
        <v>623</v>
      </c>
      <c r="B627" s="44">
        <v>4342</v>
      </c>
      <c r="C627" s="45" t="s">
        <v>147</v>
      </c>
      <c r="D627" s="46"/>
      <c r="E627" s="47" t="s">
        <v>113</v>
      </c>
      <c r="F627" s="48">
        <v>4.67</v>
      </c>
      <c r="G627" s="38">
        <v>0</v>
      </c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49" t="s">
        <v>90</v>
      </c>
      <c r="Y627" s="50">
        <v>2194.9</v>
      </c>
      <c r="Z627" s="51">
        <v>1980</v>
      </c>
      <c r="AA627" s="52">
        <f>IFERROR(Z627/Y627,0)</f>
        <v>0.902091211444713</v>
      </c>
      <c r="AB627" s="12">
        <v>1980</v>
      </c>
      <c r="AC627" s="12">
        <v>0</v>
      </c>
      <c r="AD627" s="43"/>
      <c r="AE627" s="43"/>
      <c r="AF627" s="43"/>
      <c r="AG627" s="43"/>
      <c r="AH627" s="43"/>
      <c r="AI627" s="43"/>
      <c r="AJ627" s="43"/>
      <c r="AK627" s="43"/>
      <c r="AL627" s="43"/>
      <c r="AM627" s="43"/>
      <c r="AN627" s="43"/>
      <c r="AO627" s="43"/>
      <c r="AP627" s="43"/>
      <c r="AQ627" s="43"/>
      <c r="AR627" s="43"/>
      <c r="AS627" s="43"/>
      <c r="AT627" s="43"/>
      <c r="AU627" s="43"/>
      <c r="AV627" s="43"/>
    </row>
    <row r="628" ht="15.75" spans="1:48">
      <c r="A628" s="12">
        <v>624</v>
      </c>
      <c r="B628" s="44">
        <v>692</v>
      </c>
      <c r="C628" s="45" t="s">
        <v>142</v>
      </c>
      <c r="D628" s="46"/>
      <c r="E628" s="47" t="s">
        <v>113</v>
      </c>
      <c r="F628" s="48">
        <v>5.67</v>
      </c>
      <c r="G628" s="38">
        <v>2.33</v>
      </c>
      <c r="H628" s="39"/>
      <c r="I628" s="39"/>
      <c r="J628" s="39"/>
      <c r="K628" s="39"/>
      <c r="L628" s="39"/>
      <c r="M628" s="39"/>
      <c r="N628" s="39"/>
      <c r="O628" s="39"/>
      <c r="P628" s="39"/>
      <c r="Q628" s="39">
        <v>1.33</v>
      </c>
      <c r="R628" s="39"/>
      <c r="S628" s="39">
        <v>0.83</v>
      </c>
      <c r="T628" s="39"/>
      <c r="U628" s="39">
        <v>0.17</v>
      </c>
      <c r="V628" s="39"/>
      <c r="W628" s="39"/>
      <c r="X628" s="49" t="s">
        <v>98</v>
      </c>
      <c r="Y628" s="50">
        <v>2664.9</v>
      </c>
      <c r="Z628" s="51">
        <v>2520</v>
      </c>
      <c r="AA628" s="52">
        <f>IFERROR(Z628/Y628,0)</f>
        <v>0.945626477541371</v>
      </c>
      <c r="AB628" s="12">
        <v>2520</v>
      </c>
      <c r="AC628" s="12">
        <v>0</v>
      </c>
      <c r="AD628" s="43"/>
      <c r="AE628" s="43"/>
      <c r="AF628" s="43"/>
      <c r="AG628" s="43"/>
      <c r="AH628" s="43"/>
      <c r="AI628" s="43"/>
      <c r="AJ628" s="43"/>
      <c r="AK628" s="43"/>
      <c r="AL628" s="43"/>
      <c r="AM628" s="43"/>
      <c r="AN628" s="43"/>
      <c r="AO628" s="43"/>
      <c r="AP628" s="43"/>
      <c r="AQ628" s="43"/>
      <c r="AR628" s="43"/>
      <c r="AS628" s="43"/>
      <c r="AT628" s="43"/>
      <c r="AU628" s="43"/>
      <c r="AV628" s="43"/>
    </row>
    <row r="629" ht="15.75" spans="1:48">
      <c r="A629" s="12">
        <v>625</v>
      </c>
      <c r="B629" s="44">
        <v>692</v>
      </c>
      <c r="C629" s="45" t="s">
        <v>142</v>
      </c>
      <c r="D629" s="46"/>
      <c r="E629" s="47" t="s">
        <v>113</v>
      </c>
      <c r="F629" s="48">
        <v>4</v>
      </c>
      <c r="G629" s="38">
        <v>0</v>
      </c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49" t="s">
        <v>90</v>
      </c>
      <c r="Y629" s="50">
        <v>1880</v>
      </c>
      <c r="Z629" s="51">
        <v>1800</v>
      </c>
      <c r="AA629" s="52">
        <f>IFERROR(Z629/Y629,0)</f>
        <v>0.957446808510638</v>
      </c>
      <c r="AB629" s="12">
        <v>1800</v>
      </c>
      <c r="AC629" s="12">
        <v>0</v>
      </c>
      <c r="AD629" s="43"/>
      <c r="AE629" s="43"/>
      <c r="AF629" s="43"/>
      <c r="AG629" s="43"/>
      <c r="AH629" s="43"/>
      <c r="AI629" s="43"/>
      <c r="AJ629" s="43"/>
      <c r="AK629" s="43"/>
      <c r="AL629" s="43"/>
      <c r="AM629" s="43"/>
      <c r="AN629" s="43"/>
      <c r="AO629" s="43"/>
      <c r="AP629" s="43"/>
      <c r="AQ629" s="43"/>
      <c r="AR629" s="43"/>
      <c r="AS629" s="43"/>
      <c r="AT629" s="43"/>
      <c r="AU629" s="43"/>
      <c r="AV629" s="43"/>
    </row>
    <row r="630" ht="15.75" spans="1:48">
      <c r="A630" s="12">
        <v>626</v>
      </c>
      <c r="B630" s="44">
        <v>4335</v>
      </c>
      <c r="C630" s="45" t="s">
        <v>154</v>
      </c>
      <c r="D630" s="46"/>
      <c r="E630" s="47" t="s">
        <v>113</v>
      </c>
      <c r="F630" s="48">
        <v>3</v>
      </c>
      <c r="G630" s="38">
        <v>1.5</v>
      </c>
      <c r="H630" s="39"/>
      <c r="I630" s="39"/>
      <c r="J630" s="39"/>
      <c r="K630" s="39"/>
      <c r="L630" s="39"/>
      <c r="M630" s="39"/>
      <c r="N630" s="39"/>
      <c r="O630" s="39"/>
      <c r="P630" s="39"/>
      <c r="Q630" s="39">
        <v>1.33</v>
      </c>
      <c r="R630" s="39"/>
      <c r="S630" s="39"/>
      <c r="T630" s="39">
        <v>0.17</v>
      </c>
      <c r="U630" s="39"/>
      <c r="V630" s="39"/>
      <c r="W630" s="39"/>
      <c r="X630" s="49">
        <v>1660</v>
      </c>
      <c r="Y630" s="50">
        <v>270</v>
      </c>
      <c r="Z630" s="51">
        <v>248</v>
      </c>
      <c r="AA630" s="52">
        <f>IFERROR(Z630/Y630,0)</f>
        <v>0.918518518518519</v>
      </c>
      <c r="AB630" s="12">
        <v>222</v>
      </c>
      <c r="AC630" s="12">
        <v>26</v>
      </c>
      <c r="AD630" s="19">
        <v>26</v>
      </c>
      <c r="AE630" s="43"/>
      <c r="AF630" s="43"/>
      <c r="AG630" s="43"/>
      <c r="AH630" s="43"/>
      <c r="AI630" s="43"/>
      <c r="AJ630" s="43"/>
      <c r="AK630" s="43"/>
      <c r="AL630" s="43"/>
      <c r="AM630" s="43"/>
      <c r="AN630" s="43"/>
      <c r="AO630" s="43"/>
      <c r="AP630" s="43"/>
      <c r="AQ630" s="43"/>
      <c r="AR630" s="43"/>
      <c r="AS630" s="43"/>
      <c r="AT630" s="43"/>
      <c r="AU630" s="43"/>
      <c r="AV630" s="43"/>
    </row>
    <row r="631" ht="15.75" spans="1:48">
      <c r="A631" s="12">
        <v>627</v>
      </c>
      <c r="B631" s="44">
        <v>4335</v>
      </c>
      <c r="C631" s="45" t="s">
        <v>154</v>
      </c>
      <c r="D631" s="46"/>
      <c r="E631" s="47" t="s">
        <v>113</v>
      </c>
      <c r="F631" s="48">
        <v>2</v>
      </c>
      <c r="G631" s="38">
        <v>0.5</v>
      </c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>
        <v>0.33</v>
      </c>
      <c r="U631" s="39">
        <v>0.17</v>
      </c>
      <c r="V631" s="39"/>
      <c r="W631" s="39"/>
      <c r="X631" s="49">
        <v>8052</v>
      </c>
      <c r="Y631" s="50">
        <v>72</v>
      </c>
      <c r="Z631" s="51">
        <v>77</v>
      </c>
      <c r="AA631" s="52">
        <f>IFERROR(Z631/Y631,0)</f>
        <v>1.06944444444444</v>
      </c>
      <c r="AB631" s="12">
        <v>38</v>
      </c>
      <c r="AC631" s="12">
        <v>39</v>
      </c>
      <c r="AD631" s="19">
        <v>39</v>
      </c>
      <c r="AE631" s="43"/>
      <c r="AF631" s="43"/>
      <c r="AG631" s="43"/>
      <c r="AH631" s="43"/>
      <c r="AI631" s="43"/>
      <c r="AJ631" s="43"/>
      <c r="AK631" s="43"/>
      <c r="AL631" s="43"/>
      <c r="AM631" s="43"/>
      <c r="AN631" s="43"/>
      <c r="AO631" s="43"/>
      <c r="AP631" s="43"/>
      <c r="AQ631" s="43"/>
      <c r="AR631" s="43"/>
      <c r="AS631" s="43"/>
      <c r="AT631" s="43"/>
      <c r="AU631" s="43"/>
      <c r="AV631" s="43"/>
    </row>
    <row r="632" ht="15.75" spans="1:48">
      <c r="A632" s="12">
        <v>628</v>
      </c>
      <c r="B632" s="44">
        <v>4335</v>
      </c>
      <c r="C632" s="45" t="s">
        <v>154</v>
      </c>
      <c r="D632" s="46"/>
      <c r="E632" s="47" t="s">
        <v>113</v>
      </c>
      <c r="F632" s="48">
        <v>4</v>
      </c>
      <c r="G632" s="38">
        <v>0</v>
      </c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49" t="s">
        <v>241</v>
      </c>
      <c r="Y632" s="50">
        <v>0</v>
      </c>
      <c r="Z632" s="51"/>
      <c r="AA632" s="52">
        <f>IFERROR(Z632/Y632,0)</f>
        <v>0</v>
      </c>
      <c r="AB632" s="12">
        <v>0</v>
      </c>
      <c r="AC632" s="12">
        <v>0</v>
      </c>
      <c r="AD632" s="43"/>
      <c r="AE632" s="43"/>
      <c r="AF632" s="43"/>
      <c r="AG632" s="43"/>
      <c r="AH632" s="43"/>
      <c r="AI632" s="43"/>
      <c r="AJ632" s="43"/>
      <c r="AK632" s="43"/>
      <c r="AL632" s="43"/>
      <c r="AM632" s="43"/>
      <c r="AN632" s="43"/>
      <c r="AO632" s="43"/>
      <c r="AP632" s="43"/>
      <c r="AQ632" s="43"/>
      <c r="AR632" s="43"/>
      <c r="AS632" s="43"/>
      <c r="AT632" s="43"/>
      <c r="AU632" s="43"/>
      <c r="AV632" s="43"/>
    </row>
    <row r="633" ht="15.75" spans="1:48">
      <c r="A633" s="12">
        <v>629</v>
      </c>
      <c r="B633" s="44">
        <v>977</v>
      </c>
      <c r="C633" s="45" t="s">
        <v>141</v>
      </c>
      <c r="D633" s="46">
        <v>17</v>
      </c>
      <c r="E633" s="47" t="s">
        <v>113</v>
      </c>
      <c r="F633" s="48">
        <v>8.5</v>
      </c>
      <c r="G633" s="38">
        <v>1.5</v>
      </c>
      <c r="H633" s="39"/>
      <c r="I633" s="39"/>
      <c r="J633" s="39"/>
      <c r="K633" s="39"/>
      <c r="L633" s="39"/>
      <c r="M633" s="39"/>
      <c r="N633" s="39"/>
      <c r="O633" s="39"/>
      <c r="P633" s="39"/>
      <c r="Q633" s="39">
        <v>1.33</v>
      </c>
      <c r="R633" s="39"/>
      <c r="S633" s="39"/>
      <c r="T633" s="39"/>
      <c r="U633" s="39">
        <v>0.17</v>
      </c>
      <c r="V633" s="39"/>
      <c r="W633" s="39"/>
      <c r="X633" s="49" t="s">
        <v>96</v>
      </c>
      <c r="Y633" s="50">
        <v>10476.25</v>
      </c>
      <c r="Z633" s="51">
        <v>6500</v>
      </c>
      <c r="AA633" s="52">
        <f>IFERROR(Z633/Y633,0)</f>
        <v>0.620451020164658</v>
      </c>
      <c r="AB633" s="12">
        <v>6500</v>
      </c>
      <c r="AC633" s="12">
        <v>0</v>
      </c>
      <c r="AD633" s="43"/>
      <c r="AE633" s="43"/>
      <c r="AF633" s="43"/>
      <c r="AG633" s="43"/>
      <c r="AH633" s="43"/>
      <c r="AI633" s="43"/>
      <c r="AJ633" s="43"/>
      <c r="AK633" s="43"/>
      <c r="AL633" s="43"/>
      <c r="AM633" s="43"/>
      <c r="AN633" s="43"/>
      <c r="AO633" s="43"/>
      <c r="AP633" s="43"/>
      <c r="AQ633" s="43"/>
      <c r="AR633" s="43"/>
      <c r="AS633" s="43"/>
      <c r="AT633" s="43"/>
      <c r="AU633" s="43"/>
      <c r="AV633" s="43"/>
    </row>
    <row r="634" ht="15.75" spans="1:48">
      <c r="A634" s="12">
        <v>630</v>
      </c>
      <c r="B634" s="44">
        <v>977</v>
      </c>
      <c r="C634" s="45" t="s">
        <v>141</v>
      </c>
      <c r="D634" s="46">
        <v>7</v>
      </c>
      <c r="E634" s="47" t="s">
        <v>113</v>
      </c>
      <c r="F634" s="48">
        <v>2</v>
      </c>
      <c r="G634" s="38">
        <v>0</v>
      </c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49" t="s">
        <v>95</v>
      </c>
      <c r="Y634" s="50">
        <v>2380</v>
      </c>
      <c r="Z634" s="51">
        <v>1400</v>
      </c>
      <c r="AA634" s="52">
        <f>IFERROR(Z634/Y634,0)</f>
        <v>0.588235294117647</v>
      </c>
      <c r="AB634" s="12">
        <v>1400</v>
      </c>
      <c r="AC634" s="12">
        <v>0</v>
      </c>
      <c r="AD634" s="43"/>
      <c r="AE634" s="43"/>
      <c r="AF634" s="43"/>
      <c r="AG634" s="43"/>
      <c r="AH634" s="43"/>
      <c r="AI634" s="43"/>
      <c r="AJ634" s="43"/>
      <c r="AK634" s="43"/>
      <c r="AL634" s="43"/>
      <c r="AM634" s="43"/>
      <c r="AN634" s="43"/>
      <c r="AO634" s="43"/>
      <c r="AP634" s="43"/>
      <c r="AQ634" s="43"/>
      <c r="AR634" s="43"/>
      <c r="AS634" s="43"/>
      <c r="AT634" s="43"/>
      <c r="AU634" s="43"/>
      <c r="AV634" s="43"/>
    </row>
    <row r="635" ht="15.75" spans="1:48">
      <c r="A635" s="12">
        <v>631</v>
      </c>
      <c r="B635" s="44">
        <v>4384</v>
      </c>
      <c r="C635" s="45" t="s">
        <v>145</v>
      </c>
      <c r="D635" s="46">
        <v>5</v>
      </c>
      <c r="E635" s="47" t="s">
        <v>113</v>
      </c>
      <c r="F635" s="48">
        <v>9</v>
      </c>
      <c r="G635" s="38">
        <v>1.67</v>
      </c>
      <c r="H635" s="39"/>
      <c r="I635" s="39"/>
      <c r="J635" s="39"/>
      <c r="K635" s="39"/>
      <c r="L635" s="39"/>
      <c r="M635" s="39"/>
      <c r="N635" s="39"/>
      <c r="O635" s="39"/>
      <c r="P635" s="39"/>
      <c r="Q635" s="39">
        <v>1.33</v>
      </c>
      <c r="R635" s="39"/>
      <c r="S635" s="39"/>
      <c r="T635" s="39">
        <v>0.17</v>
      </c>
      <c r="U635" s="39">
        <v>0.17</v>
      </c>
      <c r="V635" s="39"/>
      <c r="W635" s="39"/>
      <c r="X635" s="49">
        <v>5770</v>
      </c>
      <c r="Y635" s="50">
        <v>5445</v>
      </c>
      <c r="Z635" s="51">
        <v>5478</v>
      </c>
      <c r="AA635" s="52">
        <f>IFERROR(Z635/Y635,0)</f>
        <v>1.00606060606061</v>
      </c>
      <c r="AB635" s="12">
        <v>5451</v>
      </c>
      <c r="AC635" s="12">
        <v>27</v>
      </c>
      <c r="AD635" s="19">
        <v>27</v>
      </c>
      <c r="AE635" s="43"/>
      <c r="AF635" s="43"/>
      <c r="AG635" s="43"/>
      <c r="AH635" s="43"/>
      <c r="AI635" s="43"/>
      <c r="AJ635" s="43"/>
      <c r="AK635" s="43"/>
      <c r="AL635" s="43"/>
      <c r="AM635" s="43"/>
      <c r="AN635" s="43"/>
      <c r="AO635" s="43"/>
      <c r="AP635" s="43"/>
      <c r="AQ635" s="43"/>
      <c r="AR635" s="43"/>
      <c r="AS635" s="43"/>
      <c r="AT635" s="43"/>
      <c r="AU635" s="43"/>
      <c r="AV635" s="43"/>
    </row>
    <row r="636" ht="15.75" spans="1:48">
      <c r="A636" s="12">
        <v>632</v>
      </c>
      <c r="B636" s="44">
        <v>4335</v>
      </c>
      <c r="C636" s="45" t="s">
        <v>154</v>
      </c>
      <c r="D636" s="46"/>
      <c r="E636" s="47" t="s">
        <v>113</v>
      </c>
      <c r="F636" s="48">
        <v>1</v>
      </c>
      <c r="G636" s="38">
        <v>0</v>
      </c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49" t="s">
        <v>103</v>
      </c>
      <c r="Y636" s="50">
        <v>840</v>
      </c>
      <c r="Z636" s="51">
        <v>840</v>
      </c>
      <c r="AA636" s="52">
        <f>IFERROR(Z636/Y636,0)</f>
        <v>1</v>
      </c>
      <c r="AB636" s="12">
        <v>840</v>
      </c>
      <c r="AC636" s="12">
        <v>0</v>
      </c>
      <c r="AD636" s="43"/>
      <c r="AE636" s="43"/>
      <c r="AF636" s="43"/>
      <c r="AG636" s="43"/>
      <c r="AH636" s="43"/>
      <c r="AI636" s="43"/>
      <c r="AJ636" s="43"/>
      <c r="AK636" s="43"/>
      <c r="AL636" s="43"/>
      <c r="AM636" s="43"/>
      <c r="AN636" s="43"/>
      <c r="AO636" s="43"/>
      <c r="AP636" s="43"/>
      <c r="AQ636" s="43"/>
      <c r="AR636" s="43"/>
      <c r="AS636" s="43"/>
      <c r="AT636" s="43"/>
      <c r="AU636" s="43"/>
      <c r="AV636" s="43"/>
    </row>
    <row r="637" ht="15.75" spans="1:48">
      <c r="A637" s="12">
        <v>633</v>
      </c>
      <c r="B637" s="44">
        <v>947</v>
      </c>
      <c r="C637" s="45" t="s">
        <v>143</v>
      </c>
      <c r="D637" s="46"/>
      <c r="E637" s="47" t="s">
        <v>113</v>
      </c>
      <c r="F637" s="48">
        <v>2.17</v>
      </c>
      <c r="G637" s="38">
        <v>0</v>
      </c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49" t="s">
        <v>103</v>
      </c>
      <c r="Y637" s="50">
        <v>1640.52</v>
      </c>
      <c r="Z637" s="51">
        <v>1560</v>
      </c>
      <c r="AA637" s="52">
        <f>IFERROR(Z637/Y637,0)</f>
        <v>0.950918001609246</v>
      </c>
      <c r="AB637" s="12">
        <v>1560</v>
      </c>
      <c r="AC637" s="12">
        <v>0</v>
      </c>
      <c r="AD637" s="43"/>
      <c r="AE637" s="43"/>
      <c r="AF637" s="43"/>
      <c r="AG637" s="43"/>
      <c r="AH637" s="43"/>
      <c r="AI637" s="43"/>
      <c r="AJ637" s="43"/>
      <c r="AK637" s="43"/>
      <c r="AL637" s="43"/>
      <c r="AM637" s="43"/>
      <c r="AN637" s="43"/>
      <c r="AO637" s="43"/>
      <c r="AP637" s="43"/>
      <c r="AQ637" s="43"/>
      <c r="AR637" s="43"/>
      <c r="AS637" s="43"/>
      <c r="AT637" s="43"/>
      <c r="AU637" s="43"/>
      <c r="AV637" s="43"/>
    </row>
    <row r="638" ht="15.75" spans="1:48">
      <c r="A638" s="12">
        <v>634</v>
      </c>
      <c r="B638" s="44">
        <v>1733</v>
      </c>
      <c r="C638" s="45" t="s">
        <v>153</v>
      </c>
      <c r="D638" s="46"/>
      <c r="E638" s="47" t="s">
        <v>113</v>
      </c>
      <c r="F638" s="48">
        <v>10.67</v>
      </c>
      <c r="G638" s="38">
        <v>1.33</v>
      </c>
      <c r="H638" s="39"/>
      <c r="I638" s="39"/>
      <c r="J638" s="39"/>
      <c r="K638" s="39"/>
      <c r="L638" s="39"/>
      <c r="M638" s="39"/>
      <c r="N638" s="39"/>
      <c r="O638" s="39"/>
      <c r="P638" s="39"/>
      <c r="Q638" s="39">
        <v>1.33</v>
      </c>
      <c r="R638" s="39"/>
      <c r="S638" s="39"/>
      <c r="T638" s="39"/>
      <c r="U638" s="39"/>
      <c r="V638" s="39"/>
      <c r="W638" s="39"/>
      <c r="X638" s="49" t="s">
        <v>103</v>
      </c>
      <c r="Y638" s="50">
        <v>8962.8</v>
      </c>
      <c r="Z638" s="51">
        <v>7878</v>
      </c>
      <c r="AA638" s="52">
        <f>IFERROR(Z638/Y638,0)</f>
        <v>0.878966394430312</v>
      </c>
      <c r="AB638" s="12">
        <v>7878</v>
      </c>
      <c r="AC638" s="12">
        <v>0</v>
      </c>
      <c r="AD638" s="43"/>
      <c r="AE638" s="43"/>
      <c r="AF638" s="43"/>
      <c r="AG638" s="43"/>
      <c r="AH638" s="43"/>
      <c r="AI638" s="43"/>
      <c r="AJ638" s="43"/>
      <c r="AK638" s="43"/>
      <c r="AL638" s="43"/>
      <c r="AM638" s="43"/>
      <c r="AN638" s="43"/>
      <c r="AO638" s="43"/>
      <c r="AP638" s="43"/>
      <c r="AQ638" s="43"/>
      <c r="AR638" s="43"/>
      <c r="AS638" s="43"/>
      <c r="AT638" s="43"/>
      <c r="AU638" s="43"/>
      <c r="AV638" s="43"/>
    </row>
    <row r="639" ht="15.75" spans="1:48">
      <c r="A639" s="12">
        <v>635</v>
      </c>
      <c r="B639" s="53">
        <v>2865</v>
      </c>
      <c r="C639" s="45" t="s">
        <v>149</v>
      </c>
      <c r="D639" s="46"/>
      <c r="E639" s="47" t="s">
        <v>113</v>
      </c>
      <c r="F639" s="48">
        <v>3.17</v>
      </c>
      <c r="G639" s="38">
        <v>0</v>
      </c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49" t="s">
        <v>103</v>
      </c>
      <c r="Y639" s="50">
        <v>2662.8</v>
      </c>
      <c r="Z639" s="51">
        <v>2640</v>
      </c>
      <c r="AA639" s="52">
        <f>IFERROR(Z639/Y639,0)</f>
        <v>0.991437584497521</v>
      </c>
      <c r="AB639" s="12">
        <v>2640</v>
      </c>
      <c r="AC639" s="12">
        <v>0</v>
      </c>
      <c r="AD639" s="43"/>
      <c r="AE639" s="43"/>
      <c r="AF639" s="43"/>
      <c r="AG639" s="43"/>
      <c r="AH639" s="43"/>
      <c r="AI639" s="43"/>
      <c r="AJ639" s="43"/>
      <c r="AK639" s="43"/>
      <c r="AL639" s="43"/>
      <c r="AM639" s="43"/>
      <c r="AN639" s="43"/>
      <c r="AO639" s="43"/>
      <c r="AP639" s="43"/>
      <c r="AQ639" s="43"/>
      <c r="AR639" s="43"/>
      <c r="AS639" s="43"/>
      <c r="AT639" s="43"/>
      <c r="AU639" s="43"/>
      <c r="AV639" s="43"/>
    </row>
    <row r="640" ht="15.75" spans="1:48">
      <c r="A640" s="12">
        <v>636</v>
      </c>
      <c r="B640" s="53">
        <v>4017</v>
      </c>
      <c r="C640" s="45" t="s">
        <v>148</v>
      </c>
      <c r="D640" s="46"/>
      <c r="E640" s="47" t="s">
        <v>113</v>
      </c>
      <c r="F640" s="48">
        <v>2.67</v>
      </c>
      <c r="G640" s="38">
        <v>0</v>
      </c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49">
        <v>9740</v>
      </c>
      <c r="Y640" s="50">
        <v>1121.4</v>
      </c>
      <c r="Z640" s="51">
        <v>2220</v>
      </c>
      <c r="AA640" s="52">
        <f>IFERROR(Z640/Y640,0)</f>
        <v>1.9796682718031</v>
      </c>
      <c r="AB640" s="12">
        <v>2220</v>
      </c>
      <c r="AC640" s="12">
        <v>0</v>
      </c>
      <c r="AD640" s="43"/>
      <c r="AE640" s="43"/>
      <c r="AF640" s="43"/>
      <c r="AG640" s="43"/>
      <c r="AH640" s="43"/>
      <c r="AI640" s="43"/>
      <c r="AJ640" s="43"/>
      <c r="AK640" s="43"/>
      <c r="AL640" s="43"/>
      <c r="AM640" s="43"/>
      <c r="AN640" s="43"/>
      <c r="AO640" s="43"/>
      <c r="AP640" s="43"/>
      <c r="AQ640" s="43"/>
      <c r="AR640" s="43"/>
      <c r="AS640" s="43"/>
      <c r="AT640" s="43"/>
      <c r="AU640" s="43"/>
      <c r="AV640" s="43"/>
    </row>
    <row r="641" ht="15.75" spans="1:48">
      <c r="A641" s="12">
        <v>637</v>
      </c>
      <c r="B641" s="53">
        <v>551</v>
      </c>
      <c r="C641" s="45" t="s">
        <v>146</v>
      </c>
      <c r="D641" s="46"/>
      <c r="E641" s="47" t="s">
        <v>113</v>
      </c>
      <c r="F641" s="48">
        <v>5</v>
      </c>
      <c r="G641" s="38">
        <v>0</v>
      </c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49" t="s">
        <v>105</v>
      </c>
      <c r="Y641" s="50">
        <v>3300</v>
      </c>
      <c r="Z641" s="51">
        <v>3400</v>
      </c>
      <c r="AA641" s="52">
        <f>IFERROR(Z641/Y641,0)</f>
        <v>1.03030303030303</v>
      </c>
      <c r="AB641" s="12">
        <v>3400</v>
      </c>
      <c r="AC641" s="12">
        <v>0</v>
      </c>
      <c r="AD641" s="43"/>
      <c r="AE641" s="43"/>
      <c r="AF641" s="43"/>
      <c r="AG641" s="43"/>
      <c r="AH641" s="43"/>
      <c r="AI641" s="43"/>
      <c r="AJ641" s="43"/>
      <c r="AK641" s="43"/>
      <c r="AL641" s="43"/>
      <c r="AM641" s="43"/>
      <c r="AN641" s="43"/>
      <c r="AO641" s="43"/>
      <c r="AP641" s="43"/>
      <c r="AQ641" s="43"/>
      <c r="AR641" s="43"/>
      <c r="AS641" s="43"/>
      <c r="AT641" s="43"/>
      <c r="AU641" s="43"/>
      <c r="AV641" s="43"/>
    </row>
    <row r="642" ht="15.75" spans="1:48">
      <c r="A642" s="12">
        <v>638</v>
      </c>
      <c r="B642" s="44">
        <v>666</v>
      </c>
      <c r="C642" s="45" t="s">
        <v>151</v>
      </c>
      <c r="D642" s="46"/>
      <c r="E642" s="47" t="s">
        <v>113</v>
      </c>
      <c r="F642" s="48">
        <v>3.84</v>
      </c>
      <c r="G642" s="38">
        <v>1.83</v>
      </c>
      <c r="H642" s="39"/>
      <c r="I642" s="39"/>
      <c r="J642" s="39"/>
      <c r="K642" s="39"/>
      <c r="L642" s="39"/>
      <c r="M642" s="39"/>
      <c r="N642" s="39"/>
      <c r="O642" s="39"/>
      <c r="P642" s="39"/>
      <c r="Q642" s="39">
        <v>1.33</v>
      </c>
      <c r="R642" s="39"/>
      <c r="S642" s="39">
        <v>0.33</v>
      </c>
      <c r="T642" s="39"/>
      <c r="U642" s="39">
        <v>0.17</v>
      </c>
      <c r="V642" s="39"/>
      <c r="W642" s="39"/>
      <c r="X642" s="49" t="s">
        <v>101</v>
      </c>
      <c r="Y642" s="50">
        <v>7372.8</v>
      </c>
      <c r="Z642" s="51">
        <v>5760</v>
      </c>
      <c r="AA642" s="52">
        <f>IFERROR(Z642/Y642,0)</f>
        <v>0.78125</v>
      </c>
      <c r="AB642" s="12">
        <v>5760</v>
      </c>
      <c r="AC642" s="12">
        <v>0</v>
      </c>
      <c r="AD642" s="43"/>
      <c r="AE642" s="43"/>
      <c r="AF642" s="43"/>
      <c r="AG642" s="43"/>
      <c r="AH642" s="43"/>
      <c r="AI642" s="43"/>
      <c r="AJ642" s="43"/>
      <c r="AK642" s="43"/>
      <c r="AL642" s="43"/>
      <c r="AM642" s="43"/>
      <c r="AN642" s="43"/>
      <c r="AO642" s="43"/>
      <c r="AP642" s="43"/>
      <c r="AQ642" s="43"/>
      <c r="AR642" s="43"/>
      <c r="AS642" s="43"/>
      <c r="AT642" s="43"/>
      <c r="AU642" s="43"/>
      <c r="AV642" s="43"/>
    </row>
    <row r="643" ht="15.75" spans="1:48">
      <c r="A643" s="12">
        <v>639</v>
      </c>
      <c r="B643" s="44">
        <v>666</v>
      </c>
      <c r="C643" s="45" t="s">
        <v>151</v>
      </c>
      <c r="D643" s="46"/>
      <c r="E643" s="47" t="s">
        <v>113</v>
      </c>
      <c r="F643" s="48">
        <v>2.5</v>
      </c>
      <c r="G643" s="38">
        <v>0</v>
      </c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49" t="s">
        <v>100</v>
      </c>
      <c r="Y643" s="50">
        <v>4800</v>
      </c>
      <c r="Z643" s="51">
        <v>3780</v>
      </c>
      <c r="AA643" s="52">
        <f>IFERROR(Z643/Y643,0)</f>
        <v>0.7875</v>
      </c>
      <c r="AB643" s="12">
        <v>3780</v>
      </c>
      <c r="AC643" s="12">
        <v>0</v>
      </c>
      <c r="AD643" s="43"/>
      <c r="AE643" s="43"/>
      <c r="AF643" s="43"/>
      <c r="AG643" s="43"/>
      <c r="AH643" s="43"/>
      <c r="AI643" s="43"/>
      <c r="AJ643" s="43"/>
      <c r="AK643" s="43"/>
      <c r="AL643" s="43"/>
      <c r="AM643" s="43"/>
      <c r="AN643" s="43"/>
      <c r="AO643" s="43"/>
      <c r="AP643" s="43"/>
      <c r="AQ643" s="43"/>
      <c r="AR643" s="43"/>
      <c r="AS643" s="43"/>
      <c r="AT643" s="43"/>
      <c r="AU643" s="43"/>
      <c r="AV643" s="43"/>
    </row>
    <row r="644" ht="15.75" spans="1:48">
      <c r="A644" s="12">
        <v>640</v>
      </c>
      <c r="B644" s="44">
        <v>666</v>
      </c>
      <c r="C644" s="45" t="s">
        <v>151</v>
      </c>
      <c r="D644" s="46"/>
      <c r="E644" s="47" t="s">
        <v>113</v>
      </c>
      <c r="F644" s="48">
        <v>3.83</v>
      </c>
      <c r="G644" s="38">
        <v>0</v>
      </c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49" t="s">
        <v>102</v>
      </c>
      <c r="Y644" s="50">
        <v>17235</v>
      </c>
      <c r="Z644" s="51">
        <v>13500</v>
      </c>
      <c r="AA644" s="52">
        <f>IFERROR(Z644/Y644,0)</f>
        <v>0.783289817232376</v>
      </c>
      <c r="AB644" s="12">
        <v>13500</v>
      </c>
      <c r="AC644" s="12">
        <v>0</v>
      </c>
      <c r="AD644" s="43"/>
      <c r="AE644" s="43"/>
      <c r="AF644" s="43"/>
      <c r="AG644" s="43"/>
      <c r="AH644" s="43"/>
      <c r="AI644" s="43"/>
      <c r="AJ644" s="43"/>
      <c r="AK644" s="43"/>
      <c r="AL644" s="43"/>
      <c r="AM644" s="43"/>
      <c r="AN644" s="43"/>
      <c r="AO644" s="43"/>
      <c r="AP644" s="43"/>
      <c r="AQ644" s="43"/>
      <c r="AR644" s="43"/>
      <c r="AS644" s="43"/>
      <c r="AT644" s="43"/>
      <c r="AU644" s="43"/>
      <c r="AV644" s="43"/>
    </row>
    <row r="645" ht="15.75" spans="1:48">
      <c r="A645" s="12">
        <v>641</v>
      </c>
      <c r="B645" s="44">
        <v>848</v>
      </c>
      <c r="C645" s="45" t="s">
        <v>150</v>
      </c>
      <c r="D645" s="46"/>
      <c r="E645" s="47" t="s">
        <v>113</v>
      </c>
      <c r="F645" s="48">
        <v>10.67</v>
      </c>
      <c r="G645" s="38">
        <v>1.33</v>
      </c>
      <c r="H645" s="39"/>
      <c r="I645" s="39"/>
      <c r="J645" s="39"/>
      <c r="K645" s="39"/>
      <c r="L645" s="39"/>
      <c r="M645" s="39"/>
      <c r="N645" s="39"/>
      <c r="O645" s="39"/>
      <c r="P645" s="39"/>
      <c r="Q645" s="39">
        <v>1.33</v>
      </c>
      <c r="R645" s="39"/>
      <c r="S645" s="39"/>
      <c r="T645" s="39"/>
      <c r="U645" s="39"/>
      <c r="V645" s="39"/>
      <c r="W645" s="39"/>
      <c r="X645" s="49" t="s">
        <v>103</v>
      </c>
      <c r="Y645" s="50">
        <v>7618.38</v>
      </c>
      <c r="Z645" s="51">
        <v>7340</v>
      </c>
      <c r="AA645" s="52">
        <f>IFERROR(Z645/Y645,0)</f>
        <v>0.963459423131952</v>
      </c>
      <c r="AB645" s="12">
        <v>7340</v>
      </c>
      <c r="AC645" s="12">
        <v>0</v>
      </c>
      <c r="AD645" s="43"/>
      <c r="AE645" s="43"/>
      <c r="AF645" s="43"/>
      <c r="AG645" s="43"/>
      <c r="AH645" s="43"/>
      <c r="AI645" s="43"/>
      <c r="AJ645" s="43"/>
      <c r="AK645" s="43"/>
      <c r="AL645" s="43"/>
      <c r="AM645" s="43"/>
      <c r="AN645" s="43"/>
      <c r="AO645" s="43"/>
      <c r="AP645" s="43"/>
      <c r="AQ645" s="43"/>
      <c r="AR645" s="43"/>
      <c r="AS645" s="43"/>
      <c r="AT645" s="43"/>
      <c r="AU645" s="43"/>
      <c r="AV645" s="43"/>
    </row>
    <row r="646" ht="15.75" spans="1:48">
      <c r="A646" s="12">
        <v>642</v>
      </c>
      <c r="B646" s="44">
        <v>4344</v>
      </c>
      <c r="C646" s="45" t="s">
        <v>85</v>
      </c>
      <c r="D646" s="46" t="s">
        <v>138</v>
      </c>
      <c r="E646" s="47" t="s">
        <v>50</v>
      </c>
      <c r="F646" s="48">
        <v>10.17</v>
      </c>
      <c r="G646" s="38">
        <v>1.84</v>
      </c>
      <c r="H646" s="39"/>
      <c r="I646" s="39"/>
      <c r="J646" s="39"/>
      <c r="K646" s="39">
        <v>0.5</v>
      </c>
      <c r="L646" s="39"/>
      <c r="M646" s="39"/>
      <c r="N646" s="39"/>
      <c r="O646" s="39"/>
      <c r="P646" s="39"/>
      <c r="Q646" s="39">
        <v>1.17</v>
      </c>
      <c r="R646" s="39"/>
      <c r="S646" s="39"/>
      <c r="T646" s="39"/>
      <c r="U646" s="39">
        <v>0.17</v>
      </c>
      <c r="V646" s="39"/>
      <c r="W646" s="39"/>
      <c r="X646" s="49" t="s">
        <v>82</v>
      </c>
      <c r="Y646" s="50">
        <v>16526.25</v>
      </c>
      <c r="Z646" s="51">
        <v>16140</v>
      </c>
      <c r="AA646" s="52">
        <f>IFERROR(Z646/Y646,0)</f>
        <v>0.976628091672339</v>
      </c>
      <c r="AB646" s="12">
        <v>16060</v>
      </c>
      <c r="AC646" s="12">
        <v>80</v>
      </c>
      <c r="AD646" s="43"/>
      <c r="AE646" s="43"/>
      <c r="AF646" s="43"/>
      <c r="AG646" s="43"/>
      <c r="AH646" s="19">
        <v>80</v>
      </c>
      <c r="AI646" s="43"/>
      <c r="AJ646" s="43"/>
      <c r="AK646" s="43"/>
      <c r="AL646" s="43"/>
      <c r="AM646" s="43"/>
      <c r="AN646" s="43"/>
      <c r="AO646" s="43"/>
      <c r="AP646" s="43"/>
      <c r="AQ646" s="43"/>
      <c r="AR646" s="43"/>
      <c r="AS646" s="43"/>
      <c r="AT646" s="43"/>
      <c r="AU646" s="43"/>
      <c r="AV646" s="43"/>
    </row>
    <row r="647" ht="15.75" spans="1:48">
      <c r="A647" s="12">
        <v>643</v>
      </c>
      <c r="B647" s="44">
        <v>2959</v>
      </c>
      <c r="C647" s="45" t="s">
        <v>86</v>
      </c>
      <c r="D647" s="46"/>
      <c r="E647" s="47" t="s">
        <v>50</v>
      </c>
      <c r="F647" s="48">
        <v>10.83</v>
      </c>
      <c r="G647" s="38">
        <v>1.17</v>
      </c>
      <c r="H647" s="39"/>
      <c r="I647" s="39"/>
      <c r="J647" s="39"/>
      <c r="K647" s="39"/>
      <c r="L647" s="39"/>
      <c r="M647" s="39"/>
      <c r="N647" s="39"/>
      <c r="O647" s="39"/>
      <c r="P647" s="39"/>
      <c r="Q647" s="39">
        <v>1.17</v>
      </c>
      <c r="R647" s="39"/>
      <c r="S647" s="39"/>
      <c r="T647" s="39"/>
      <c r="U647" s="39"/>
      <c r="V647" s="39"/>
      <c r="W647" s="39"/>
      <c r="X647" s="49" t="s">
        <v>60</v>
      </c>
      <c r="Y647" s="50">
        <v>0</v>
      </c>
      <c r="Z647" s="51"/>
      <c r="AA647" s="52">
        <f>IFERROR(Z647/Y647,0)</f>
        <v>0</v>
      </c>
      <c r="AB647" s="12">
        <v>0</v>
      </c>
      <c r="AC647" s="12">
        <v>0</v>
      </c>
      <c r="AD647" s="43"/>
      <c r="AE647" s="43"/>
      <c r="AF647" s="43"/>
      <c r="AG647" s="43"/>
      <c r="AH647" s="43"/>
      <c r="AI647" s="43"/>
      <c r="AJ647" s="43"/>
      <c r="AK647" s="43"/>
      <c r="AL647" s="43"/>
      <c r="AM647" s="43"/>
      <c r="AN647" s="43"/>
      <c r="AO647" s="43"/>
      <c r="AP647" s="43"/>
      <c r="AQ647" s="43"/>
      <c r="AR647" s="43"/>
      <c r="AS647" s="43"/>
      <c r="AT647" s="43"/>
      <c r="AU647" s="43"/>
      <c r="AV647" s="43"/>
    </row>
    <row r="648" ht="15.75" spans="1:48">
      <c r="A648" s="12">
        <v>644</v>
      </c>
      <c r="B648" s="44">
        <v>4173</v>
      </c>
      <c r="C648" s="45" t="s">
        <v>75</v>
      </c>
      <c r="D648" s="46" t="s">
        <v>81</v>
      </c>
      <c r="E648" s="47" t="s">
        <v>50</v>
      </c>
      <c r="F648" s="48">
        <v>10.33</v>
      </c>
      <c r="G648" s="38">
        <v>1.67</v>
      </c>
      <c r="H648" s="39"/>
      <c r="I648" s="39"/>
      <c r="J648" s="39"/>
      <c r="K648" s="39">
        <v>0.33</v>
      </c>
      <c r="L648" s="39"/>
      <c r="M648" s="39"/>
      <c r="N648" s="39"/>
      <c r="O648" s="39"/>
      <c r="P648" s="39"/>
      <c r="Q648" s="39">
        <v>1.17</v>
      </c>
      <c r="R648" s="39"/>
      <c r="S648" s="39"/>
      <c r="T648" s="39"/>
      <c r="U648" s="39">
        <v>0.17</v>
      </c>
      <c r="V648" s="39"/>
      <c r="W648" s="39"/>
      <c r="X648" s="49" t="s">
        <v>201</v>
      </c>
      <c r="Y648" s="50">
        <v>16786.25</v>
      </c>
      <c r="Z648" s="51">
        <v>16600</v>
      </c>
      <c r="AA648" s="52">
        <f>IFERROR(Z648/Y648,0)</f>
        <v>0.988904609427359</v>
      </c>
      <c r="AB648" s="12">
        <v>16578</v>
      </c>
      <c r="AC648" s="12">
        <v>22</v>
      </c>
      <c r="AD648" s="43"/>
      <c r="AE648" s="43"/>
      <c r="AF648" s="43"/>
      <c r="AG648" s="19">
        <v>16</v>
      </c>
      <c r="AH648" s="19">
        <v>6</v>
      </c>
      <c r="AI648" s="43"/>
      <c r="AJ648" s="43"/>
      <c r="AK648" s="43"/>
      <c r="AL648" s="43"/>
      <c r="AM648" s="43"/>
      <c r="AN648" s="43"/>
      <c r="AO648" s="43"/>
      <c r="AP648" s="43"/>
      <c r="AQ648" s="43"/>
      <c r="AR648" s="43"/>
      <c r="AS648" s="43"/>
      <c r="AT648" s="43"/>
      <c r="AU648" s="43"/>
      <c r="AV648" s="43"/>
    </row>
    <row r="649" ht="15.75" spans="1:48">
      <c r="A649" s="12">
        <v>645</v>
      </c>
      <c r="B649" s="44">
        <v>4185</v>
      </c>
      <c r="C649" s="45" t="s">
        <v>72</v>
      </c>
      <c r="D649" s="46" t="s">
        <v>207</v>
      </c>
      <c r="E649" s="47" t="s">
        <v>50</v>
      </c>
      <c r="F649" s="48">
        <v>10.33</v>
      </c>
      <c r="G649" s="38">
        <v>1.51</v>
      </c>
      <c r="H649" s="39"/>
      <c r="I649" s="39"/>
      <c r="J649" s="39"/>
      <c r="K649" s="39">
        <v>0.17</v>
      </c>
      <c r="L649" s="39"/>
      <c r="M649" s="39"/>
      <c r="N649" s="39"/>
      <c r="O649" s="39"/>
      <c r="P649" s="39"/>
      <c r="Q649" s="39">
        <v>1.17</v>
      </c>
      <c r="R649" s="39"/>
      <c r="S649" s="39"/>
      <c r="T649" s="39"/>
      <c r="U649" s="39">
        <v>0.17</v>
      </c>
      <c r="V649" s="39"/>
      <c r="W649" s="39"/>
      <c r="X649" s="49" t="s">
        <v>79</v>
      </c>
      <c r="Y649" s="50">
        <v>68797.8</v>
      </c>
      <c r="Z649" s="51">
        <v>59440</v>
      </c>
      <c r="AA649" s="52">
        <f>IFERROR(Z649/Y649,0)</f>
        <v>0.863981115675211</v>
      </c>
      <c r="AB649" s="12">
        <v>59360</v>
      </c>
      <c r="AC649" s="12">
        <v>80</v>
      </c>
      <c r="AD649" s="43"/>
      <c r="AE649" s="43"/>
      <c r="AF649" s="43"/>
      <c r="AG649" s="19">
        <v>80</v>
      </c>
      <c r="AH649" s="43"/>
      <c r="AI649" s="43"/>
      <c r="AJ649" s="43"/>
      <c r="AK649" s="43"/>
      <c r="AL649" s="43"/>
      <c r="AM649" s="43"/>
      <c r="AN649" s="43"/>
      <c r="AO649" s="43"/>
      <c r="AP649" s="43"/>
      <c r="AQ649" s="43"/>
      <c r="AR649" s="43"/>
      <c r="AS649" s="43"/>
      <c r="AT649" s="43"/>
      <c r="AU649" s="43"/>
      <c r="AV649" s="43"/>
    </row>
    <row r="650" ht="15.75" spans="1:48">
      <c r="A650" s="12">
        <v>646</v>
      </c>
      <c r="B650" s="44">
        <v>4185</v>
      </c>
      <c r="C650" s="45" t="s">
        <v>72</v>
      </c>
      <c r="D650" s="46" t="s">
        <v>76</v>
      </c>
      <c r="E650" s="47" t="s">
        <v>50</v>
      </c>
      <c r="F650" s="48">
        <v>10.17</v>
      </c>
      <c r="G650" s="38">
        <v>1.84</v>
      </c>
      <c r="H650" s="39"/>
      <c r="I650" s="39"/>
      <c r="J650" s="39"/>
      <c r="K650" s="39">
        <v>0.5</v>
      </c>
      <c r="L650" s="39"/>
      <c r="M650" s="39"/>
      <c r="N650" s="39"/>
      <c r="O650" s="39"/>
      <c r="P650" s="39"/>
      <c r="Q650" s="39">
        <v>1.17</v>
      </c>
      <c r="R650" s="39"/>
      <c r="S650" s="39"/>
      <c r="T650" s="39"/>
      <c r="U650" s="39">
        <v>0.17</v>
      </c>
      <c r="V650" s="39"/>
      <c r="W650" s="39"/>
      <c r="X650" s="49" t="s">
        <v>77</v>
      </c>
      <c r="Y650" s="50">
        <v>61020</v>
      </c>
      <c r="Z650" s="51">
        <v>56160</v>
      </c>
      <c r="AA650" s="52">
        <f>IFERROR(Z650/Y650,0)</f>
        <v>0.920353982300885</v>
      </c>
      <c r="AB650" s="12">
        <v>56104</v>
      </c>
      <c r="AC650" s="12">
        <v>56</v>
      </c>
      <c r="AD650" s="43"/>
      <c r="AE650" s="43"/>
      <c r="AF650" s="43"/>
      <c r="AG650" s="19">
        <v>56</v>
      </c>
      <c r="AH650" s="43"/>
      <c r="AI650" s="43"/>
      <c r="AJ650" s="43"/>
      <c r="AK650" s="43"/>
      <c r="AL650" s="43"/>
      <c r="AM650" s="43"/>
      <c r="AN650" s="43"/>
      <c r="AO650" s="43"/>
      <c r="AP650" s="43"/>
      <c r="AQ650" s="43"/>
      <c r="AR650" s="43"/>
      <c r="AS650" s="43"/>
      <c r="AT650" s="43"/>
      <c r="AU650" s="43"/>
      <c r="AV650" s="43"/>
    </row>
    <row r="651" ht="15.75" spans="1:48">
      <c r="A651" s="12">
        <v>647</v>
      </c>
      <c r="B651" s="44">
        <v>4185</v>
      </c>
      <c r="C651" s="45" t="s">
        <v>72</v>
      </c>
      <c r="D651" s="46" t="s">
        <v>78</v>
      </c>
      <c r="E651" s="47" t="s">
        <v>50</v>
      </c>
      <c r="F651" s="48">
        <v>10.17</v>
      </c>
      <c r="G651" s="38">
        <v>1.83</v>
      </c>
      <c r="H651" s="39"/>
      <c r="I651" s="39"/>
      <c r="J651" s="39"/>
      <c r="K651" s="39">
        <v>0.33</v>
      </c>
      <c r="L651" s="39"/>
      <c r="M651" s="39"/>
      <c r="N651" s="39"/>
      <c r="O651" s="39"/>
      <c r="P651" s="39"/>
      <c r="Q651" s="39">
        <v>1.17</v>
      </c>
      <c r="R651" s="39"/>
      <c r="S651" s="39"/>
      <c r="T651" s="39"/>
      <c r="U651" s="39">
        <v>0.33</v>
      </c>
      <c r="V651" s="39"/>
      <c r="W651" s="39"/>
      <c r="X651" s="49" t="s">
        <v>79</v>
      </c>
      <c r="Y651" s="50">
        <v>67732.2</v>
      </c>
      <c r="Z651" s="51">
        <v>58720</v>
      </c>
      <c r="AA651" s="52">
        <f>IFERROR(Z651/Y651,0)</f>
        <v>0.866943639804997</v>
      </c>
      <c r="AB651" s="12">
        <v>58656</v>
      </c>
      <c r="AC651" s="12">
        <v>64</v>
      </c>
      <c r="AD651" s="43"/>
      <c r="AE651" s="43"/>
      <c r="AF651" s="43"/>
      <c r="AG651" s="19">
        <v>64</v>
      </c>
      <c r="AH651" s="43"/>
      <c r="AI651" s="43"/>
      <c r="AJ651" s="43"/>
      <c r="AK651" s="43"/>
      <c r="AL651" s="43"/>
      <c r="AM651" s="43"/>
      <c r="AN651" s="43"/>
      <c r="AO651" s="43"/>
      <c r="AP651" s="43"/>
      <c r="AQ651" s="43"/>
      <c r="AR651" s="43"/>
      <c r="AS651" s="43"/>
      <c r="AT651" s="43"/>
      <c r="AU651" s="43"/>
      <c r="AV651" s="43"/>
    </row>
    <row r="652" ht="15.75" spans="1:48">
      <c r="A652" s="12">
        <v>648</v>
      </c>
      <c r="B652" s="44">
        <v>4478</v>
      </c>
      <c r="C652" s="45" t="s">
        <v>128</v>
      </c>
      <c r="D652" s="46" t="s">
        <v>129</v>
      </c>
      <c r="E652" s="47" t="s">
        <v>209</v>
      </c>
      <c r="F652" s="48">
        <v>4.5</v>
      </c>
      <c r="G652" s="38">
        <v>1.34</v>
      </c>
      <c r="H652" s="39"/>
      <c r="I652" s="39"/>
      <c r="J652" s="39"/>
      <c r="K652" s="39"/>
      <c r="L652" s="39"/>
      <c r="M652" s="39"/>
      <c r="N652" s="39"/>
      <c r="O652" s="39"/>
      <c r="P652" s="39"/>
      <c r="Q652" s="39">
        <v>1.17</v>
      </c>
      <c r="R652" s="39"/>
      <c r="S652" s="39"/>
      <c r="T652" s="39"/>
      <c r="U652" s="39">
        <v>0.17</v>
      </c>
      <c r="V652" s="39"/>
      <c r="W652" s="39"/>
      <c r="X652" s="49" t="s">
        <v>220</v>
      </c>
      <c r="Y652" s="50">
        <v>6480</v>
      </c>
      <c r="Z652" s="51">
        <v>4338</v>
      </c>
      <c r="AA652" s="52">
        <f>IFERROR(Z652/Y652,0)</f>
        <v>0.669444444444444</v>
      </c>
      <c r="AB652" s="12">
        <v>4338</v>
      </c>
      <c r="AC652" s="12">
        <v>0</v>
      </c>
      <c r="AD652" s="43"/>
      <c r="AE652" s="43"/>
      <c r="AF652" s="43"/>
      <c r="AG652" s="43"/>
      <c r="AH652" s="43"/>
      <c r="AI652" s="43"/>
      <c r="AJ652" s="43"/>
      <c r="AK652" s="43"/>
      <c r="AL652" s="43"/>
      <c r="AM652" s="43"/>
      <c r="AN652" s="43"/>
      <c r="AO652" s="43"/>
      <c r="AP652" s="43"/>
      <c r="AQ652" s="43"/>
      <c r="AR652" s="43"/>
      <c r="AS652" s="43"/>
      <c r="AT652" s="43"/>
      <c r="AU652" s="43"/>
      <c r="AV652" s="43"/>
    </row>
    <row r="653" ht="15.75" spans="1:48">
      <c r="A653" s="12">
        <v>649</v>
      </c>
      <c r="B653" s="44">
        <v>4478</v>
      </c>
      <c r="C653" s="45" t="s">
        <v>128</v>
      </c>
      <c r="D653" s="46" t="s">
        <v>129</v>
      </c>
      <c r="E653" s="47" t="s">
        <v>209</v>
      </c>
      <c r="F653" s="48">
        <v>3.17</v>
      </c>
      <c r="G653" s="38">
        <v>0</v>
      </c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49" t="s">
        <v>242</v>
      </c>
      <c r="Y653" s="50">
        <v>6086.4</v>
      </c>
      <c r="Z653" s="51">
        <v>4200</v>
      </c>
      <c r="AA653" s="52">
        <f>IFERROR(Z653/Y653,0)</f>
        <v>0.69006309148265</v>
      </c>
      <c r="AB653" s="12">
        <v>4200</v>
      </c>
      <c r="AC653" s="12">
        <v>0</v>
      </c>
      <c r="AD653" s="43"/>
      <c r="AE653" s="43"/>
      <c r="AF653" s="43"/>
      <c r="AG653" s="43"/>
      <c r="AH653" s="43"/>
      <c r="AI653" s="43"/>
      <c r="AJ653" s="43"/>
      <c r="AK653" s="43"/>
      <c r="AL653" s="43"/>
      <c r="AM653" s="43"/>
      <c r="AN653" s="43"/>
      <c r="AO653" s="43"/>
      <c r="AP653" s="43"/>
      <c r="AQ653" s="43"/>
      <c r="AR653" s="43"/>
      <c r="AS653" s="43"/>
      <c r="AT653" s="43"/>
      <c r="AU653" s="43"/>
      <c r="AV653" s="43"/>
    </row>
    <row r="654" ht="15.75" spans="1:48">
      <c r="A654" s="12">
        <v>650</v>
      </c>
      <c r="B654" s="44">
        <v>959</v>
      </c>
      <c r="C654" s="45" t="s">
        <v>168</v>
      </c>
      <c r="D654" s="46">
        <v>14</v>
      </c>
      <c r="E654" s="47" t="s">
        <v>93</v>
      </c>
      <c r="F654" s="48">
        <v>4</v>
      </c>
      <c r="G654" s="38">
        <v>1</v>
      </c>
      <c r="H654" s="39"/>
      <c r="I654" s="39"/>
      <c r="J654" s="39"/>
      <c r="K654" s="39"/>
      <c r="L654" s="39"/>
      <c r="M654" s="39"/>
      <c r="N654" s="39"/>
      <c r="O654" s="39"/>
      <c r="P654" s="39"/>
      <c r="Q654" s="39">
        <v>0.83</v>
      </c>
      <c r="R654" s="39"/>
      <c r="S654" s="39"/>
      <c r="T654" s="39"/>
      <c r="U654" s="39">
        <v>0.17</v>
      </c>
      <c r="V654" s="39"/>
      <c r="W654" s="39"/>
      <c r="X654" s="49">
        <v>8484</v>
      </c>
      <c r="Y654" s="50">
        <v>2160</v>
      </c>
      <c r="Z654" s="51">
        <v>1740</v>
      </c>
      <c r="AA654" s="52">
        <f>IFERROR(Z654/Y654,0)</f>
        <v>0.805555555555556</v>
      </c>
      <c r="AB654" s="12">
        <v>1740</v>
      </c>
      <c r="AC654" s="12">
        <v>0</v>
      </c>
      <c r="AD654" s="43"/>
      <c r="AE654" s="43"/>
      <c r="AF654" s="43"/>
      <c r="AG654" s="43"/>
      <c r="AH654" s="43"/>
      <c r="AI654" s="43"/>
      <c r="AJ654" s="43"/>
      <c r="AK654" s="43"/>
      <c r="AL654" s="43"/>
      <c r="AM654" s="43"/>
      <c r="AN654" s="43"/>
      <c r="AO654" s="43"/>
      <c r="AP654" s="43"/>
      <c r="AQ654" s="43"/>
      <c r="AR654" s="43"/>
      <c r="AS654" s="43"/>
      <c r="AT654" s="43"/>
      <c r="AU654" s="43"/>
      <c r="AV654" s="43"/>
    </row>
    <row r="655" ht="15.75" spans="1:48">
      <c r="A655" s="12">
        <v>651</v>
      </c>
      <c r="B655" s="44">
        <v>3268</v>
      </c>
      <c r="C655" s="45" t="s">
        <v>80</v>
      </c>
      <c r="D655" s="46">
        <v>17</v>
      </c>
      <c r="E655" s="47" t="s">
        <v>50</v>
      </c>
      <c r="F655" s="48">
        <v>2.83</v>
      </c>
      <c r="G655" s="38">
        <v>0</v>
      </c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49" t="s">
        <v>96</v>
      </c>
      <c r="Y655" s="50">
        <v>4103.5</v>
      </c>
      <c r="Z655" s="51">
        <v>4000</v>
      </c>
      <c r="AA655" s="52">
        <f>IFERROR(Z655/Y655,0)</f>
        <v>0.974777628853418</v>
      </c>
      <c r="AB655" s="12">
        <v>4000</v>
      </c>
      <c r="AC655" s="12">
        <v>0</v>
      </c>
      <c r="AD655" s="43"/>
      <c r="AE655" s="43"/>
      <c r="AF655" s="43"/>
      <c r="AG655" s="43"/>
      <c r="AH655" s="43"/>
      <c r="AI655" s="43"/>
      <c r="AJ655" s="43"/>
      <c r="AK655" s="43"/>
      <c r="AL655" s="43"/>
      <c r="AM655" s="43"/>
      <c r="AN655" s="43"/>
      <c r="AO655" s="43"/>
      <c r="AP655" s="43"/>
      <c r="AQ655" s="43"/>
      <c r="AR655" s="43"/>
      <c r="AS655" s="43"/>
      <c r="AT655" s="43"/>
      <c r="AU655" s="43"/>
      <c r="AV655" s="43"/>
    </row>
    <row r="656" ht="15.75" spans="1:48">
      <c r="A656" s="12">
        <v>652</v>
      </c>
      <c r="B656" s="44">
        <v>761</v>
      </c>
      <c r="C656" s="45" t="s">
        <v>89</v>
      </c>
      <c r="D656" s="46"/>
      <c r="E656" s="47" t="s">
        <v>50</v>
      </c>
      <c r="F656" s="48">
        <v>2.33</v>
      </c>
      <c r="G656" s="38">
        <v>0.67</v>
      </c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>
        <v>0.5</v>
      </c>
      <c r="T656" s="39"/>
      <c r="U656" s="39">
        <v>0.17</v>
      </c>
      <c r="V656" s="39"/>
      <c r="W656" s="39"/>
      <c r="X656" s="49" t="s">
        <v>98</v>
      </c>
      <c r="Y656" s="50">
        <v>1095.1</v>
      </c>
      <c r="Z656" s="51">
        <v>1080</v>
      </c>
      <c r="AA656" s="52">
        <f>IFERROR(Z656/Y656,0)</f>
        <v>0.986211304903662</v>
      </c>
      <c r="AB656" s="12">
        <v>1080</v>
      </c>
      <c r="AC656" s="12">
        <v>0</v>
      </c>
      <c r="AD656" s="43"/>
      <c r="AE656" s="43"/>
      <c r="AF656" s="43"/>
      <c r="AG656" s="43"/>
      <c r="AH656" s="43"/>
      <c r="AI656" s="43"/>
      <c r="AJ656" s="43"/>
      <c r="AK656" s="43"/>
      <c r="AL656" s="43"/>
      <c r="AM656" s="43"/>
      <c r="AN656" s="43"/>
      <c r="AO656" s="43"/>
      <c r="AP656" s="43"/>
      <c r="AQ656" s="43"/>
      <c r="AR656" s="43"/>
      <c r="AS656" s="43"/>
      <c r="AT656" s="43"/>
      <c r="AU656" s="43"/>
      <c r="AV656" s="43"/>
    </row>
    <row r="657" ht="15.75" spans="1:48">
      <c r="A657" s="12">
        <v>653</v>
      </c>
      <c r="B657" s="44">
        <v>4360</v>
      </c>
      <c r="C657" s="45" t="s">
        <v>97</v>
      </c>
      <c r="D657" s="46">
        <v>15</v>
      </c>
      <c r="E657" s="47" t="s">
        <v>50</v>
      </c>
      <c r="F657" s="48">
        <v>8.5</v>
      </c>
      <c r="G657" s="38">
        <v>2.34</v>
      </c>
      <c r="H657" s="39"/>
      <c r="I657" s="39"/>
      <c r="J657" s="39"/>
      <c r="K657" s="39"/>
      <c r="L657" s="39"/>
      <c r="M657" s="39"/>
      <c r="N657" s="39"/>
      <c r="O657" s="39"/>
      <c r="P657" s="39"/>
      <c r="Q657" s="39">
        <v>1.17</v>
      </c>
      <c r="R657" s="39"/>
      <c r="S657" s="39"/>
      <c r="T657" s="39">
        <v>1</v>
      </c>
      <c r="U657" s="39">
        <v>0.17</v>
      </c>
      <c r="V657" s="39"/>
      <c r="W657" s="39"/>
      <c r="X657" s="49">
        <v>3880</v>
      </c>
      <c r="Y657" s="50">
        <v>3400</v>
      </c>
      <c r="Z657" s="51">
        <v>3068</v>
      </c>
      <c r="AA657" s="52">
        <f>IFERROR(Z657/Y657,0)</f>
        <v>0.902352941176471</v>
      </c>
      <c r="AB657" s="12">
        <v>2853</v>
      </c>
      <c r="AC657" s="12">
        <v>215</v>
      </c>
      <c r="AD657" s="19">
        <v>215</v>
      </c>
      <c r="AE657" s="43"/>
      <c r="AF657" s="43"/>
      <c r="AG657" s="43"/>
      <c r="AH657" s="43"/>
      <c r="AI657" s="43"/>
      <c r="AJ657" s="43"/>
      <c r="AK657" s="43"/>
      <c r="AL657" s="43"/>
      <c r="AM657" s="43"/>
      <c r="AN657" s="43"/>
      <c r="AO657" s="43"/>
      <c r="AP657" s="43"/>
      <c r="AQ657" s="43"/>
      <c r="AR657" s="43"/>
      <c r="AS657" s="43"/>
      <c r="AT657" s="43"/>
      <c r="AU657" s="43"/>
      <c r="AV657" s="43"/>
    </row>
    <row r="658" ht="15.75" spans="1:48">
      <c r="A658" s="12">
        <v>654</v>
      </c>
      <c r="B658" s="44">
        <v>846</v>
      </c>
      <c r="C658" s="45" t="s">
        <v>87</v>
      </c>
      <c r="D658" s="46">
        <v>2</v>
      </c>
      <c r="E658" s="47" t="s">
        <v>50</v>
      </c>
      <c r="F658" s="48">
        <v>6.17</v>
      </c>
      <c r="G658" s="38">
        <v>2.17</v>
      </c>
      <c r="H658" s="39"/>
      <c r="I658" s="39"/>
      <c r="J658" s="39">
        <v>0.33</v>
      </c>
      <c r="K658" s="39"/>
      <c r="L658" s="39"/>
      <c r="M658" s="39"/>
      <c r="N658" s="39"/>
      <c r="O658" s="39"/>
      <c r="P658" s="39"/>
      <c r="Q658" s="39">
        <v>1.17</v>
      </c>
      <c r="R658" s="39"/>
      <c r="S658" s="39"/>
      <c r="T658" s="39">
        <v>0.5</v>
      </c>
      <c r="U658" s="39">
        <v>0.17</v>
      </c>
      <c r="V658" s="39"/>
      <c r="W658" s="39"/>
      <c r="X658" s="49">
        <v>1080</v>
      </c>
      <c r="Y658" s="50">
        <v>4072.2</v>
      </c>
      <c r="Z658" s="51">
        <v>3300</v>
      </c>
      <c r="AA658" s="52">
        <f>IFERROR(Z658/Y658,0)</f>
        <v>0.810372771474879</v>
      </c>
      <c r="AB658" s="12">
        <v>3300</v>
      </c>
      <c r="AC658" s="12">
        <v>0</v>
      </c>
      <c r="AD658" s="43"/>
      <c r="AE658" s="43"/>
      <c r="AF658" s="43"/>
      <c r="AG658" s="43"/>
      <c r="AH658" s="43"/>
      <c r="AI658" s="43"/>
      <c r="AJ658" s="43"/>
      <c r="AK658" s="43"/>
      <c r="AL658" s="43"/>
      <c r="AM658" s="43"/>
      <c r="AN658" s="43"/>
      <c r="AO658" s="43"/>
      <c r="AP658" s="43"/>
      <c r="AQ658" s="43"/>
      <c r="AR658" s="43"/>
      <c r="AS658" s="43"/>
      <c r="AT658" s="43"/>
      <c r="AU658" s="43"/>
      <c r="AV658" s="43"/>
    </row>
    <row r="659" ht="15.75" spans="1:48">
      <c r="A659" s="12">
        <v>655</v>
      </c>
      <c r="B659" s="44">
        <v>669</v>
      </c>
      <c r="C659" s="45" t="s">
        <v>94</v>
      </c>
      <c r="D659" s="46">
        <v>7</v>
      </c>
      <c r="E659" s="47" t="s">
        <v>50</v>
      </c>
      <c r="F659" s="48">
        <v>8.67</v>
      </c>
      <c r="G659" s="38">
        <v>1.84</v>
      </c>
      <c r="H659" s="39"/>
      <c r="I659" s="39"/>
      <c r="J659" s="39"/>
      <c r="K659" s="39"/>
      <c r="L659" s="39"/>
      <c r="M659" s="39"/>
      <c r="N659" s="39"/>
      <c r="O659" s="39"/>
      <c r="P659" s="39"/>
      <c r="Q659" s="39">
        <v>1.17</v>
      </c>
      <c r="R659" s="39"/>
      <c r="S659" s="39"/>
      <c r="T659" s="39"/>
      <c r="U659" s="39">
        <v>0.17</v>
      </c>
      <c r="V659" s="39">
        <v>0.5</v>
      </c>
      <c r="W659" s="39"/>
      <c r="X659" s="49" t="s">
        <v>95</v>
      </c>
      <c r="Y659" s="50">
        <v>12138</v>
      </c>
      <c r="Z659" s="51">
        <v>11662</v>
      </c>
      <c r="AA659" s="52">
        <f>IFERROR(Z659/Y659,0)</f>
        <v>0.96078431372549</v>
      </c>
      <c r="AB659" s="12">
        <v>11662</v>
      </c>
      <c r="AC659" s="12">
        <v>0</v>
      </c>
      <c r="AD659" s="43"/>
      <c r="AE659" s="43"/>
      <c r="AF659" s="43"/>
      <c r="AG659" s="43"/>
      <c r="AH659" s="43"/>
      <c r="AI659" s="43"/>
      <c r="AJ659" s="43"/>
      <c r="AK659" s="43"/>
      <c r="AL659" s="43"/>
      <c r="AM659" s="43"/>
      <c r="AN659" s="43"/>
      <c r="AO659" s="43"/>
      <c r="AP659" s="43"/>
      <c r="AQ659" s="43"/>
      <c r="AR659" s="43"/>
      <c r="AS659" s="43"/>
      <c r="AT659" s="43"/>
      <c r="AU659" s="43"/>
      <c r="AV659" s="43"/>
    </row>
    <row r="660" ht="15.75" spans="1:48">
      <c r="A660" s="12">
        <v>656</v>
      </c>
      <c r="B660" s="44">
        <v>4490</v>
      </c>
      <c r="C660" s="45" t="s">
        <v>91</v>
      </c>
      <c r="D660" s="46">
        <v>3</v>
      </c>
      <c r="E660" s="47" t="s">
        <v>50</v>
      </c>
      <c r="F660" s="48">
        <v>9.33</v>
      </c>
      <c r="G660" s="38">
        <v>1.34</v>
      </c>
      <c r="H660" s="39"/>
      <c r="I660" s="39"/>
      <c r="J660" s="39"/>
      <c r="K660" s="39"/>
      <c r="L660" s="39"/>
      <c r="M660" s="39"/>
      <c r="N660" s="39"/>
      <c r="O660" s="39"/>
      <c r="P660" s="39"/>
      <c r="Q660" s="39">
        <v>1.17</v>
      </c>
      <c r="R660" s="39"/>
      <c r="S660" s="39"/>
      <c r="T660" s="39"/>
      <c r="U660" s="39">
        <v>0.17</v>
      </c>
      <c r="V660" s="39"/>
      <c r="W660" s="39"/>
      <c r="X660" s="49">
        <v>9740</v>
      </c>
      <c r="Y660" s="50">
        <v>3918.6</v>
      </c>
      <c r="Z660" s="51">
        <v>3360</v>
      </c>
      <c r="AA660" s="52">
        <f>IFERROR(Z660/Y660,0)</f>
        <v>0.857449088960343</v>
      </c>
      <c r="AB660" s="12">
        <v>3344</v>
      </c>
      <c r="AC660" s="12">
        <v>16</v>
      </c>
      <c r="AD660" s="19">
        <v>16</v>
      </c>
      <c r="AE660" s="43"/>
      <c r="AF660" s="43"/>
      <c r="AG660" s="43"/>
      <c r="AH660" s="43"/>
      <c r="AI660" s="43"/>
      <c r="AJ660" s="43"/>
      <c r="AK660" s="43"/>
      <c r="AL660" s="43"/>
      <c r="AM660" s="43"/>
      <c r="AN660" s="43"/>
      <c r="AO660" s="43"/>
      <c r="AP660" s="43"/>
      <c r="AQ660" s="43"/>
      <c r="AR660" s="43"/>
      <c r="AS660" s="43"/>
      <c r="AT660" s="43"/>
      <c r="AU660" s="43"/>
      <c r="AV660" s="43"/>
    </row>
    <row r="661" ht="15.75" spans="1:48">
      <c r="A661" s="12">
        <v>657</v>
      </c>
      <c r="B661" s="44">
        <v>3277</v>
      </c>
      <c r="C661" s="45" t="s">
        <v>106</v>
      </c>
      <c r="D661" s="46">
        <v>20</v>
      </c>
      <c r="E661" s="47" t="s">
        <v>50</v>
      </c>
      <c r="F661" s="48">
        <v>5.5</v>
      </c>
      <c r="G661" s="38">
        <v>6.5</v>
      </c>
      <c r="H661" s="39"/>
      <c r="I661" s="39"/>
      <c r="J661" s="39"/>
      <c r="K661" s="39"/>
      <c r="L661" s="39"/>
      <c r="M661" s="39"/>
      <c r="N661" s="39"/>
      <c r="O661" s="39"/>
      <c r="P661" s="39"/>
      <c r="Q661" s="39">
        <v>1.17</v>
      </c>
      <c r="R661" s="39"/>
      <c r="S661" s="39">
        <v>5.33</v>
      </c>
      <c r="T661" s="39"/>
      <c r="U661" s="39"/>
      <c r="V661" s="39"/>
      <c r="W661" s="39"/>
      <c r="X661" s="49">
        <v>8052</v>
      </c>
      <c r="Y661" s="50">
        <v>198</v>
      </c>
      <c r="Z661" s="51">
        <v>185</v>
      </c>
      <c r="AA661" s="52">
        <f>IFERROR(Z661/Y661,0)</f>
        <v>0.934343434343434</v>
      </c>
      <c r="AB661" s="12">
        <v>185</v>
      </c>
      <c r="AC661" s="12">
        <v>0</v>
      </c>
      <c r="AD661" s="43"/>
      <c r="AE661" s="43"/>
      <c r="AF661" s="43"/>
      <c r="AG661" s="43"/>
      <c r="AH661" s="43"/>
      <c r="AI661" s="43"/>
      <c r="AJ661" s="43"/>
      <c r="AK661" s="43"/>
      <c r="AL661" s="43"/>
      <c r="AM661" s="43"/>
      <c r="AN661" s="43"/>
      <c r="AO661" s="43"/>
      <c r="AP661" s="43"/>
      <c r="AQ661" s="43"/>
      <c r="AR661" s="43"/>
      <c r="AS661" s="43"/>
      <c r="AT661" s="43"/>
      <c r="AU661" s="43"/>
      <c r="AV661" s="43"/>
    </row>
    <row r="662" ht="15.75" spans="1:48">
      <c r="A662" s="12">
        <v>658</v>
      </c>
      <c r="B662" s="44" t="s">
        <v>187</v>
      </c>
      <c r="C662" s="45" t="s">
        <v>188</v>
      </c>
      <c r="D662" s="46">
        <v>6</v>
      </c>
      <c r="E662" s="47" t="s">
        <v>50</v>
      </c>
      <c r="F662" s="48">
        <v>3.5</v>
      </c>
      <c r="G662" s="38">
        <v>0</v>
      </c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49">
        <v>5770</v>
      </c>
      <c r="Y662" s="50">
        <v>2117.5</v>
      </c>
      <c r="Z662" s="51">
        <v>2400</v>
      </c>
      <c r="AA662" s="52">
        <f>IFERROR(Z662/Y662,0)</f>
        <v>1.13341204250295</v>
      </c>
      <c r="AB662" s="12">
        <v>2400</v>
      </c>
      <c r="AC662" s="12">
        <v>0</v>
      </c>
      <c r="AD662" s="43"/>
      <c r="AE662" s="43"/>
      <c r="AF662" s="43"/>
      <c r="AG662" s="43"/>
      <c r="AH662" s="43"/>
      <c r="AI662" s="43"/>
      <c r="AJ662" s="43"/>
      <c r="AK662" s="43"/>
      <c r="AL662" s="43"/>
      <c r="AM662" s="43"/>
      <c r="AN662" s="43"/>
      <c r="AO662" s="43"/>
      <c r="AP662" s="43"/>
      <c r="AQ662" s="43"/>
      <c r="AR662" s="43"/>
      <c r="AS662" s="43"/>
      <c r="AT662" s="43"/>
      <c r="AU662" s="43"/>
      <c r="AV662" s="43"/>
    </row>
    <row r="663" ht="15.75" spans="1:48">
      <c r="A663" s="12">
        <v>659</v>
      </c>
      <c r="B663" s="44" t="s">
        <v>187</v>
      </c>
      <c r="C663" s="45" t="s">
        <v>188</v>
      </c>
      <c r="D663" s="46"/>
      <c r="E663" s="47" t="s">
        <v>50</v>
      </c>
      <c r="F663" s="48">
        <v>0.5</v>
      </c>
      <c r="G663" s="38">
        <v>0</v>
      </c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49" t="s">
        <v>103</v>
      </c>
      <c r="Y663" s="50">
        <v>420</v>
      </c>
      <c r="Z663" s="51">
        <v>360</v>
      </c>
      <c r="AA663" s="52">
        <f>IFERROR(Z663/Y663,0)</f>
        <v>0.857142857142857</v>
      </c>
      <c r="AB663" s="12">
        <v>360</v>
      </c>
      <c r="AC663" s="12">
        <v>0</v>
      </c>
      <c r="AD663" s="43"/>
      <c r="AE663" s="43"/>
      <c r="AF663" s="43"/>
      <c r="AG663" s="43"/>
      <c r="AH663" s="43"/>
      <c r="AI663" s="43"/>
      <c r="AJ663" s="43"/>
      <c r="AK663" s="43"/>
      <c r="AL663" s="43"/>
      <c r="AM663" s="43"/>
      <c r="AN663" s="43"/>
      <c r="AO663" s="43"/>
      <c r="AP663" s="43"/>
      <c r="AQ663" s="43"/>
      <c r="AR663" s="43"/>
      <c r="AS663" s="43"/>
      <c r="AT663" s="43"/>
      <c r="AU663" s="43"/>
      <c r="AV663" s="43"/>
    </row>
    <row r="664" ht="15.75" spans="1:48">
      <c r="A664" s="12">
        <v>660</v>
      </c>
      <c r="B664" s="44">
        <v>676</v>
      </c>
      <c r="C664" s="45" t="s">
        <v>171</v>
      </c>
      <c r="D664" s="46"/>
      <c r="E664" s="47" t="s">
        <v>50</v>
      </c>
      <c r="F664" s="48">
        <v>4.67</v>
      </c>
      <c r="G664" s="38">
        <v>2.17</v>
      </c>
      <c r="H664" s="39"/>
      <c r="I664" s="39"/>
      <c r="J664" s="39"/>
      <c r="K664" s="39"/>
      <c r="L664" s="39"/>
      <c r="M664" s="39"/>
      <c r="N664" s="39"/>
      <c r="O664" s="39"/>
      <c r="P664" s="39"/>
      <c r="Q664" s="39">
        <v>1.17</v>
      </c>
      <c r="R664" s="39"/>
      <c r="S664" s="39"/>
      <c r="T664" s="39">
        <v>1</v>
      </c>
      <c r="U664" s="39"/>
      <c r="V664" s="39"/>
      <c r="W664" s="39"/>
      <c r="X664" s="49" t="s">
        <v>90</v>
      </c>
      <c r="Y664" s="50">
        <v>2194.9</v>
      </c>
      <c r="Z664" s="51">
        <v>2160</v>
      </c>
      <c r="AA664" s="52">
        <f>IFERROR(Z664/Y664,0)</f>
        <v>0.984099503394232</v>
      </c>
      <c r="AB664" s="12">
        <v>2160</v>
      </c>
      <c r="AC664" s="12">
        <v>0</v>
      </c>
      <c r="AD664" s="43"/>
      <c r="AE664" s="43"/>
      <c r="AF664" s="43"/>
      <c r="AG664" s="43"/>
      <c r="AH664" s="43"/>
      <c r="AI664" s="43"/>
      <c r="AJ664" s="43"/>
      <c r="AK664" s="43"/>
      <c r="AL664" s="43"/>
      <c r="AM664" s="43"/>
      <c r="AN664" s="43"/>
      <c r="AO664" s="43"/>
      <c r="AP664" s="43"/>
      <c r="AQ664" s="43"/>
      <c r="AR664" s="43"/>
      <c r="AS664" s="43"/>
      <c r="AT664" s="43"/>
      <c r="AU664" s="43"/>
      <c r="AV664" s="43"/>
    </row>
    <row r="665" ht="15.75" spans="1:48">
      <c r="A665" s="12">
        <v>661</v>
      </c>
      <c r="B665" s="44">
        <v>4382</v>
      </c>
      <c r="C665" s="45" t="s">
        <v>173</v>
      </c>
      <c r="D665" s="46">
        <v>5</v>
      </c>
      <c r="E665" s="47" t="s">
        <v>50</v>
      </c>
      <c r="F665" s="48">
        <v>7.33</v>
      </c>
      <c r="G665" s="38">
        <v>1.67</v>
      </c>
      <c r="H665" s="39"/>
      <c r="I665" s="39"/>
      <c r="J665" s="39"/>
      <c r="K665" s="39"/>
      <c r="L665" s="39"/>
      <c r="M665" s="39"/>
      <c r="N665" s="39"/>
      <c r="O665" s="39"/>
      <c r="P665" s="39"/>
      <c r="Q665" s="39">
        <v>1</v>
      </c>
      <c r="R665" s="39"/>
      <c r="S665" s="39">
        <v>0.17</v>
      </c>
      <c r="T665" s="39">
        <v>0.33</v>
      </c>
      <c r="U665" s="39">
        <v>0.17</v>
      </c>
      <c r="V665" s="39"/>
      <c r="W665" s="39"/>
      <c r="X665" s="49">
        <v>5770</v>
      </c>
      <c r="Y665" s="50">
        <v>4434.65</v>
      </c>
      <c r="Z665" s="51">
        <v>4398</v>
      </c>
      <c r="AA665" s="52">
        <f>IFERROR(Z665/Y665,0)</f>
        <v>0.991735537190083</v>
      </c>
      <c r="AB665" s="12">
        <v>4371</v>
      </c>
      <c r="AC665" s="12">
        <v>27</v>
      </c>
      <c r="AD665" s="19">
        <v>27</v>
      </c>
      <c r="AE665" s="43"/>
      <c r="AF665" s="43"/>
      <c r="AG665" s="43"/>
      <c r="AH665" s="43"/>
      <c r="AI665" s="43"/>
      <c r="AJ665" s="43"/>
      <c r="AK665" s="43"/>
      <c r="AL665" s="43"/>
      <c r="AM665" s="43"/>
      <c r="AN665" s="43"/>
      <c r="AO665" s="43"/>
      <c r="AP665" s="43"/>
      <c r="AQ665" s="43"/>
      <c r="AR665" s="43"/>
      <c r="AS665" s="43"/>
      <c r="AT665" s="43"/>
      <c r="AU665" s="43"/>
      <c r="AV665" s="43"/>
    </row>
    <row r="666" ht="15.75" spans="1:48">
      <c r="A666" s="12">
        <v>662</v>
      </c>
      <c r="B666" s="44">
        <v>4382</v>
      </c>
      <c r="C666" s="45" t="s">
        <v>173</v>
      </c>
      <c r="D666" s="46"/>
      <c r="E666" s="47" t="s">
        <v>50</v>
      </c>
      <c r="F666" s="48">
        <v>2</v>
      </c>
      <c r="G666" s="38">
        <v>0.33</v>
      </c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>
        <v>0.33</v>
      </c>
      <c r="U666" s="39"/>
      <c r="V666" s="39"/>
      <c r="W666" s="39"/>
      <c r="X666" s="49" t="s">
        <v>98</v>
      </c>
      <c r="Y666" s="50">
        <v>940</v>
      </c>
      <c r="Z666" s="51">
        <v>900</v>
      </c>
      <c r="AA666" s="52">
        <f>IFERROR(Z666/Y666,0)</f>
        <v>0.957446808510638</v>
      </c>
      <c r="AB666" s="12">
        <v>900</v>
      </c>
      <c r="AC666" s="12">
        <v>0</v>
      </c>
      <c r="AD666" s="43"/>
      <c r="AE666" s="43"/>
      <c r="AF666" s="43"/>
      <c r="AG666" s="43"/>
      <c r="AH666" s="43"/>
      <c r="AI666" s="43"/>
      <c r="AJ666" s="43"/>
      <c r="AK666" s="43"/>
      <c r="AL666" s="43"/>
      <c r="AM666" s="43"/>
      <c r="AN666" s="43"/>
      <c r="AO666" s="43"/>
      <c r="AP666" s="43"/>
      <c r="AQ666" s="43"/>
      <c r="AR666" s="43"/>
      <c r="AS666" s="43"/>
      <c r="AT666" s="43"/>
      <c r="AU666" s="43"/>
      <c r="AV666" s="43"/>
    </row>
    <row r="667" ht="15.75" spans="1:48">
      <c r="A667" s="12">
        <v>663</v>
      </c>
      <c r="B667" s="44">
        <v>4382</v>
      </c>
      <c r="C667" s="45" t="s">
        <v>173</v>
      </c>
      <c r="D667" s="46"/>
      <c r="E667" s="47" t="s">
        <v>50</v>
      </c>
      <c r="F667" s="48">
        <v>0.67</v>
      </c>
      <c r="G667" s="38">
        <v>0</v>
      </c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49" t="s">
        <v>90</v>
      </c>
      <c r="Y667" s="50">
        <v>314.9</v>
      </c>
      <c r="Z667" s="51">
        <v>360</v>
      </c>
      <c r="AA667" s="52">
        <f>IFERROR(Z667/Y667,0)</f>
        <v>1.14322006986345</v>
      </c>
      <c r="AB667" s="12">
        <v>360</v>
      </c>
      <c r="AC667" s="12">
        <v>0</v>
      </c>
      <c r="AD667" s="43"/>
      <c r="AE667" s="43"/>
      <c r="AF667" s="43"/>
      <c r="AG667" s="43"/>
      <c r="AH667" s="43"/>
      <c r="AI667" s="43"/>
      <c r="AJ667" s="43"/>
      <c r="AK667" s="43"/>
      <c r="AL667" s="43"/>
      <c r="AM667" s="43"/>
      <c r="AN667" s="43"/>
      <c r="AO667" s="43"/>
      <c r="AP667" s="43"/>
      <c r="AQ667" s="43"/>
      <c r="AR667" s="43"/>
      <c r="AS667" s="43"/>
      <c r="AT667" s="43"/>
      <c r="AU667" s="43"/>
      <c r="AV667" s="43"/>
    </row>
    <row r="668" ht="15.75" spans="1:48">
      <c r="A668" s="12">
        <v>664</v>
      </c>
      <c r="B668" s="44" t="s">
        <v>211</v>
      </c>
      <c r="C668" s="45" t="s">
        <v>176</v>
      </c>
      <c r="D668" s="46">
        <v>8</v>
      </c>
      <c r="E668" s="47" t="s">
        <v>50</v>
      </c>
      <c r="F668" s="48">
        <v>3</v>
      </c>
      <c r="G668" s="38">
        <v>0</v>
      </c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49">
        <v>2801</v>
      </c>
      <c r="Y668" s="50">
        <v>1815</v>
      </c>
      <c r="Z668" s="51">
        <v>1574</v>
      </c>
      <c r="AA668" s="52">
        <f>IFERROR(Z668/Y668,0)</f>
        <v>0.867217630853995</v>
      </c>
      <c r="AB668" s="12">
        <v>1574</v>
      </c>
      <c r="AC668" s="12">
        <v>0</v>
      </c>
      <c r="AD668" s="43"/>
      <c r="AE668" s="43"/>
      <c r="AF668" s="43"/>
      <c r="AG668" s="43"/>
      <c r="AH668" s="43"/>
      <c r="AI668" s="43"/>
      <c r="AJ668" s="43"/>
      <c r="AK668" s="43"/>
      <c r="AL668" s="43"/>
      <c r="AM668" s="43"/>
      <c r="AN668" s="43"/>
      <c r="AO668" s="43"/>
      <c r="AP668" s="43"/>
      <c r="AQ668" s="43"/>
      <c r="AR668" s="43"/>
      <c r="AS668" s="43"/>
      <c r="AT668" s="43"/>
      <c r="AU668" s="43"/>
      <c r="AV668" s="43"/>
    </row>
    <row r="669" ht="15.75" spans="1:48">
      <c r="A669" s="12">
        <v>665</v>
      </c>
      <c r="B669" s="44" t="s">
        <v>211</v>
      </c>
      <c r="C669" s="45" t="s">
        <v>176</v>
      </c>
      <c r="D669" s="46"/>
      <c r="E669" s="47" t="s">
        <v>50</v>
      </c>
      <c r="F669" s="48">
        <v>2</v>
      </c>
      <c r="G669" s="38">
        <v>0</v>
      </c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49" t="s">
        <v>103</v>
      </c>
      <c r="Y669" s="50">
        <v>1680</v>
      </c>
      <c r="Z669" s="51">
        <v>1574</v>
      </c>
      <c r="AA669" s="52">
        <f>IFERROR(Z669/Y669,0)</f>
        <v>0.936904761904762</v>
      </c>
      <c r="AB669" s="12">
        <v>1574</v>
      </c>
      <c r="AC669" s="12">
        <v>0</v>
      </c>
      <c r="AD669" s="43"/>
      <c r="AE669" s="43"/>
      <c r="AF669" s="43"/>
      <c r="AG669" s="43"/>
      <c r="AH669" s="43"/>
      <c r="AI669" s="43"/>
      <c r="AJ669" s="43"/>
      <c r="AK669" s="43"/>
      <c r="AL669" s="43"/>
      <c r="AM669" s="43"/>
      <c r="AN669" s="43"/>
      <c r="AO669" s="43"/>
      <c r="AP669" s="43"/>
      <c r="AQ669" s="43"/>
      <c r="AR669" s="43"/>
      <c r="AS669" s="43"/>
      <c r="AT669" s="43"/>
      <c r="AU669" s="43"/>
      <c r="AV669" s="43"/>
    </row>
    <row r="670" ht="15.75" spans="1:48">
      <c r="A670" s="12">
        <v>666</v>
      </c>
      <c r="B670" s="44">
        <v>4412</v>
      </c>
      <c r="C670" s="45" t="s">
        <v>177</v>
      </c>
      <c r="D670" s="46">
        <v>16</v>
      </c>
      <c r="E670" s="47" t="s">
        <v>50</v>
      </c>
      <c r="F670" s="48">
        <v>4</v>
      </c>
      <c r="G670" s="38">
        <v>2.17</v>
      </c>
      <c r="H670" s="39"/>
      <c r="I670" s="39"/>
      <c r="J670" s="39">
        <v>0.33</v>
      </c>
      <c r="K670" s="39"/>
      <c r="L670" s="39"/>
      <c r="M670" s="39"/>
      <c r="N670" s="39"/>
      <c r="O670" s="39"/>
      <c r="P670" s="39"/>
      <c r="Q670" s="39">
        <v>1.17</v>
      </c>
      <c r="R670" s="39"/>
      <c r="S670" s="39"/>
      <c r="T670" s="39">
        <v>0.17</v>
      </c>
      <c r="U670" s="39"/>
      <c r="V670" s="39">
        <v>0.5</v>
      </c>
      <c r="W670" s="39"/>
      <c r="X670" s="49">
        <v>1660</v>
      </c>
      <c r="Y670" s="50">
        <v>360</v>
      </c>
      <c r="Z670" s="51">
        <v>341</v>
      </c>
      <c r="AA670" s="52">
        <f>IFERROR(Z670/Y670,0)</f>
        <v>0.947222222222222</v>
      </c>
      <c r="AB670" s="12">
        <v>325</v>
      </c>
      <c r="AC670" s="12">
        <v>16</v>
      </c>
      <c r="AD670" s="19">
        <v>16</v>
      </c>
      <c r="AE670" s="43"/>
      <c r="AF670" s="43"/>
      <c r="AG670" s="43"/>
      <c r="AH670" s="43"/>
      <c r="AI670" s="43"/>
      <c r="AJ670" s="43"/>
      <c r="AK670" s="43"/>
      <c r="AL670" s="43"/>
      <c r="AM670" s="43"/>
      <c r="AN670" s="43"/>
      <c r="AO670" s="43"/>
      <c r="AP670" s="43"/>
      <c r="AQ670" s="43"/>
      <c r="AR670" s="43"/>
      <c r="AS670" s="43"/>
      <c r="AT670" s="43"/>
      <c r="AU670" s="43"/>
      <c r="AV670" s="43"/>
    </row>
    <row r="671" ht="15.75" spans="1:48">
      <c r="A671" s="12">
        <v>667</v>
      </c>
      <c r="B671" s="44">
        <v>4412</v>
      </c>
      <c r="C671" s="45" t="s">
        <v>177</v>
      </c>
      <c r="D671" s="46"/>
      <c r="E671" s="47" t="s">
        <v>50</v>
      </c>
      <c r="F671" s="48">
        <v>4</v>
      </c>
      <c r="G671" s="38">
        <v>0.17</v>
      </c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>
        <v>0.17</v>
      </c>
      <c r="V671" s="39"/>
      <c r="W671" s="39"/>
      <c r="X671" s="49">
        <v>1657</v>
      </c>
      <c r="Y671" s="50">
        <v>360</v>
      </c>
      <c r="Z671" s="51">
        <v>353</v>
      </c>
      <c r="AA671" s="52">
        <f>IFERROR(Z671/Y671,0)</f>
        <v>0.980555555555556</v>
      </c>
      <c r="AB671" s="12">
        <v>353</v>
      </c>
      <c r="AC671" s="12">
        <v>0</v>
      </c>
      <c r="AD671" s="43"/>
      <c r="AE671" s="43"/>
      <c r="AF671" s="43"/>
      <c r="AG671" s="43"/>
      <c r="AH671" s="43"/>
      <c r="AI671" s="43"/>
      <c r="AJ671" s="43"/>
      <c r="AK671" s="43"/>
      <c r="AL671" s="43"/>
      <c r="AM671" s="43"/>
      <c r="AN671" s="43"/>
      <c r="AO671" s="43"/>
      <c r="AP671" s="43"/>
      <c r="AQ671" s="43"/>
      <c r="AR671" s="43"/>
      <c r="AS671" s="43"/>
      <c r="AT671" s="43"/>
      <c r="AU671" s="43"/>
      <c r="AV671" s="43"/>
    </row>
    <row r="672" ht="15.75" spans="1:48">
      <c r="A672" s="12">
        <v>668</v>
      </c>
      <c r="B672" s="44">
        <v>4412</v>
      </c>
      <c r="C672" s="45" t="s">
        <v>177</v>
      </c>
      <c r="D672" s="46"/>
      <c r="E672" s="47" t="s">
        <v>50</v>
      </c>
      <c r="F672" s="48">
        <v>1.67</v>
      </c>
      <c r="G672" s="38">
        <v>0</v>
      </c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49" t="s">
        <v>104</v>
      </c>
      <c r="Y672" s="50">
        <v>25050</v>
      </c>
      <c r="Z672" s="51">
        <v>21056</v>
      </c>
      <c r="AA672" s="52">
        <f>IFERROR(Z672/Y672,0)</f>
        <v>0.840558882235529</v>
      </c>
      <c r="AB672" s="12">
        <v>21056</v>
      </c>
      <c r="AC672" s="12">
        <v>0</v>
      </c>
      <c r="AD672" s="43"/>
      <c r="AE672" s="43"/>
      <c r="AF672" s="43"/>
      <c r="AG672" s="43"/>
      <c r="AH672" s="43"/>
      <c r="AI672" s="43"/>
      <c r="AJ672" s="43"/>
      <c r="AK672" s="43"/>
      <c r="AL672" s="43"/>
      <c r="AM672" s="43"/>
      <c r="AN672" s="43"/>
      <c r="AO672" s="43"/>
      <c r="AP672" s="43"/>
      <c r="AQ672" s="43"/>
      <c r="AR672" s="43"/>
      <c r="AS672" s="43"/>
      <c r="AT672" s="43"/>
      <c r="AU672" s="43"/>
      <c r="AV672" s="43"/>
    </row>
    <row r="673" ht="15.75" spans="1:48">
      <c r="A673" s="12">
        <v>669</v>
      </c>
      <c r="B673" s="44">
        <v>4489</v>
      </c>
      <c r="C673" s="45" t="s">
        <v>88</v>
      </c>
      <c r="D673" s="46"/>
      <c r="E673" s="47" t="s">
        <v>50</v>
      </c>
      <c r="F673" s="48">
        <v>9.33</v>
      </c>
      <c r="G673" s="38">
        <v>1.51</v>
      </c>
      <c r="H673" s="39"/>
      <c r="I673" s="39"/>
      <c r="J673" s="39"/>
      <c r="K673" s="39">
        <v>0.17</v>
      </c>
      <c r="L673" s="39"/>
      <c r="M673" s="39"/>
      <c r="N673" s="39"/>
      <c r="O673" s="39"/>
      <c r="P673" s="39"/>
      <c r="Q673" s="39">
        <v>1.17</v>
      </c>
      <c r="R673" s="39"/>
      <c r="S673" s="39"/>
      <c r="T673" s="39"/>
      <c r="U673" s="39">
        <v>0.17</v>
      </c>
      <c r="V673" s="39"/>
      <c r="W673" s="39"/>
      <c r="X673" s="49">
        <v>9968</v>
      </c>
      <c r="Y673" s="50">
        <v>5644.65</v>
      </c>
      <c r="Z673" s="51">
        <v>5819</v>
      </c>
      <c r="AA673" s="52">
        <f>IFERROR(Z673/Y673,0)</f>
        <v>1.03088765468187</v>
      </c>
      <c r="AB673" s="12">
        <v>5809</v>
      </c>
      <c r="AC673" s="12">
        <v>10</v>
      </c>
      <c r="AD673" s="19">
        <v>10</v>
      </c>
      <c r="AE673" s="43"/>
      <c r="AF673" s="43"/>
      <c r="AG673" s="43"/>
      <c r="AH673" s="43"/>
      <c r="AI673" s="43"/>
      <c r="AJ673" s="43"/>
      <c r="AK673" s="43"/>
      <c r="AL673" s="43"/>
      <c r="AM673" s="43"/>
      <c r="AN673" s="43"/>
      <c r="AO673" s="43"/>
      <c r="AP673" s="43"/>
      <c r="AQ673" s="43"/>
      <c r="AR673" s="43"/>
      <c r="AS673" s="43"/>
      <c r="AT673" s="43"/>
      <c r="AU673" s="43"/>
      <c r="AV673" s="43"/>
    </row>
    <row r="674" ht="15.75" spans="1:48">
      <c r="A674" s="12">
        <v>670</v>
      </c>
      <c r="B674" s="44">
        <v>3268</v>
      </c>
      <c r="C674" s="45" t="s">
        <v>80</v>
      </c>
      <c r="D674" s="46"/>
      <c r="E674" s="47" t="s">
        <v>50</v>
      </c>
      <c r="F674" s="48">
        <v>3.67</v>
      </c>
      <c r="G674" s="38">
        <v>0</v>
      </c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49" t="s">
        <v>98</v>
      </c>
      <c r="Y674" s="50">
        <v>1724.9</v>
      </c>
      <c r="Z674" s="51">
        <v>1620</v>
      </c>
      <c r="AA674" s="52">
        <f>IFERROR(Z674/Y674,0)</f>
        <v>0.939184880282915</v>
      </c>
      <c r="AB674" s="12">
        <v>1620</v>
      </c>
      <c r="AC674" s="12">
        <v>0</v>
      </c>
      <c r="AD674" s="43"/>
      <c r="AE674" s="43"/>
      <c r="AF674" s="43"/>
      <c r="AG674" s="43"/>
      <c r="AH674" s="43"/>
      <c r="AI674" s="43"/>
      <c r="AJ674" s="43"/>
      <c r="AK674" s="43"/>
      <c r="AL674" s="43"/>
      <c r="AM674" s="43"/>
      <c r="AN674" s="43"/>
      <c r="AO674" s="43"/>
      <c r="AP674" s="43"/>
      <c r="AQ674" s="43"/>
      <c r="AR674" s="43"/>
      <c r="AS674" s="43"/>
      <c r="AT674" s="43"/>
      <c r="AU674" s="43"/>
      <c r="AV674" s="43"/>
    </row>
    <row r="675" ht="15.75" spans="1:48">
      <c r="A675" s="12">
        <v>671</v>
      </c>
      <c r="B675" s="44">
        <v>3268</v>
      </c>
      <c r="C675" s="45" t="s">
        <v>80</v>
      </c>
      <c r="D675" s="46"/>
      <c r="E675" s="47" t="s">
        <v>50</v>
      </c>
      <c r="F675" s="48">
        <v>3.67</v>
      </c>
      <c r="G675" s="38">
        <v>1.84</v>
      </c>
      <c r="H675" s="39"/>
      <c r="I675" s="39"/>
      <c r="J675" s="39"/>
      <c r="K675" s="39"/>
      <c r="L675" s="39"/>
      <c r="M675" s="39"/>
      <c r="N675" s="39"/>
      <c r="O675" s="39"/>
      <c r="P675" s="39"/>
      <c r="Q675" s="39">
        <v>1.17</v>
      </c>
      <c r="R675" s="39"/>
      <c r="S675" s="39">
        <v>0.5</v>
      </c>
      <c r="T675" s="39"/>
      <c r="U675" s="39">
        <v>0.17</v>
      </c>
      <c r="V675" s="39"/>
      <c r="W675" s="39"/>
      <c r="X675" s="49" t="s">
        <v>90</v>
      </c>
      <c r="Y675" s="50">
        <v>1724.9</v>
      </c>
      <c r="Z675" s="51">
        <v>1620</v>
      </c>
      <c r="AA675" s="52">
        <f>IFERROR(Z675/Y675,0)</f>
        <v>0.939184880282915</v>
      </c>
      <c r="AB675" s="12">
        <v>1620</v>
      </c>
      <c r="AC675" s="12">
        <v>0</v>
      </c>
      <c r="AD675" s="43"/>
      <c r="AE675" s="43"/>
      <c r="AF675" s="43"/>
      <c r="AG675" s="43"/>
      <c r="AH675" s="43"/>
      <c r="AI675" s="43"/>
      <c r="AJ675" s="43"/>
      <c r="AK675" s="43"/>
      <c r="AL675" s="43"/>
      <c r="AM675" s="43"/>
      <c r="AN675" s="43"/>
      <c r="AO675" s="43"/>
      <c r="AP675" s="43"/>
      <c r="AQ675" s="43"/>
      <c r="AR675" s="43"/>
      <c r="AS675" s="43"/>
      <c r="AT675" s="43"/>
      <c r="AU675" s="43"/>
      <c r="AV675" s="43"/>
    </row>
    <row r="676" ht="15.75" spans="1:48">
      <c r="A676" s="12">
        <v>672</v>
      </c>
      <c r="B676" s="44">
        <v>4310</v>
      </c>
      <c r="C676" s="45" t="s">
        <v>99</v>
      </c>
      <c r="D676" s="46">
        <v>5</v>
      </c>
      <c r="E676" s="47" t="s">
        <v>50</v>
      </c>
      <c r="F676" s="48">
        <v>2.83</v>
      </c>
      <c r="G676" s="38">
        <v>1.33</v>
      </c>
      <c r="H676" s="39"/>
      <c r="I676" s="39"/>
      <c r="J676" s="39"/>
      <c r="K676" s="39"/>
      <c r="L676" s="39"/>
      <c r="M676" s="39"/>
      <c r="N676" s="39"/>
      <c r="O676" s="39"/>
      <c r="P676" s="39"/>
      <c r="Q676" s="39">
        <v>0.83</v>
      </c>
      <c r="R676" s="39"/>
      <c r="S676" s="39"/>
      <c r="T676" s="39">
        <v>0.33</v>
      </c>
      <c r="U676" s="39">
        <v>0.17</v>
      </c>
      <c r="V676" s="39"/>
      <c r="W676" s="39"/>
      <c r="X676" s="49">
        <v>5770</v>
      </c>
      <c r="Y676" s="50">
        <v>1712.15</v>
      </c>
      <c r="Z676" s="51">
        <v>1748</v>
      </c>
      <c r="AA676" s="52">
        <f>IFERROR(Z676/Y676,0)</f>
        <v>1.02093858598838</v>
      </c>
      <c r="AB676" s="12">
        <v>1695</v>
      </c>
      <c r="AC676" s="12">
        <v>53</v>
      </c>
      <c r="AD676" s="19">
        <v>53</v>
      </c>
      <c r="AE676" s="43"/>
      <c r="AF676" s="43"/>
      <c r="AG676" s="43"/>
      <c r="AH676" s="43"/>
      <c r="AI676" s="43"/>
      <c r="AJ676" s="43"/>
      <c r="AK676" s="43"/>
      <c r="AL676" s="43"/>
      <c r="AM676" s="43"/>
      <c r="AN676" s="43"/>
      <c r="AO676" s="43"/>
      <c r="AP676" s="43"/>
      <c r="AQ676" s="43"/>
      <c r="AR676" s="43"/>
      <c r="AS676" s="43"/>
      <c r="AT676" s="43"/>
      <c r="AU676" s="43"/>
      <c r="AV676" s="43"/>
    </row>
    <row r="677" ht="15.75" spans="1:48">
      <c r="A677" s="12">
        <v>673</v>
      </c>
      <c r="B677" s="44">
        <v>4310</v>
      </c>
      <c r="C677" s="45" t="s">
        <v>99</v>
      </c>
      <c r="D677" s="46">
        <v>21</v>
      </c>
      <c r="E677" s="47" t="s">
        <v>50</v>
      </c>
      <c r="F677" s="48">
        <v>3.43</v>
      </c>
      <c r="G677" s="38">
        <v>0</v>
      </c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49" t="s">
        <v>222</v>
      </c>
      <c r="Y677" s="50">
        <v>4973.5</v>
      </c>
      <c r="Z677" s="51">
        <v>4500</v>
      </c>
      <c r="AA677" s="52">
        <f>IFERROR(Z677/Y677,0)</f>
        <v>0.904795415703227</v>
      </c>
      <c r="AB677" s="12">
        <v>4500</v>
      </c>
      <c r="AC677" s="12">
        <v>0</v>
      </c>
      <c r="AD677" s="43"/>
      <c r="AE677" s="43"/>
      <c r="AF677" s="43"/>
      <c r="AG677" s="43"/>
      <c r="AH677" s="43"/>
      <c r="AI677" s="43"/>
      <c r="AJ677" s="43"/>
      <c r="AK677" s="43"/>
      <c r="AL677" s="43"/>
      <c r="AM677" s="43"/>
      <c r="AN677" s="43"/>
      <c r="AO677" s="43"/>
      <c r="AP677" s="43"/>
      <c r="AQ677" s="43"/>
      <c r="AR677" s="43"/>
      <c r="AS677" s="43"/>
      <c r="AT677" s="43"/>
      <c r="AU677" s="43"/>
      <c r="AV677" s="43"/>
    </row>
    <row r="678" ht="15.75" spans="1:48">
      <c r="A678" s="12">
        <v>674</v>
      </c>
      <c r="B678" s="44">
        <v>4310</v>
      </c>
      <c r="C678" s="45" t="s">
        <v>99</v>
      </c>
      <c r="D678" s="46">
        <v>17</v>
      </c>
      <c r="E678" s="47" t="s">
        <v>50</v>
      </c>
      <c r="F678" s="48">
        <v>0.4</v>
      </c>
      <c r="G678" s="38">
        <v>0</v>
      </c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49" t="s">
        <v>96</v>
      </c>
      <c r="Y678" s="50">
        <v>580</v>
      </c>
      <c r="Z678" s="51">
        <v>500</v>
      </c>
      <c r="AA678" s="52">
        <f>IFERROR(Z678/Y678,0)</f>
        <v>0.862068965517241</v>
      </c>
      <c r="AB678" s="12">
        <v>500</v>
      </c>
      <c r="AC678" s="12">
        <v>0</v>
      </c>
      <c r="AD678" s="43"/>
      <c r="AE678" s="43"/>
      <c r="AF678" s="43"/>
      <c r="AG678" s="43"/>
      <c r="AH678" s="43"/>
      <c r="AI678" s="43"/>
      <c r="AJ678" s="43"/>
      <c r="AK678" s="43"/>
      <c r="AL678" s="43"/>
      <c r="AM678" s="43"/>
      <c r="AN678" s="43"/>
      <c r="AO678" s="43"/>
      <c r="AP678" s="43"/>
      <c r="AQ678" s="43"/>
      <c r="AR678" s="43"/>
      <c r="AS678" s="43"/>
      <c r="AT678" s="43"/>
      <c r="AU678" s="43"/>
      <c r="AV678" s="43"/>
    </row>
    <row r="679" ht="15.75" spans="1:48">
      <c r="A679" s="12">
        <v>675</v>
      </c>
      <c r="B679" s="57">
        <v>761</v>
      </c>
      <c r="C679" s="58" t="s">
        <v>89</v>
      </c>
      <c r="D679" s="59"/>
      <c r="E679" s="47" t="s">
        <v>50</v>
      </c>
      <c r="F679" s="48">
        <v>1.83</v>
      </c>
      <c r="G679" s="38">
        <v>1.17</v>
      </c>
      <c r="H679" s="39"/>
      <c r="I679" s="39"/>
      <c r="J679" s="39"/>
      <c r="K679" s="39"/>
      <c r="L679" s="39"/>
      <c r="M679" s="39"/>
      <c r="N679" s="39"/>
      <c r="O679" s="39"/>
      <c r="P679" s="39"/>
      <c r="Q679" s="39">
        <v>1.17</v>
      </c>
      <c r="R679" s="39"/>
      <c r="S679" s="39"/>
      <c r="T679" s="39"/>
      <c r="U679" s="39"/>
      <c r="V679" s="39"/>
      <c r="W679" s="39"/>
      <c r="X679" s="49" t="s">
        <v>101</v>
      </c>
      <c r="Y679" s="50">
        <v>3513.6</v>
      </c>
      <c r="Z679" s="51">
        <v>3240</v>
      </c>
      <c r="AA679" s="52">
        <f>IFERROR(Z679/Y679,0)</f>
        <v>0.922131147540984</v>
      </c>
      <c r="AB679" s="12">
        <v>3240</v>
      </c>
      <c r="AC679" s="12">
        <v>0</v>
      </c>
      <c r="AD679" s="43"/>
      <c r="AE679" s="43"/>
      <c r="AF679" s="43"/>
      <c r="AG679" s="43"/>
      <c r="AH679" s="43"/>
      <c r="AI679" s="43"/>
      <c r="AJ679" s="43"/>
      <c r="AK679" s="43"/>
      <c r="AL679" s="43"/>
      <c r="AM679" s="43"/>
      <c r="AN679" s="43"/>
      <c r="AO679" s="43"/>
      <c r="AP679" s="43"/>
      <c r="AQ679" s="43"/>
      <c r="AR679" s="43"/>
      <c r="AS679" s="43"/>
      <c r="AT679" s="43"/>
      <c r="AU679" s="43"/>
      <c r="AV679" s="43"/>
    </row>
    <row r="680" ht="15.75" spans="1:48">
      <c r="A680" s="12">
        <v>676</v>
      </c>
      <c r="B680" s="44">
        <v>761</v>
      </c>
      <c r="C680" s="45" t="s">
        <v>89</v>
      </c>
      <c r="D680" s="46"/>
      <c r="E680" s="47" t="s">
        <v>50</v>
      </c>
      <c r="F680" s="48">
        <v>2.5</v>
      </c>
      <c r="G680" s="38">
        <v>0</v>
      </c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49" t="s">
        <v>100</v>
      </c>
      <c r="Y680" s="50">
        <v>4800</v>
      </c>
      <c r="Z680" s="51">
        <v>4860</v>
      </c>
      <c r="AA680" s="52">
        <f>IFERROR(Z680/Y680,0)</f>
        <v>1.0125</v>
      </c>
      <c r="AB680" s="12">
        <v>4860</v>
      </c>
      <c r="AC680" s="12">
        <v>0</v>
      </c>
      <c r="AD680" s="43"/>
      <c r="AE680" s="43"/>
      <c r="AF680" s="43"/>
      <c r="AG680" s="43"/>
      <c r="AH680" s="43"/>
      <c r="AI680" s="43"/>
      <c r="AJ680" s="43"/>
      <c r="AK680" s="43"/>
      <c r="AL680" s="43"/>
      <c r="AM680" s="43"/>
      <c r="AN680" s="43"/>
      <c r="AO680" s="43"/>
      <c r="AP680" s="43"/>
      <c r="AQ680" s="43"/>
      <c r="AR680" s="43"/>
      <c r="AS680" s="43"/>
      <c r="AT680" s="43"/>
      <c r="AU680" s="43"/>
      <c r="AV680" s="43"/>
    </row>
    <row r="681" ht="15.75" spans="1:48">
      <c r="A681" s="12">
        <v>677</v>
      </c>
      <c r="B681" s="44">
        <v>761</v>
      </c>
      <c r="C681" s="45" t="s">
        <v>89</v>
      </c>
      <c r="D681" s="46"/>
      <c r="E681" s="47" t="s">
        <v>50</v>
      </c>
      <c r="F681" s="48">
        <v>1.9</v>
      </c>
      <c r="G681" s="38">
        <v>0</v>
      </c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49" t="s">
        <v>152</v>
      </c>
      <c r="Y681" s="50">
        <v>8265</v>
      </c>
      <c r="Z681" s="51">
        <v>7700</v>
      </c>
      <c r="AA681" s="52">
        <f>IFERROR(Z681/Y681,0)</f>
        <v>0.931639443436177</v>
      </c>
      <c r="AB681" s="12">
        <v>7700</v>
      </c>
      <c r="AC681" s="12">
        <v>0</v>
      </c>
      <c r="AD681" s="43"/>
      <c r="AE681" s="43"/>
      <c r="AF681" s="43"/>
      <c r="AG681" s="43"/>
      <c r="AH681" s="43"/>
      <c r="AI681" s="43"/>
      <c r="AJ681" s="43"/>
      <c r="AK681" s="43"/>
      <c r="AL681" s="43"/>
      <c r="AM681" s="43"/>
      <c r="AN681" s="43"/>
      <c r="AO681" s="43"/>
      <c r="AP681" s="43"/>
      <c r="AQ681" s="43"/>
      <c r="AR681" s="43"/>
      <c r="AS681" s="43"/>
      <c r="AT681" s="43"/>
      <c r="AU681" s="43"/>
      <c r="AV681" s="43"/>
    </row>
    <row r="682" ht="15.75" spans="1:48">
      <c r="A682" s="12">
        <v>678</v>
      </c>
      <c r="B682" s="44">
        <v>761</v>
      </c>
      <c r="C682" s="45" t="s">
        <v>89</v>
      </c>
      <c r="D682" s="46"/>
      <c r="E682" s="47" t="s">
        <v>50</v>
      </c>
      <c r="F682" s="48">
        <v>1</v>
      </c>
      <c r="G682" s="38">
        <v>0</v>
      </c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49" t="s">
        <v>229</v>
      </c>
      <c r="Y682" s="50">
        <v>3720</v>
      </c>
      <c r="Z682" s="51">
        <v>4050</v>
      </c>
      <c r="AA682" s="52">
        <f>IFERROR(Z682/Y682,0)</f>
        <v>1.08870967741935</v>
      </c>
      <c r="AB682" s="12">
        <v>4050</v>
      </c>
      <c r="AC682" s="12">
        <v>0</v>
      </c>
      <c r="AD682" s="43"/>
      <c r="AE682" s="43"/>
      <c r="AF682" s="43"/>
      <c r="AG682" s="43"/>
      <c r="AH682" s="43"/>
      <c r="AI682" s="43"/>
      <c r="AJ682" s="43"/>
      <c r="AK682" s="43"/>
      <c r="AL682" s="43"/>
      <c r="AM682" s="43"/>
      <c r="AN682" s="43"/>
      <c r="AO682" s="43"/>
      <c r="AP682" s="43"/>
      <c r="AQ682" s="43"/>
      <c r="AR682" s="43"/>
      <c r="AS682" s="43"/>
      <c r="AT682" s="43"/>
      <c r="AU682" s="43"/>
      <c r="AV682" s="43"/>
    </row>
    <row r="683" ht="15.75" spans="1:48">
      <c r="A683" s="12">
        <v>679</v>
      </c>
      <c r="B683" s="44">
        <v>761</v>
      </c>
      <c r="C683" s="45" t="s">
        <v>89</v>
      </c>
      <c r="D683" s="46"/>
      <c r="E683" s="47" t="s">
        <v>50</v>
      </c>
      <c r="F683" s="48">
        <v>0.6</v>
      </c>
      <c r="G683" s="38">
        <v>0</v>
      </c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49" t="s">
        <v>102</v>
      </c>
      <c r="Y683" s="50">
        <v>2700</v>
      </c>
      <c r="Z683" s="51">
        <v>2500</v>
      </c>
      <c r="AA683" s="52">
        <f>IFERROR(Z683/Y683,0)</f>
        <v>0.925925925925926</v>
      </c>
      <c r="AB683" s="12">
        <v>2500</v>
      </c>
      <c r="AC683" s="12">
        <v>0</v>
      </c>
      <c r="AD683" s="43"/>
      <c r="AE683" s="43"/>
      <c r="AF683" s="43"/>
      <c r="AG683" s="43"/>
      <c r="AH683" s="43"/>
      <c r="AI683" s="43"/>
      <c r="AJ683" s="43"/>
      <c r="AK683" s="43"/>
      <c r="AL683" s="43"/>
      <c r="AM683" s="43"/>
      <c r="AN683" s="43"/>
      <c r="AO683" s="43"/>
      <c r="AP683" s="43"/>
      <c r="AQ683" s="43"/>
      <c r="AR683" s="43"/>
      <c r="AS683" s="43"/>
      <c r="AT683" s="43"/>
      <c r="AU683" s="43"/>
      <c r="AV683" s="43"/>
    </row>
    <row r="684" ht="15.75" spans="1:48">
      <c r="A684" s="12">
        <v>680</v>
      </c>
      <c r="B684" s="44">
        <v>4360</v>
      </c>
      <c r="C684" s="45" t="s">
        <v>97</v>
      </c>
      <c r="D684" s="46"/>
      <c r="E684" s="47" t="s">
        <v>50</v>
      </c>
      <c r="F684" s="48">
        <v>1.17</v>
      </c>
      <c r="G684" s="38">
        <v>0</v>
      </c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49" t="s">
        <v>103</v>
      </c>
      <c r="Y684" s="50">
        <v>982.8</v>
      </c>
      <c r="Z684" s="51">
        <v>1028</v>
      </c>
      <c r="AA684" s="52">
        <f>IFERROR(Z684/Y684,0)</f>
        <v>1.04599104599105</v>
      </c>
      <c r="AB684" s="12">
        <v>1028</v>
      </c>
      <c r="AC684" s="12">
        <v>0</v>
      </c>
      <c r="AD684" s="43"/>
      <c r="AE684" s="43"/>
      <c r="AF684" s="43"/>
      <c r="AG684" s="43"/>
      <c r="AH684" s="43"/>
      <c r="AI684" s="43"/>
      <c r="AJ684" s="43"/>
      <c r="AK684" s="43"/>
      <c r="AL684" s="43"/>
      <c r="AM684" s="43"/>
      <c r="AN684" s="43"/>
      <c r="AO684" s="43"/>
      <c r="AP684" s="43"/>
      <c r="AQ684" s="43"/>
      <c r="AR684" s="43"/>
      <c r="AS684" s="43"/>
      <c r="AT684" s="43"/>
      <c r="AU684" s="43"/>
      <c r="AV684" s="43"/>
    </row>
    <row r="685" ht="15.75" spans="1:48">
      <c r="A685" s="12">
        <v>681</v>
      </c>
      <c r="B685" s="44">
        <v>846</v>
      </c>
      <c r="C685" s="45" t="s">
        <v>87</v>
      </c>
      <c r="D685" s="46"/>
      <c r="E685" s="47" t="s">
        <v>50</v>
      </c>
      <c r="F685" s="48">
        <v>3.66</v>
      </c>
      <c r="G685" s="38">
        <v>0</v>
      </c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49" t="s">
        <v>105</v>
      </c>
      <c r="Y685" s="50">
        <v>2415.6</v>
      </c>
      <c r="Z685" s="51">
        <v>1800</v>
      </c>
      <c r="AA685" s="52">
        <f>IFERROR(Z685/Y685,0)</f>
        <v>0.745156482861401</v>
      </c>
      <c r="AB685" s="12">
        <v>1800</v>
      </c>
      <c r="AC685" s="12">
        <v>0</v>
      </c>
      <c r="AD685" s="43"/>
      <c r="AE685" s="43"/>
      <c r="AF685" s="43"/>
      <c r="AG685" s="43"/>
      <c r="AH685" s="43"/>
      <c r="AI685" s="43"/>
      <c r="AJ685" s="43"/>
      <c r="AK685" s="43"/>
      <c r="AL685" s="43"/>
      <c r="AM685" s="43"/>
      <c r="AN685" s="43"/>
      <c r="AO685" s="43"/>
      <c r="AP685" s="43"/>
      <c r="AQ685" s="43"/>
      <c r="AR685" s="43"/>
      <c r="AS685" s="43"/>
      <c r="AT685" s="43"/>
      <c r="AU685" s="43"/>
      <c r="AV685" s="43"/>
    </row>
    <row r="686" ht="15.75" spans="1:48">
      <c r="A686" s="12">
        <v>682</v>
      </c>
      <c r="B686" s="44">
        <v>669</v>
      </c>
      <c r="C686" s="45" t="s">
        <v>94</v>
      </c>
      <c r="D686" s="46"/>
      <c r="E686" s="47" t="s">
        <v>50</v>
      </c>
      <c r="F686" s="48">
        <v>1.5</v>
      </c>
      <c r="G686" s="38">
        <v>0</v>
      </c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49" t="s">
        <v>104</v>
      </c>
      <c r="Y686" s="50">
        <v>22500</v>
      </c>
      <c r="Z686" s="51">
        <v>20000</v>
      </c>
      <c r="AA686" s="52">
        <f>IFERROR(Z686/Y686,0)</f>
        <v>0.888888888888889</v>
      </c>
      <c r="AB686" s="12">
        <v>20000</v>
      </c>
      <c r="AC686" s="12">
        <v>0</v>
      </c>
      <c r="AD686" s="43"/>
      <c r="AE686" s="43"/>
      <c r="AF686" s="43"/>
      <c r="AG686" s="43"/>
      <c r="AH686" s="43"/>
      <c r="AI686" s="43"/>
      <c r="AJ686" s="43"/>
      <c r="AK686" s="43"/>
      <c r="AL686" s="43"/>
      <c r="AM686" s="43"/>
      <c r="AN686" s="43"/>
      <c r="AO686" s="43"/>
      <c r="AP686" s="43"/>
      <c r="AQ686" s="43"/>
      <c r="AR686" s="43"/>
      <c r="AS686" s="43"/>
      <c r="AT686" s="43"/>
      <c r="AU686" s="43"/>
      <c r="AV686" s="43"/>
    </row>
    <row r="687" ht="15.75" spans="1:48">
      <c r="A687" s="12">
        <v>683</v>
      </c>
      <c r="B687" s="44">
        <v>4478</v>
      </c>
      <c r="C687" s="45" t="s">
        <v>128</v>
      </c>
      <c r="D687" s="46"/>
      <c r="E687" s="47" t="s">
        <v>50</v>
      </c>
      <c r="F687" s="48">
        <v>3</v>
      </c>
      <c r="G687" s="38">
        <v>0</v>
      </c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49" t="s">
        <v>104</v>
      </c>
      <c r="Y687" s="50">
        <v>45000</v>
      </c>
      <c r="Z687" s="51">
        <v>40000</v>
      </c>
      <c r="AA687" s="52">
        <f>IFERROR(Z687/Y687,0)</f>
        <v>0.888888888888889</v>
      </c>
      <c r="AB687" s="12">
        <v>40000</v>
      </c>
      <c r="AC687" s="12">
        <v>0</v>
      </c>
      <c r="AD687" s="43"/>
      <c r="AE687" s="43"/>
      <c r="AF687" s="43"/>
      <c r="AG687" s="43"/>
      <c r="AH687" s="43"/>
      <c r="AI687" s="43"/>
      <c r="AJ687" s="43"/>
      <c r="AK687" s="43"/>
      <c r="AL687" s="43"/>
      <c r="AM687" s="43"/>
      <c r="AN687" s="43"/>
      <c r="AO687" s="43"/>
      <c r="AP687" s="43"/>
      <c r="AQ687" s="43"/>
      <c r="AR687" s="43"/>
      <c r="AS687" s="43"/>
      <c r="AT687" s="43"/>
      <c r="AU687" s="43"/>
      <c r="AV687" s="43"/>
    </row>
    <row r="688" ht="15.75" spans="1:48">
      <c r="A688" s="12">
        <v>684</v>
      </c>
      <c r="B688" s="44">
        <v>4490</v>
      </c>
      <c r="C688" s="45" t="s">
        <v>91</v>
      </c>
      <c r="D688" s="46"/>
      <c r="E688" s="47" t="s">
        <v>50</v>
      </c>
      <c r="F688" s="48">
        <v>1.33</v>
      </c>
      <c r="G688" s="38">
        <v>0</v>
      </c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49" t="s">
        <v>103</v>
      </c>
      <c r="Y688" s="50">
        <v>1117.2</v>
      </c>
      <c r="Z688" s="51">
        <v>1200</v>
      </c>
      <c r="AA688" s="52">
        <f>IFERROR(Z688/Y688,0)</f>
        <v>1.07411385606874</v>
      </c>
      <c r="AB688" s="12">
        <v>1200</v>
      </c>
      <c r="AC688" s="12">
        <v>0</v>
      </c>
      <c r="AD688" s="43"/>
      <c r="AE688" s="43"/>
      <c r="AF688" s="43"/>
      <c r="AG688" s="43"/>
      <c r="AH688" s="43"/>
      <c r="AI688" s="43"/>
      <c r="AJ688" s="43"/>
      <c r="AK688" s="43"/>
      <c r="AL688" s="43"/>
      <c r="AM688" s="43"/>
      <c r="AN688" s="43"/>
      <c r="AO688" s="43"/>
      <c r="AP688" s="43"/>
      <c r="AQ688" s="43"/>
      <c r="AR688" s="43"/>
      <c r="AS688" s="43"/>
      <c r="AT688" s="43"/>
      <c r="AU688" s="43"/>
      <c r="AV688" s="43"/>
    </row>
    <row r="689" ht="15.75" spans="1:48">
      <c r="A689" s="12">
        <v>685</v>
      </c>
      <c r="B689" s="44">
        <v>4489</v>
      </c>
      <c r="C689" s="45" t="s">
        <v>88</v>
      </c>
      <c r="D689" s="46"/>
      <c r="E689" s="47" t="s">
        <v>50</v>
      </c>
      <c r="F689" s="48">
        <v>1.17</v>
      </c>
      <c r="G689" s="38">
        <v>0</v>
      </c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49" t="s">
        <v>103</v>
      </c>
      <c r="Y689" s="50">
        <v>982.8</v>
      </c>
      <c r="Z689" s="51">
        <v>899</v>
      </c>
      <c r="AA689" s="52">
        <f>IFERROR(Z689/Y689,0)</f>
        <v>0.914733414733415</v>
      </c>
      <c r="AB689" s="12">
        <v>899</v>
      </c>
      <c r="AC689" s="12">
        <v>0</v>
      </c>
      <c r="AD689" s="43"/>
      <c r="AE689" s="43"/>
      <c r="AF689" s="43"/>
      <c r="AG689" s="43"/>
      <c r="AH689" s="43"/>
      <c r="AI689" s="43"/>
      <c r="AJ689" s="43"/>
      <c r="AK689" s="43"/>
      <c r="AL689" s="43"/>
      <c r="AM689" s="43"/>
      <c r="AN689" s="43"/>
      <c r="AO689" s="43"/>
      <c r="AP689" s="43"/>
      <c r="AQ689" s="43"/>
      <c r="AR689" s="43"/>
      <c r="AS689" s="43"/>
      <c r="AT689" s="43"/>
      <c r="AU689" s="43"/>
      <c r="AV689" s="43"/>
    </row>
    <row r="690" ht="15.75" spans="1:48">
      <c r="A690" s="12">
        <v>686</v>
      </c>
      <c r="B690" s="44">
        <v>676</v>
      </c>
      <c r="C690" s="45" t="s">
        <v>171</v>
      </c>
      <c r="D690" s="46"/>
      <c r="E690" s="47" t="s">
        <v>50</v>
      </c>
      <c r="F690" s="48">
        <v>5.17</v>
      </c>
      <c r="G690" s="38">
        <v>0</v>
      </c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49" t="s">
        <v>103</v>
      </c>
      <c r="Y690" s="50">
        <v>4342.8</v>
      </c>
      <c r="Z690" s="51">
        <v>4371</v>
      </c>
      <c r="AA690" s="52">
        <f>IFERROR(Z690/Y690,0)</f>
        <v>1.00649350649351</v>
      </c>
      <c r="AB690" s="12">
        <v>4371</v>
      </c>
      <c r="AC690" s="12">
        <v>0</v>
      </c>
      <c r="AD690" s="43"/>
      <c r="AE690" s="43"/>
      <c r="AF690" s="43"/>
      <c r="AG690" s="43"/>
      <c r="AH690" s="43"/>
      <c r="AI690" s="43"/>
      <c r="AJ690" s="43"/>
      <c r="AK690" s="43"/>
      <c r="AL690" s="43"/>
      <c r="AM690" s="43"/>
      <c r="AN690" s="43"/>
      <c r="AO690" s="43"/>
      <c r="AP690" s="43"/>
      <c r="AQ690" s="43"/>
      <c r="AR690" s="43"/>
      <c r="AS690" s="43"/>
      <c r="AT690" s="43"/>
      <c r="AU690" s="43"/>
      <c r="AV690" s="43"/>
    </row>
    <row r="691" ht="15.75" spans="1:48">
      <c r="A691" s="12">
        <v>687</v>
      </c>
      <c r="B691" s="44" t="s">
        <v>230</v>
      </c>
      <c r="C691" s="45" t="s">
        <v>231</v>
      </c>
      <c r="D691" s="46"/>
      <c r="E691" s="47" t="s">
        <v>50</v>
      </c>
      <c r="F691" s="48">
        <v>3</v>
      </c>
      <c r="G691" s="38">
        <v>0</v>
      </c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49" t="s">
        <v>103</v>
      </c>
      <c r="Y691" s="50">
        <v>2520</v>
      </c>
      <c r="Z691" s="51">
        <v>2040</v>
      </c>
      <c r="AA691" s="52">
        <f>IFERROR(Z691/Y691,0)</f>
        <v>0.80952380952381</v>
      </c>
      <c r="AB691" s="12">
        <v>2040</v>
      </c>
      <c r="AC691" s="12">
        <v>0</v>
      </c>
      <c r="AD691" s="43"/>
      <c r="AE691" s="43"/>
      <c r="AF691" s="43"/>
      <c r="AG691" s="43"/>
      <c r="AH691" s="43"/>
      <c r="AI691" s="43"/>
      <c r="AJ691" s="43"/>
      <c r="AK691" s="43"/>
      <c r="AL691" s="43"/>
      <c r="AM691" s="43"/>
      <c r="AN691" s="43"/>
      <c r="AO691" s="43"/>
      <c r="AP691" s="43"/>
      <c r="AQ691" s="43"/>
      <c r="AR691" s="43"/>
      <c r="AS691" s="43"/>
      <c r="AT691" s="43"/>
      <c r="AU691" s="43"/>
      <c r="AV691" s="43"/>
    </row>
    <row r="692" ht="15.75" spans="1:48">
      <c r="A692" s="12">
        <v>688</v>
      </c>
      <c r="B692" s="44">
        <v>849</v>
      </c>
      <c r="C692" s="45" t="s">
        <v>108</v>
      </c>
      <c r="D692" s="46"/>
      <c r="E692" s="47" t="s">
        <v>50</v>
      </c>
      <c r="F692" s="48">
        <v>7.17</v>
      </c>
      <c r="G692" s="38">
        <v>0.83</v>
      </c>
      <c r="H692" s="39"/>
      <c r="I692" s="39"/>
      <c r="J692" s="39"/>
      <c r="K692" s="39"/>
      <c r="L692" s="39"/>
      <c r="M692" s="39"/>
      <c r="N692" s="39"/>
      <c r="O692" s="39"/>
      <c r="P692" s="39"/>
      <c r="Q692" s="39">
        <v>0.83</v>
      </c>
      <c r="R692" s="39"/>
      <c r="S692" s="39"/>
      <c r="T692" s="39"/>
      <c r="U692" s="39"/>
      <c r="V692" s="39"/>
      <c r="W692" s="39"/>
      <c r="X692" s="49" t="s">
        <v>103</v>
      </c>
      <c r="Y692" s="50">
        <v>6022.8</v>
      </c>
      <c r="Z692" s="51">
        <v>4920</v>
      </c>
      <c r="AA692" s="52">
        <f>IFERROR(Z692/Y692,0)</f>
        <v>0.816895795975294</v>
      </c>
      <c r="AB692" s="12">
        <v>4920</v>
      </c>
      <c r="AC692" s="12">
        <v>0</v>
      </c>
      <c r="AD692" s="43"/>
      <c r="AE692" s="43"/>
      <c r="AF692" s="43"/>
      <c r="AG692" s="43"/>
      <c r="AH692" s="43"/>
      <c r="AI692" s="43"/>
      <c r="AJ692" s="43"/>
      <c r="AK692" s="43"/>
      <c r="AL692" s="43"/>
      <c r="AM692" s="43"/>
      <c r="AN692" s="43"/>
      <c r="AO692" s="43"/>
      <c r="AP692" s="43"/>
      <c r="AQ692" s="43"/>
      <c r="AR692" s="43"/>
      <c r="AS692" s="43"/>
      <c r="AT692" s="43"/>
      <c r="AU692" s="43"/>
      <c r="AV692" s="43"/>
    </row>
    <row r="693" ht="15.75" spans="1:48">
      <c r="A693" s="12">
        <v>689</v>
      </c>
      <c r="B693" s="44">
        <v>850</v>
      </c>
      <c r="C693" s="45" t="s">
        <v>109</v>
      </c>
      <c r="D693" s="46"/>
      <c r="E693" s="47" t="s">
        <v>243</v>
      </c>
      <c r="F693" s="48">
        <v>3.5</v>
      </c>
      <c r="G693" s="38">
        <v>0.83</v>
      </c>
      <c r="H693" s="39"/>
      <c r="I693" s="39"/>
      <c r="J693" s="39"/>
      <c r="K693" s="39"/>
      <c r="L693" s="39"/>
      <c r="M693" s="39"/>
      <c r="N693" s="39"/>
      <c r="O693" s="39"/>
      <c r="P693" s="39"/>
      <c r="Q693" s="39">
        <v>0.83</v>
      </c>
      <c r="R693" s="39"/>
      <c r="S693" s="39"/>
      <c r="T693" s="39"/>
      <c r="U693" s="39"/>
      <c r="V693" s="39"/>
      <c r="W693" s="39"/>
      <c r="X693" s="49" t="s">
        <v>103</v>
      </c>
      <c r="Y693" s="50">
        <v>2352</v>
      </c>
      <c r="Z693" s="51">
        <v>1695</v>
      </c>
      <c r="AA693" s="52">
        <f>IFERROR(Z693/Y693,0)</f>
        <v>0.720663265306122</v>
      </c>
      <c r="AB693" s="12">
        <v>1695</v>
      </c>
      <c r="AC693" s="12">
        <v>0</v>
      </c>
      <c r="AD693" s="43"/>
      <c r="AE693" s="43"/>
      <c r="AF693" s="43"/>
      <c r="AG693" s="43"/>
      <c r="AH693" s="43"/>
      <c r="AI693" s="43"/>
      <c r="AJ693" s="43"/>
      <c r="AK693" s="43"/>
      <c r="AL693" s="43"/>
      <c r="AM693" s="43"/>
      <c r="AN693" s="43"/>
      <c r="AO693" s="43"/>
      <c r="AP693" s="43"/>
      <c r="AQ693" s="43"/>
      <c r="AR693" s="43"/>
      <c r="AS693" s="43"/>
      <c r="AT693" s="43"/>
      <c r="AU693" s="43"/>
      <c r="AV693" s="43"/>
    </row>
    <row r="694" ht="15.75" spans="1:48">
      <c r="A694" s="12">
        <v>690</v>
      </c>
      <c r="B694" s="44">
        <v>850</v>
      </c>
      <c r="C694" s="45" t="s">
        <v>109</v>
      </c>
      <c r="D694" s="46"/>
      <c r="E694" s="47" t="s">
        <v>244</v>
      </c>
      <c r="F694" s="48">
        <v>3.67</v>
      </c>
      <c r="G694" s="38">
        <v>0</v>
      </c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49" t="s">
        <v>105</v>
      </c>
      <c r="Y694" s="50">
        <v>1937.76</v>
      </c>
      <c r="Z694" s="51">
        <v>1500</v>
      </c>
      <c r="AA694" s="52">
        <f>IFERROR(Z694/Y694,0)</f>
        <v>0.774089670547436</v>
      </c>
      <c r="AB694" s="12">
        <v>1500</v>
      </c>
      <c r="AC694" s="12">
        <v>0</v>
      </c>
      <c r="AD694" s="43"/>
      <c r="AE694" s="43"/>
      <c r="AF694" s="43"/>
      <c r="AG694" s="43"/>
      <c r="AH694" s="43"/>
      <c r="AI694" s="43"/>
      <c r="AJ694" s="43"/>
      <c r="AK694" s="43"/>
      <c r="AL694" s="43"/>
      <c r="AM694" s="43"/>
      <c r="AN694" s="43"/>
      <c r="AO694" s="43"/>
      <c r="AP694" s="43"/>
      <c r="AQ694" s="43"/>
      <c r="AR694" s="43"/>
      <c r="AS694" s="43"/>
      <c r="AT694" s="43"/>
      <c r="AU694" s="43"/>
      <c r="AV694" s="43"/>
    </row>
    <row r="695" ht="15.75" spans="1:48">
      <c r="A695" s="12">
        <v>691</v>
      </c>
      <c r="B695" s="44" t="s">
        <v>181</v>
      </c>
      <c r="C695" s="45" t="s">
        <v>182</v>
      </c>
      <c r="D695" s="46"/>
      <c r="E695" s="47" t="s">
        <v>243</v>
      </c>
      <c r="F695" s="48">
        <v>7.17</v>
      </c>
      <c r="G695" s="38">
        <v>0.83</v>
      </c>
      <c r="H695" s="39"/>
      <c r="I695" s="39"/>
      <c r="J695" s="39"/>
      <c r="K695" s="39"/>
      <c r="L695" s="39"/>
      <c r="M695" s="39"/>
      <c r="N695" s="39"/>
      <c r="O695" s="39"/>
      <c r="P695" s="39"/>
      <c r="Q695" s="39">
        <v>0.83</v>
      </c>
      <c r="R695" s="39"/>
      <c r="S695" s="39"/>
      <c r="T695" s="39"/>
      <c r="U695" s="39"/>
      <c r="V695" s="39"/>
      <c r="W695" s="39"/>
      <c r="X695" s="49" t="s">
        <v>103</v>
      </c>
      <c r="Y695" s="50">
        <v>4818.24</v>
      </c>
      <c r="Z695" s="51">
        <v>4200</v>
      </c>
      <c r="AA695" s="52">
        <f>IFERROR(Z695/Y695,0)</f>
        <v>0.871687587168759</v>
      </c>
      <c r="AB695" s="12">
        <v>4200</v>
      </c>
      <c r="AC695" s="12">
        <v>0</v>
      </c>
      <c r="AD695" s="43"/>
      <c r="AE695" s="43"/>
      <c r="AF695" s="43"/>
      <c r="AG695" s="43"/>
      <c r="AH695" s="43"/>
      <c r="AI695" s="43"/>
      <c r="AJ695" s="43"/>
      <c r="AK695" s="43"/>
      <c r="AL695" s="43"/>
      <c r="AM695" s="43"/>
      <c r="AN695" s="43"/>
      <c r="AO695" s="43"/>
      <c r="AP695" s="43"/>
      <c r="AQ695" s="43"/>
      <c r="AR695" s="43"/>
      <c r="AS695" s="43"/>
      <c r="AT695" s="43"/>
      <c r="AU695" s="43"/>
      <c r="AV695" s="43"/>
    </row>
    <row r="696" ht="15.75" spans="1:48">
      <c r="A696" s="12">
        <v>692</v>
      </c>
      <c r="B696" s="44">
        <v>959</v>
      </c>
      <c r="C696" s="45" t="s">
        <v>168</v>
      </c>
      <c r="D696" s="46"/>
      <c r="E696" s="47" t="s">
        <v>50</v>
      </c>
      <c r="F696" s="48">
        <v>3</v>
      </c>
      <c r="G696" s="38">
        <v>0</v>
      </c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49" t="s">
        <v>105</v>
      </c>
      <c r="Y696" s="50">
        <v>1980</v>
      </c>
      <c r="Z696" s="51">
        <v>1740</v>
      </c>
      <c r="AA696" s="52">
        <f>IFERROR(Z696/Y696,0)</f>
        <v>0.878787878787879</v>
      </c>
      <c r="AB696" s="12">
        <v>1740</v>
      </c>
      <c r="AC696" s="12">
        <v>0</v>
      </c>
      <c r="AD696" s="43"/>
      <c r="AE696" s="43"/>
      <c r="AF696" s="43"/>
      <c r="AG696" s="43"/>
      <c r="AH696" s="43"/>
      <c r="AI696" s="43"/>
      <c r="AJ696" s="43"/>
      <c r="AK696" s="43"/>
      <c r="AL696" s="43"/>
      <c r="AM696" s="43"/>
      <c r="AN696" s="43"/>
      <c r="AO696" s="43"/>
      <c r="AP696" s="43"/>
      <c r="AQ696" s="43"/>
      <c r="AR696" s="43"/>
      <c r="AS696" s="43"/>
      <c r="AT696" s="43"/>
      <c r="AU696" s="43"/>
      <c r="AV696" s="43"/>
    </row>
    <row r="697" ht="15.75" spans="1:48">
      <c r="A697" s="12">
        <v>693</v>
      </c>
      <c r="B697" s="44">
        <v>2516</v>
      </c>
      <c r="C697" s="45" t="s">
        <v>189</v>
      </c>
      <c r="D697" s="46" t="s">
        <v>53</v>
      </c>
      <c r="E697" s="47" t="s">
        <v>50</v>
      </c>
      <c r="F697" s="48">
        <v>10.33</v>
      </c>
      <c r="G697" s="38">
        <v>1.67</v>
      </c>
      <c r="H697" s="39"/>
      <c r="I697" s="39"/>
      <c r="J697" s="39"/>
      <c r="K697" s="39"/>
      <c r="L697" s="39"/>
      <c r="M697" s="39"/>
      <c r="N697" s="39"/>
      <c r="O697" s="39"/>
      <c r="P697" s="39"/>
      <c r="Q697" s="39">
        <v>1.17</v>
      </c>
      <c r="R697" s="39"/>
      <c r="S697" s="39">
        <v>0.33</v>
      </c>
      <c r="T697" s="39"/>
      <c r="U697" s="39">
        <v>0.17</v>
      </c>
      <c r="V697" s="39"/>
      <c r="W697" s="39"/>
      <c r="X697" s="49" t="s">
        <v>55</v>
      </c>
      <c r="Y697" s="50">
        <v>24946.95</v>
      </c>
      <c r="Z697" s="51">
        <v>25440</v>
      </c>
      <c r="AA697" s="52">
        <f>IFERROR(Z697/Y697,0)</f>
        <v>1.01976393907872</v>
      </c>
      <c r="AB697" s="12">
        <v>25437</v>
      </c>
      <c r="AC697" s="12">
        <v>3</v>
      </c>
      <c r="AD697" s="43"/>
      <c r="AE697" s="43"/>
      <c r="AF697" s="43"/>
      <c r="AG697" s="43"/>
      <c r="AH697" s="43"/>
      <c r="AI697" s="43"/>
      <c r="AJ697" s="43"/>
      <c r="AK697" s="43"/>
      <c r="AL697" s="43"/>
      <c r="AM697" s="43"/>
      <c r="AN697" s="19">
        <v>3</v>
      </c>
      <c r="AO697" s="43"/>
      <c r="AP697" s="43"/>
      <c r="AQ697" s="43"/>
      <c r="AR697" s="43"/>
      <c r="AS697" s="43"/>
      <c r="AT697" s="43"/>
      <c r="AU697" s="43"/>
      <c r="AV697" s="43"/>
    </row>
    <row r="698" ht="15.75" spans="1:48">
      <c r="A698" s="12">
        <v>694</v>
      </c>
      <c r="B698" s="44">
        <v>3353</v>
      </c>
      <c r="C698" s="45" t="s">
        <v>48</v>
      </c>
      <c r="D698" s="46" t="s">
        <v>112</v>
      </c>
      <c r="E698" s="47" t="s">
        <v>50</v>
      </c>
      <c r="F698" s="48">
        <v>6</v>
      </c>
      <c r="G698" s="38">
        <v>6.01</v>
      </c>
      <c r="H698" s="39"/>
      <c r="I698" s="39"/>
      <c r="J698" s="39"/>
      <c r="K698" s="39"/>
      <c r="L698" s="39"/>
      <c r="M698" s="39"/>
      <c r="N698" s="39"/>
      <c r="O698" s="39"/>
      <c r="P698" s="39"/>
      <c r="Q698" s="39">
        <v>1.17</v>
      </c>
      <c r="R698" s="39"/>
      <c r="S698" s="39">
        <v>4.67</v>
      </c>
      <c r="T698" s="39"/>
      <c r="U698" s="39">
        <v>0.17</v>
      </c>
      <c r="V698" s="39"/>
      <c r="W698" s="39"/>
      <c r="X698" s="49" t="s">
        <v>190</v>
      </c>
      <c r="Y698" s="50">
        <v>5400</v>
      </c>
      <c r="Z698" s="51">
        <v>5060</v>
      </c>
      <c r="AA698" s="52">
        <f>IFERROR(Z698/Y698,0)</f>
        <v>0.937037037037037</v>
      </c>
      <c r="AB698" s="12">
        <v>5060</v>
      </c>
      <c r="AC698" s="12">
        <v>0</v>
      </c>
      <c r="AD698" s="43"/>
      <c r="AE698" s="43"/>
      <c r="AF698" s="43"/>
      <c r="AG698" s="43"/>
      <c r="AH698" s="43"/>
      <c r="AI698" s="43"/>
      <c r="AJ698" s="43"/>
      <c r="AK698" s="43"/>
      <c r="AL698" s="43"/>
      <c r="AM698" s="43"/>
      <c r="AN698" s="43"/>
      <c r="AO698" s="43"/>
      <c r="AP698" s="43"/>
      <c r="AQ698" s="43"/>
      <c r="AR698" s="43"/>
      <c r="AS698" s="43"/>
      <c r="AT698" s="43"/>
      <c r="AU698" s="43"/>
      <c r="AV698" s="43"/>
    </row>
    <row r="699" ht="15.75" spans="1:48">
      <c r="A699" s="12">
        <v>695</v>
      </c>
      <c r="B699" s="44">
        <v>3526</v>
      </c>
      <c r="C699" s="45" t="s">
        <v>65</v>
      </c>
      <c r="D699" s="46"/>
      <c r="E699" s="47" t="s">
        <v>50</v>
      </c>
      <c r="F699" s="48">
        <v>10.83</v>
      </c>
      <c r="G699" s="38">
        <v>1.17</v>
      </c>
      <c r="H699" s="39"/>
      <c r="I699" s="39"/>
      <c r="J699" s="39"/>
      <c r="K699" s="39"/>
      <c r="L699" s="39"/>
      <c r="M699" s="39"/>
      <c r="N699" s="39"/>
      <c r="O699" s="39"/>
      <c r="P699" s="39"/>
      <c r="Q699" s="39">
        <v>1.17</v>
      </c>
      <c r="R699" s="39"/>
      <c r="S699" s="39"/>
      <c r="T699" s="39"/>
      <c r="U699" s="39"/>
      <c r="V699" s="39"/>
      <c r="W699" s="39"/>
      <c r="X699" s="49" t="s">
        <v>191</v>
      </c>
      <c r="Y699" s="50">
        <v>3628.05</v>
      </c>
      <c r="Z699" s="51">
        <v>3400</v>
      </c>
      <c r="AA699" s="52">
        <f>IFERROR(Z699/Y699,0)</f>
        <v>0.937142542136961</v>
      </c>
      <c r="AB699" s="12">
        <v>3400</v>
      </c>
      <c r="AC699" s="12">
        <v>0</v>
      </c>
      <c r="AD699" s="43"/>
      <c r="AE699" s="43"/>
      <c r="AF699" s="43"/>
      <c r="AG699" s="43"/>
      <c r="AH699" s="43"/>
      <c r="AI699" s="43"/>
      <c r="AJ699" s="43"/>
      <c r="AK699" s="43"/>
      <c r="AL699" s="43"/>
      <c r="AM699" s="43"/>
      <c r="AN699" s="43"/>
      <c r="AO699" s="43"/>
      <c r="AP699" s="43"/>
      <c r="AQ699" s="43"/>
      <c r="AR699" s="43"/>
      <c r="AS699" s="43"/>
      <c r="AT699" s="43"/>
      <c r="AU699" s="43"/>
      <c r="AV699" s="43"/>
    </row>
    <row r="700" ht="15.75" spans="1:48">
      <c r="A700" s="12">
        <v>696</v>
      </c>
      <c r="B700" s="44">
        <v>845</v>
      </c>
      <c r="C700" s="45" t="s">
        <v>70</v>
      </c>
      <c r="D700" s="46">
        <v>12</v>
      </c>
      <c r="E700" s="47" t="s">
        <v>50</v>
      </c>
      <c r="F700" s="48">
        <v>10</v>
      </c>
      <c r="G700" s="38">
        <v>2.01</v>
      </c>
      <c r="H700" s="39"/>
      <c r="I700" s="39"/>
      <c r="J700" s="39"/>
      <c r="K700" s="39"/>
      <c r="L700" s="39"/>
      <c r="M700" s="39"/>
      <c r="N700" s="39"/>
      <c r="O700" s="39"/>
      <c r="P700" s="39"/>
      <c r="Q700" s="39">
        <v>1.17</v>
      </c>
      <c r="R700" s="39"/>
      <c r="S700" s="39"/>
      <c r="T700" s="39">
        <v>0.67</v>
      </c>
      <c r="U700" s="39">
        <v>0.17</v>
      </c>
      <c r="V700" s="39"/>
      <c r="W700" s="39"/>
      <c r="X700" s="49" t="s">
        <v>194</v>
      </c>
      <c r="Y700" s="50">
        <v>3350</v>
      </c>
      <c r="Z700" s="51">
        <v>3240</v>
      </c>
      <c r="AA700" s="52">
        <f>IFERROR(Z700/Y700,0)</f>
        <v>0.967164179104478</v>
      </c>
      <c r="AB700" s="12">
        <v>2950</v>
      </c>
      <c r="AC700" s="12">
        <v>290</v>
      </c>
      <c r="AD700" s="19">
        <v>290</v>
      </c>
      <c r="AE700" s="43"/>
      <c r="AF700" s="43"/>
      <c r="AG700" s="43"/>
      <c r="AH700" s="43"/>
      <c r="AI700" s="43"/>
      <c r="AJ700" s="43"/>
      <c r="AK700" s="43"/>
      <c r="AL700" s="43"/>
      <c r="AM700" s="43"/>
      <c r="AN700" s="43"/>
      <c r="AO700" s="43"/>
      <c r="AP700" s="43"/>
      <c r="AQ700" s="43"/>
      <c r="AR700" s="43"/>
      <c r="AS700" s="43"/>
      <c r="AT700" s="43"/>
      <c r="AU700" s="43"/>
      <c r="AV700" s="43"/>
    </row>
    <row r="701" ht="15.75" spans="1:48">
      <c r="A701" s="12">
        <v>697</v>
      </c>
      <c r="B701" s="44">
        <v>4031</v>
      </c>
      <c r="C701" s="45" t="s">
        <v>64</v>
      </c>
      <c r="D701" s="46">
        <v>10</v>
      </c>
      <c r="E701" s="47" t="s">
        <v>50</v>
      </c>
      <c r="F701" s="48">
        <v>10.67</v>
      </c>
      <c r="G701" s="38">
        <v>1.34</v>
      </c>
      <c r="H701" s="39"/>
      <c r="I701" s="39"/>
      <c r="J701" s="39"/>
      <c r="K701" s="39"/>
      <c r="L701" s="39"/>
      <c r="M701" s="39"/>
      <c r="N701" s="39"/>
      <c r="O701" s="39"/>
      <c r="P701" s="39"/>
      <c r="Q701" s="39">
        <v>1.17</v>
      </c>
      <c r="R701" s="39"/>
      <c r="S701" s="39"/>
      <c r="T701" s="39"/>
      <c r="U701" s="39">
        <v>0.17</v>
      </c>
      <c r="V701" s="39"/>
      <c r="W701" s="39"/>
      <c r="X701" s="49">
        <v>127</v>
      </c>
      <c r="Y701" s="50">
        <v>5335</v>
      </c>
      <c r="Z701" s="51">
        <v>5368</v>
      </c>
      <c r="AA701" s="52">
        <f>IFERROR(Z701/Y701,0)</f>
        <v>1.00618556701031</v>
      </c>
      <c r="AB701" s="12">
        <v>5368</v>
      </c>
      <c r="AC701" s="12">
        <v>0</v>
      </c>
      <c r="AD701" s="43"/>
      <c r="AE701" s="43"/>
      <c r="AF701" s="43"/>
      <c r="AG701" s="43"/>
      <c r="AH701" s="43"/>
      <c r="AI701" s="43"/>
      <c r="AJ701" s="43"/>
      <c r="AK701" s="43"/>
      <c r="AL701" s="43"/>
      <c r="AM701" s="43"/>
      <c r="AN701" s="43"/>
      <c r="AO701" s="43"/>
      <c r="AP701" s="43"/>
      <c r="AQ701" s="43"/>
      <c r="AR701" s="43"/>
      <c r="AS701" s="43"/>
      <c r="AT701" s="43"/>
      <c r="AU701" s="43"/>
      <c r="AV701" s="43"/>
    </row>
    <row r="702" ht="15.75" spans="1:48">
      <c r="A702" s="12">
        <v>698</v>
      </c>
      <c r="B702" s="44">
        <v>698</v>
      </c>
      <c r="C702" s="45" t="s">
        <v>68</v>
      </c>
      <c r="D702" s="46">
        <v>11</v>
      </c>
      <c r="E702" s="47" t="s">
        <v>50</v>
      </c>
      <c r="F702" s="48">
        <v>10.67</v>
      </c>
      <c r="G702" s="38">
        <v>1.34</v>
      </c>
      <c r="H702" s="39"/>
      <c r="I702" s="39"/>
      <c r="J702" s="39"/>
      <c r="K702" s="39"/>
      <c r="L702" s="39"/>
      <c r="M702" s="39"/>
      <c r="N702" s="39"/>
      <c r="O702" s="39"/>
      <c r="P702" s="39"/>
      <c r="Q702" s="39">
        <v>1.17</v>
      </c>
      <c r="R702" s="39"/>
      <c r="S702" s="39"/>
      <c r="T702" s="39"/>
      <c r="U702" s="39">
        <v>0.17</v>
      </c>
      <c r="V702" s="39"/>
      <c r="W702" s="39"/>
      <c r="X702" s="49" t="s">
        <v>69</v>
      </c>
      <c r="Y702" s="50">
        <v>5441.7</v>
      </c>
      <c r="Z702" s="51">
        <v>5400</v>
      </c>
      <c r="AA702" s="52">
        <f>IFERROR(Z702/Y702,0)</f>
        <v>0.992336953525553</v>
      </c>
      <c r="AB702" s="12">
        <v>5400</v>
      </c>
      <c r="AC702" s="12">
        <v>0</v>
      </c>
      <c r="AD702" s="43"/>
      <c r="AE702" s="43"/>
      <c r="AF702" s="43"/>
      <c r="AG702" s="43"/>
      <c r="AH702" s="43"/>
      <c r="AI702" s="43"/>
      <c r="AJ702" s="43"/>
      <c r="AK702" s="43"/>
      <c r="AL702" s="43"/>
      <c r="AM702" s="43"/>
      <c r="AN702" s="43"/>
      <c r="AO702" s="43"/>
      <c r="AP702" s="43"/>
      <c r="AQ702" s="43"/>
      <c r="AR702" s="43"/>
      <c r="AS702" s="43"/>
      <c r="AT702" s="43"/>
      <c r="AU702" s="43"/>
      <c r="AV702" s="43"/>
    </row>
    <row r="703" ht="15.75" spans="1:48">
      <c r="A703" s="12">
        <v>699</v>
      </c>
      <c r="B703" s="44">
        <v>3352</v>
      </c>
      <c r="C703" s="45" t="s">
        <v>66</v>
      </c>
      <c r="D703" s="46"/>
      <c r="E703" s="47" t="s">
        <v>50</v>
      </c>
      <c r="F703" s="48">
        <v>10.83</v>
      </c>
      <c r="G703" s="38">
        <v>1.17</v>
      </c>
      <c r="H703" s="39"/>
      <c r="I703" s="39"/>
      <c r="J703" s="39"/>
      <c r="K703" s="39"/>
      <c r="L703" s="39"/>
      <c r="M703" s="39"/>
      <c r="N703" s="39"/>
      <c r="O703" s="39"/>
      <c r="P703" s="39"/>
      <c r="Q703" s="39">
        <v>1.17</v>
      </c>
      <c r="R703" s="39"/>
      <c r="S703" s="39"/>
      <c r="T703" s="39"/>
      <c r="U703" s="39"/>
      <c r="V703" s="39"/>
      <c r="W703" s="39"/>
      <c r="X703" s="49" t="s">
        <v>67</v>
      </c>
      <c r="Y703" s="50">
        <v>2707.5</v>
      </c>
      <c r="Z703" s="51">
        <v>2600</v>
      </c>
      <c r="AA703" s="52">
        <f>IFERROR(Z703/Y703,0)</f>
        <v>0.960295475530933</v>
      </c>
      <c r="AB703" s="12">
        <v>2600</v>
      </c>
      <c r="AC703" s="12">
        <v>0</v>
      </c>
      <c r="AD703" s="43"/>
      <c r="AE703" s="43"/>
      <c r="AF703" s="43"/>
      <c r="AG703" s="43"/>
      <c r="AH703" s="43"/>
      <c r="AI703" s="43"/>
      <c r="AJ703" s="43"/>
      <c r="AK703" s="43"/>
      <c r="AL703" s="43"/>
      <c r="AM703" s="43"/>
      <c r="AN703" s="43"/>
      <c r="AO703" s="43"/>
      <c r="AP703" s="43"/>
      <c r="AQ703" s="43"/>
      <c r="AR703" s="43"/>
      <c r="AS703" s="43"/>
      <c r="AT703" s="43"/>
      <c r="AU703" s="43"/>
      <c r="AV703" s="43"/>
    </row>
    <row r="704" ht="15.75" spans="1:48">
      <c r="A704" s="12">
        <v>700</v>
      </c>
      <c r="B704" s="44">
        <v>3187</v>
      </c>
      <c r="C704" s="45" t="s">
        <v>52</v>
      </c>
      <c r="D704" s="46">
        <v>19</v>
      </c>
      <c r="E704" s="47" t="s">
        <v>50</v>
      </c>
      <c r="F704" s="48">
        <v>10.67</v>
      </c>
      <c r="G704" s="38">
        <v>1.34</v>
      </c>
      <c r="H704" s="39"/>
      <c r="I704" s="39"/>
      <c r="J704" s="39"/>
      <c r="K704" s="39"/>
      <c r="L704" s="39"/>
      <c r="M704" s="39"/>
      <c r="N704" s="39"/>
      <c r="O704" s="39"/>
      <c r="P704" s="39"/>
      <c r="Q704" s="39">
        <v>1.17</v>
      </c>
      <c r="R704" s="39"/>
      <c r="S704" s="39"/>
      <c r="T704" s="39"/>
      <c r="U704" s="39">
        <v>0.17</v>
      </c>
      <c r="V704" s="39"/>
      <c r="W704" s="39"/>
      <c r="X704" s="49" t="s">
        <v>194</v>
      </c>
      <c r="Y704" s="50">
        <v>3574.45</v>
      </c>
      <c r="Z704" s="51">
        <v>3580</v>
      </c>
      <c r="AA704" s="52">
        <f>IFERROR(Z704/Y704,0)</f>
        <v>1.00155268642728</v>
      </c>
      <c r="AB704" s="12">
        <v>3580</v>
      </c>
      <c r="AC704" s="12">
        <v>0</v>
      </c>
      <c r="AD704" s="43"/>
      <c r="AE704" s="43"/>
      <c r="AF704" s="43"/>
      <c r="AG704" s="43"/>
      <c r="AH704" s="43"/>
      <c r="AI704" s="43"/>
      <c r="AJ704" s="43"/>
      <c r="AK704" s="43"/>
      <c r="AL704" s="43"/>
      <c r="AM704" s="43"/>
      <c r="AN704" s="43"/>
      <c r="AO704" s="43"/>
      <c r="AP704" s="43"/>
      <c r="AQ704" s="43"/>
      <c r="AR704" s="43"/>
      <c r="AS704" s="43"/>
      <c r="AT704" s="43"/>
      <c r="AU704" s="43"/>
      <c r="AV704" s="43"/>
    </row>
    <row r="705" ht="15.75" spans="1:48">
      <c r="A705" s="12">
        <v>701</v>
      </c>
      <c r="B705" s="57">
        <v>834</v>
      </c>
      <c r="C705" s="58" t="s">
        <v>61</v>
      </c>
      <c r="D705" s="59">
        <v>1</v>
      </c>
      <c r="E705" s="47" t="s">
        <v>50</v>
      </c>
      <c r="F705" s="48">
        <v>10.67</v>
      </c>
      <c r="G705" s="38">
        <v>1.34</v>
      </c>
      <c r="H705" s="39"/>
      <c r="I705" s="39"/>
      <c r="J705" s="39"/>
      <c r="K705" s="39"/>
      <c r="L705" s="39"/>
      <c r="M705" s="39"/>
      <c r="N705" s="39"/>
      <c r="O705" s="39"/>
      <c r="P705" s="39"/>
      <c r="Q705" s="39">
        <v>1.17</v>
      </c>
      <c r="R705" s="39"/>
      <c r="S705" s="39"/>
      <c r="T705" s="39"/>
      <c r="U705" s="39">
        <v>0.17</v>
      </c>
      <c r="V705" s="39"/>
      <c r="W705" s="39"/>
      <c r="X705" s="49" t="s">
        <v>58</v>
      </c>
      <c r="Y705" s="50">
        <v>3734.5</v>
      </c>
      <c r="Z705" s="51">
        <v>3480</v>
      </c>
      <c r="AA705" s="52">
        <f>IFERROR(Z705/Y705,0)</f>
        <v>0.931851653501138</v>
      </c>
      <c r="AB705" s="12">
        <v>3480</v>
      </c>
      <c r="AC705" s="12">
        <v>0</v>
      </c>
      <c r="AD705" s="43"/>
      <c r="AE705" s="43"/>
      <c r="AF705" s="43"/>
      <c r="AG705" s="43"/>
      <c r="AH705" s="43"/>
      <c r="AI705" s="43"/>
      <c r="AJ705" s="43"/>
      <c r="AK705" s="43"/>
      <c r="AL705" s="43"/>
      <c r="AM705" s="43"/>
      <c r="AN705" s="43"/>
      <c r="AO705" s="43"/>
      <c r="AP705" s="43"/>
      <c r="AQ705" s="43"/>
      <c r="AR705" s="43"/>
      <c r="AS705" s="43"/>
      <c r="AT705" s="43"/>
      <c r="AU705" s="43"/>
      <c r="AV705" s="43"/>
    </row>
    <row r="706" ht="15.75" spans="1:48">
      <c r="A706" s="12">
        <v>702</v>
      </c>
      <c r="B706" s="44">
        <v>2284</v>
      </c>
      <c r="C706" s="45" t="s">
        <v>59</v>
      </c>
      <c r="D706" s="46"/>
      <c r="E706" s="47" t="s">
        <v>50</v>
      </c>
      <c r="F706" s="48">
        <v>10.83</v>
      </c>
      <c r="G706" s="38">
        <v>1.17</v>
      </c>
      <c r="H706" s="39"/>
      <c r="I706" s="39"/>
      <c r="J706" s="39"/>
      <c r="K706" s="39"/>
      <c r="L706" s="39"/>
      <c r="M706" s="39"/>
      <c r="N706" s="39"/>
      <c r="O706" s="39"/>
      <c r="P706" s="39"/>
      <c r="Q706" s="39">
        <v>1.17</v>
      </c>
      <c r="R706" s="39"/>
      <c r="S706" s="39"/>
      <c r="T706" s="39"/>
      <c r="U706" s="39"/>
      <c r="V706" s="39"/>
      <c r="W706" s="39"/>
      <c r="X706" s="49" t="s">
        <v>60</v>
      </c>
      <c r="Y706" s="50">
        <v>0</v>
      </c>
      <c r="Z706" s="51"/>
      <c r="AA706" s="52">
        <f>IFERROR(Z706/Y706,0)</f>
        <v>0</v>
      </c>
      <c r="AB706" s="12">
        <v>0</v>
      </c>
      <c r="AC706" s="12">
        <v>0</v>
      </c>
      <c r="AD706" s="43"/>
      <c r="AE706" s="43"/>
      <c r="AF706" s="43"/>
      <c r="AG706" s="43"/>
      <c r="AH706" s="43"/>
      <c r="AI706" s="43"/>
      <c r="AJ706" s="43"/>
      <c r="AK706" s="43"/>
      <c r="AL706" s="43"/>
      <c r="AM706" s="43"/>
      <c r="AN706" s="43"/>
      <c r="AO706" s="43"/>
      <c r="AP706" s="43"/>
      <c r="AQ706" s="43"/>
      <c r="AR706" s="43"/>
      <c r="AS706" s="43"/>
      <c r="AT706" s="43"/>
      <c r="AU706" s="43"/>
      <c r="AV706" s="43"/>
    </row>
    <row r="707" ht="15.75" spans="1:48">
      <c r="A707" s="12">
        <v>703</v>
      </c>
      <c r="B707" s="44">
        <v>2890</v>
      </c>
      <c r="C707" s="45" t="s">
        <v>111</v>
      </c>
      <c r="D707" s="46" t="s">
        <v>217</v>
      </c>
      <c r="E707" s="47" t="s">
        <v>113</v>
      </c>
      <c r="F707" s="48">
        <v>8</v>
      </c>
      <c r="G707" s="38">
        <v>2</v>
      </c>
      <c r="H707" s="39"/>
      <c r="I707" s="39"/>
      <c r="J707" s="39"/>
      <c r="K707" s="39">
        <v>0.17</v>
      </c>
      <c r="L707" s="39"/>
      <c r="M707" s="39"/>
      <c r="N707" s="39"/>
      <c r="O707" s="39"/>
      <c r="P707" s="39"/>
      <c r="Q707" s="39">
        <v>1.33</v>
      </c>
      <c r="R707" s="39"/>
      <c r="S707" s="39"/>
      <c r="T707" s="39"/>
      <c r="U707" s="39">
        <v>0.5</v>
      </c>
      <c r="V707" s="39"/>
      <c r="W707" s="39"/>
      <c r="X707" s="49" t="s">
        <v>55</v>
      </c>
      <c r="Y707" s="50">
        <v>19320</v>
      </c>
      <c r="Z707" s="51">
        <v>19440</v>
      </c>
      <c r="AA707" s="52">
        <f>IFERROR(Z707/Y707,0)</f>
        <v>1.00621118012422</v>
      </c>
      <c r="AB707" s="12">
        <v>19430</v>
      </c>
      <c r="AC707" s="12">
        <v>10</v>
      </c>
      <c r="AD707" s="43"/>
      <c r="AE707" s="43"/>
      <c r="AF707" s="43"/>
      <c r="AG707" s="19">
        <v>5</v>
      </c>
      <c r="AH707" s="43"/>
      <c r="AI707" s="43"/>
      <c r="AJ707" s="43"/>
      <c r="AK707" s="43"/>
      <c r="AL707" s="43"/>
      <c r="AM707" s="43"/>
      <c r="AN707" s="19">
        <v>5</v>
      </c>
      <c r="AO707" s="43"/>
      <c r="AP707" s="43"/>
      <c r="AQ707" s="43"/>
      <c r="AR707" s="43"/>
      <c r="AS707" s="43"/>
      <c r="AT707" s="43"/>
      <c r="AU707" s="43"/>
      <c r="AV707" s="43"/>
    </row>
    <row r="708" ht="15.75" spans="1:48">
      <c r="A708" s="12">
        <v>704</v>
      </c>
      <c r="B708" s="44">
        <v>3959</v>
      </c>
      <c r="C708" s="45" t="s">
        <v>123</v>
      </c>
      <c r="D708" s="46"/>
      <c r="E708" s="47" t="s">
        <v>113</v>
      </c>
      <c r="F708" s="48">
        <v>10.66</v>
      </c>
      <c r="G708" s="38">
        <v>1.33</v>
      </c>
      <c r="H708" s="39"/>
      <c r="I708" s="39"/>
      <c r="J708" s="39"/>
      <c r="K708" s="39"/>
      <c r="L708" s="39"/>
      <c r="M708" s="39"/>
      <c r="N708" s="39"/>
      <c r="O708" s="39"/>
      <c r="P708" s="39"/>
      <c r="Q708" s="39">
        <v>1.33</v>
      </c>
      <c r="R708" s="39"/>
      <c r="S708" s="39"/>
      <c r="T708" s="39"/>
      <c r="U708" s="39"/>
      <c r="V708" s="39"/>
      <c r="W708" s="39"/>
      <c r="X708" s="49" t="s">
        <v>213</v>
      </c>
      <c r="Y708" s="50">
        <v>1279.2</v>
      </c>
      <c r="Z708" s="51">
        <v>1300</v>
      </c>
      <c r="AA708" s="52">
        <f>IFERROR(Z708/Y708,0)</f>
        <v>1.01626016260163</v>
      </c>
      <c r="AB708" s="12">
        <v>1300</v>
      </c>
      <c r="AC708" s="12">
        <v>0</v>
      </c>
      <c r="AD708" s="43"/>
      <c r="AE708" s="43"/>
      <c r="AF708" s="43"/>
      <c r="AG708" s="43"/>
      <c r="AH708" s="43"/>
      <c r="AI708" s="43"/>
      <c r="AJ708" s="43"/>
      <c r="AK708" s="43"/>
      <c r="AL708" s="43"/>
      <c r="AM708" s="43"/>
      <c r="AN708" s="43"/>
      <c r="AO708" s="43"/>
      <c r="AP708" s="43"/>
      <c r="AQ708" s="43"/>
      <c r="AR708" s="43"/>
      <c r="AS708" s="43"/>
      <c r="AT708" s="43"/>
      <c r="AU708" s="43"/>
      <c r="AV708" s="43"/>
    </row>
    <row r="709" ht="15.75" spans="1:48">
      <c r="A709" s="12">
        <v>705</v>
      </c>
      <c r="B709" s="44">
        <v>4418</v>
      </c>
      <c r="C709" s="45" t="s">
        <v>125</v>
      </c>
      <c r="D709" s="46">
        <v>11</v>
      </c>
      <c r="E709" s="47" t="s">
        <v>113</v>
      </c>
      <c r="F709" s="48">
        <v>10.5</v>
      </c>
      <c r="G709" s="38">
        <v>1.5</v>
      </c>
      <c r="H709" s="39"/>
      <c r="I709" s="39"/>
      <c r="J709" s="39"/>
      <c r="K709" s="39"/>
      <c r="L709" s="39"/>
      <c r="M709" s="39"/>
      <c r="N709" s="39"/>
      <c r="O709" s="39"/>
      <c r="P709" s="39"/>
      <c r="Q709" s="39">
        <v>1.33</v>
      </c>
      <c r="R709" s="39"/>
      <c r="S709" s="39"/>
      <c r="T709" s="39"/>
      <c r="U709" s="39">
        <v>0.17</v>
      </c>
      <c r="V709" s="39"/>
      <c r="W709" s="39"/>
      <c r="X709" s="49" t="s">
        <v>239</v>
      </c>
      <c r="Y709" s="50">
        <v>5355</v>
      </c>
      <c r="Z709" s="51">
        <v>5265</v>
      </c>
      <c r="AA709" s="52">
        <f>IFERROR(Z709/Y709,0)</f>
        <v>0.983193277310924</v>
      </c>
      <c r="AB709" s="12">
        <v>5265</v>
      </c>
      <c r="AC709" s="12">
        <v>0</v>
      </c>
      <c r="AD709" s="43"/>
      <c r="AE709" s="43"/>
      <c r="AF709" s="43"/>
      <c r="AG709" s="43"/>
      <c r="AH709" s="43"/>
      <c r="AI709" s="43"/>
      <c r="AJ709" s="43"/>
      <c r="AK709" s="43"/>
      <c r="AL709" s="43"/>
      <c r="AM709" s="43"/>
      <c r="AN709" s="43"/>
      <c r="AO709" s="43"/>
      <c r="AP709" s="43"/>
      <c r="AQ709" s="43"/>
      <c r="AR709" s="43"/>
      <c r="AS709" s="43"/>
      <c r="AT709" s="43"/>
      <c r="AU709" s="43"/>
      <c r="AV709" s="43"/>
    </row>
    <row r="710" ht="15.75" spans="1:48">
      <c r="A710" s="12">
        <v>706</v>
      </c>
      <c r="B710" s="44">
        <v>4456</v>
      </c>
      <c r="C710" s="45" t="s">
        <v>119</v>
      </c>
      <c r="D710" s="46"/>
      <c r="E710" s="47" t="s">
        <v>113</v>
      </c>
      <c r="F710" s="48">
        <v>10.66</v>
      </c>
      <c r="G710" s="38">
        <v>1.33</v>
      </c>
      <c r="H710" s="39"/>
      <c r="I710" s="39"/>
      <c r="J710" s="39"/>
      <c r="K710" s="39"/>
      <c r="L710" s="39"/>
      <c r="M710" s="39"/>
      <c r="N710" s="39"/>
      <c r="O710" s="39"/>
      <c r="P710" s="39"/>
      <c r="Q710" s="39">
        <v>1.33</v>
      </c>
      <c r="R710" s="39"/>
      <c r="S710" s="39"/>
      <c r="T710" s="39"/>
      <c r="U710" s="39"/>
      <c r="V710" s="39"/>
      <c r="W710" s="39"/>
      <c r="X710" s="49" t="s">
        <v>120</v>
      </c>
      <c r="Y710" s="50">
        <v>2665</v>
      </c>
      <c r="Z710" s="51">
        <v>2550</v>
      </c>
      <c r="AA710" s="52">
        <f>IFERROR(Z710/Y710,0)</f>
        <v>0.956848030018762</v>
      </c>
      <c r="AB710" s="12">
        <v>2550</v>
      </c>
      <c r="AC710" s="12">
        <v>0</v>
      </c>
      <c r="AD710" s="43"/>
      <c r="AE710" s="43"/>
      <c r="AF710" s="43"/>
      <c r="AG710" s="43"/>
      <c r="AH710" s="43"/>
      <c r="AI710" s="43"/>
      <c r="AJ710" s="43"/>
      <c r="AK710" s="43"/>
      <c r="AL710" s="43"/>
      <c r="AM710" s="43"/>
      <c r="AN710" s="43"/>
      <c r="AO710" s="43"/>
      <c r="AP710" s="43"/>
      <c r="AQ710" s="43"/>
      <c r="AR710" s="43"/>
      <c r="AS710" s="43"/>
      <c r="AT710" s="43"/>
      <c r="AU710" s="43"/>
      <c r="AV710" s="43"/>
    </row>
    <row r="711" ht="15.75" spans="1:48">
      <c r="A711" s="12">
        <v>707</v>
      </c>
      <c r="B711" s="44">
        <v>2649</v>
      </c>
      <c r="C711" s="45" t="s">
        <v>121</v>
      </c>
      <c r="D711" s="46"/>
      <c r="E711" s="47" t="s">
        <v>113</v>
      </c>
      <c r="F711" s="48">
        <v>8</v>
      </c>
      <c r="G711" s="38">
        <v>1.33</v>
      </c>
      <c r="H711" s="39"/>
      <c r="I711" s="39"/>
      <c r="J711" s="39"/>
      <c r="K711" s="39"/>
      <c r="L711" s="39"/>
      <c r="M711" s="39"/>
      <c r="N711" s="39"/>
      <c r="O711" s="39"/>
      <c r="P711" s="39"/>
      <c r="Q711" s="39">
        <v>1.33</v>
      </c>
      <c r="R711" s="39"/>
      <c r="S711" s="39"/>
      <c r="T711" s="39"/>
      <c r="U711" s="39"/>
      <c r="V711" s="39"/>
      <c r="W711" s="39"/>
      <c r="X711" s="49" t="s">
        <v>120</v>
      </c>
      <c r="Y711" s="50">
        <v>2000</v>
      </c>
      <c r="Z711" s="51">
        <v>1950</v>
      </c>
      <c r="AA711" s="52">
        <f>IFERROR(Z711/Y711,0)</f>
        <v>0.975</v>
      </c>
      <c r="AB711" s="12">
        <v>1950</v>
      </c>
      <c r="AC711" s="12">
        <v>0</v>
      </c>
      <c r="AD711" s="43"/>
      <c r="AE711" s="43"/>
      <c r="AF711" s="43"/>
      <c r="AG711" s="43"/>
      <c r="AH711" s="43"/>
      <c r="AI711" s="43"/>
      <c r="AJ711" s="43"/>
      <c r="AK711" s="43"/>
      <c r="AL711" s="43"/>
      <c r="AM711" s="43"/>
      <c r="AN711" s="43"/>
      <c r="AO711" s="43"/>
      <c r="AP711" s="43"/>
      <c r="AQ711" s="43"/>
      <c r="AR711" s="43"/>
      <c r="AS711" s="43"/>
      <c r="AT711" s="43"/>
      <c r="AU711" s="43"/>
      <c r="AV711" s="43"/>
    </row>
    <row r="712" ht="15.75" spans="1:48">
      <c r="A712" s="12">
        <v>708</v>
      </c>
      <c r="B712" s="44">
        <v>655</v>
      </c>
      <c r="C712" s="45" t="s">
        <v>198</v>
      </c>
      <c r="D712" s="46">
        <v>12</v>
      </c>
      <c r="E712" s="47" t="s">
        <v>113</v>
      </c>
      <c r="F712" s="48">
        <v>10.5</v>
      </c>
      <c r="G712" s="38">
        <v>1.5</v>
      </c>
      <c r="H712" s="39"/>
      <c r="I712" s="39"/>
      <c r="J712" s="39"/>
      <c r="K712" s="39"/>
      <c r="L712" s="39"/>
      <c r="M712" s="39"/>
      <c r="N712" s="39"/>
      <c r="O712" s="39"/>
      <c r="P712" s="39"/>
      <c r="Q712" s="39">
        <v>1.33</v>
      </c>
      <c r="R712" s="39"/>
      <c r="S712" s="39"/>
      <c r="T712" s="39"/>
      <c r="U712" s="39">
        <v>0.17</v>
      </c>
      <c r="V712" s="39"/>
      <c r="W712" s="39"/>
      <c r="X712" s="49" t="s">
        <v>71</v>
      </c>
      <c r="Y712" s="50">
        <v>3517.5</v>
      </c>
      <c r="Z712" s="51">
        <v>3480</v>
      </c>
      <c r="AA712" s="52">
        <f>IFERROR(Z712/Y712,0)</f>
        <v>0.989339019189765</v>
      </c>
      <c r="AB712" s="12">
        <v>3480</v>
      </c>
      <c r="AC712" s="12">
        <v>0</v>
      </c>
      <c r="AD712" s="43"/>
      <c r="AE712" s="43"/>
      <c r="AF712" s="43"/>
      <c r="AG712" s="43"/>
      <c r="AH712" s="43"/>
      <c r="AI712" s="43"/>
      <c r="AJ712" s="43"/>
      <c r="AK712" s="43"/>
      <c r="AL712" s="43"/>
      <c r="AM712" s="43"/>
      <c r="AN712" s="43"/>
      <c r="AO712" s="43"/>
      <c r="AP712" s="43"/>
      <c r="AQ712" s="43"/>
      <c r="AR712" s="43"/>
      <c r="AS712" s="43"/>
      <c r="AT712" s="43"/>
      <c r="AU712" s="43"/>
      <c r="AV712" s="43"/>
    </row>
    <row r="713" ht="15.75" spans="1:48">
      <c r="A713" s="12">
        <v>709</v>
      </c>
      <c r="B713" s="44">
        <v>656</v>
      </c>
      <c r="C713" s="45" t="s">
        <v>195</v>
      </c>
      <c r="D713" s="46">
        <v>1</v>
      </c>
      <c r="E713" s="47" t="s">
        <v>113</v>
      </c>
      <c r="F713" s="48">
        <v>10.5</v>
      </c>
      <c r="G713" s="38">
        <v>1.5</v>
      </c>
      <c r="H713" s="39"/>
      <c r="I713" s="39"/>
      <c r="J713" s="39"/>
      <c r="K713" s="39"/>
      <c r="L713" s="39"/>
      <c r="M713" s="39"/>
      <c r="N713" s="39"/>
      <c r="O713" s="39"/>
      <c r="P713" s="39"/>
      <c r="Q713" s="39">
        <v>1.33</v>
      </c>
      <c r="R713" s="39"/>
      <c r="S713" s="39"/>
      <c r="T713" s="39"/>
      <c r="U713" s="39">
        <v>0.17</v>
      </c>
      <c r="V713" s="39"/>
      <c r="W713" s="39"/>
      <c r="X713" s="49" t="s">
        <v>199</v>
      </c>
      <c r="Y713" s="50">
        <v>3675</v>
      </c>
      <c r="Z713" s="51">
        <v>3600</v>
      </c>
      <c r="AA713" s="52">
        <f>IFERROR(Z713/Y713,0)</f>
        <v>0.979591836734694</v>
      </c>
      <c r="AB713" s="12">
        <v>3600</v>
      </c>
      <c r="AC713" s="12">
        <v>0</v>
      </c>
      <c r="AD713" s="43"/>
      <c r="AE713" s="43"/>
      <c r="AF713" s="43"/>
      <c r="AG713" s="43"/>
      <c r="AH713" s="43"/>
      <c r="AI713" s="43"/>
      <c r="AJ713" s="43"/>
      <c r="AK713" s="43"/>
      <c r="AL713" s="43"/>
      <c r="AM713" s="43"/>
      <c r="AN713" s="43"/>
      <c r="AO713" s="43"/>
      <c r="AP713" s="43"/>
      <c r="AQ713" s="43"/>
      <c r="AR713" s="43"/>
      <c r="AS713" s="43"/>
      <c r="AT713" s="43"/>
      <c r="AU713" s="43"/>
      <c r="AV713" s="43"/>
    </row>
    <row r="714" ht="15.75" spans="1:48">
      <c r="A714" s="12">
        <v>710</v>
      </c>
      <c r="B714" s="44">
        <v>3111</v>
      </c>
      <c r="C714" s="45" t="s">
        <v>124</v>
      </c>
      <c r="D714" s="46">
        <v>10</v>
      </c>
      <c r="E714" s="47" t="s">
        <v>113</v>
      </c>
      <c r="F714" s="48">
        <v>10.5</v>
      </c>
      <c r="G714" s="38">
        <v>1.5</v>
      </c>
      <c r="H714" s="39"/>
      <c r="I714" s="39"/>
      <c r="J714" s="39"/>
      <c r="K714" s="39"/>
      <c r="L714" s="39"/>
      <c r="M714" s="39"/>
      <c r="N714" s="39"/>
      <c r="O714" s="39"/>
      <c r="P714" s="39"/>
      <c r="Q714" s="39">
        <v>1.33</v>
      </c>
      <c r="R714" s="39"/>
      <c r="S714" s="39"/>
      <c r="T714" s="39"/>
      <c r="U714" s="39">
        <v>0.17</v>
      </c>
      <c r="V714" s="39"/>
      <c r="W714" s="39"/>
      <c r="X714" s="49">
        <v>127</v>
      </c>
      <c r="Y714" s="50">
        <v>5250</v>
      </c>
      <c r="Z714" s="51">
        <v>5265</v>
      </c>
      <c r="AA714" s="52">
        <f>IFERROR(Z714/Y714,0)</f>
        <v>1.00285714285714</v>
      </c>
      <c r="AB714" s="12">
        <v>5265</v>
      </c>
      <c r="AC714" s="12">
        <v>0</v>
      </c>
      <c r="AD714" s="43"/>
      <c r="AE714" s="43"/>
      <c r="AF714" s="43"/>
      <c r="AG714" s="43"/>
      <c r="AH714" s="43"/>
      <c r="AI714" s="43"/>
      <c r="AJ714" s="43"/>
      <c r="AK714" s="43"/>
      <c r="AL714" s="43"/>
      <c r="AM714" s="43"/>
      <c r="AN714" s="43"/>
      <c r="AO714" s="43"/>
      <c r="AP714" s="43"/>
      <c r="AQ714" s="43"/>
      <c r="AR714" s="43"/>
      <c r="AS714" s="43"/>
      <c r="AT714" s="43"/>
      <c r="AU714" s="43"/>
      <c r="AV714" s="43"/>
    </row>
    <row r="715" ht="15.75" spans="1:48">
      <c r="A715" s="12">
        <v>711</v>
      </c>
      <c r="B715" s="44">
        <v>4325</v>
      </c>
      <c r="C715" s="45" t="s">
        <v>118</v>
      </c>
      <c r="D715" s="46"/>
      <c r="E715" s="47" t="s">
        <v>113</v>
      </c>
      <c r="F715" s="48">
        <v>10.66</v>
      </c>
      <c r="G715" s="38">
        <v>1.33</v>
      </c>
      <c r="H715" s="39"/>
      <c r="I715" s="39"/>
      <c r="J715" s="39"/>
      <c r="K715" s="39"/>
      <c r="L715" s="39"/>
      <c r="M715" s="39"/>
      <c r="N715" s="39"/>
      <c r="O715" s="39"/>
      <c r="P715" s="39"/>
      <c r="Q715" s="39">
        <v>1.33</v>
      </c>
      <c r="R715" s="39"/>
      <c r="S715" s="39"/>
      <c r="T715" s="39"/>
      <c r="U715" s="39"/>
      <c r="V715" s="39"/>
      <c r="W715" s="39"/>
      <c r="X715" s="49" t="s">
        <v>213</v>
      </c>
      <c r="Y715" s="50">
        <v>1279.2</v>
      </c>
      <c r="Z715" s="51">
        <v>1320</v>
      </c>
      <c r="AA715" s="52">
        <f>IFERROR(Z715/Y715,0)</f>
        <v>1.03189493433396</v>
      </c>
      <c r="AB715" s="12">
        <v>1320</v>
      </c>
      <c r="AC715" s="12">
        <v>0</v>
      </c>
      <c r="AD715" s="43"/>
      <c r="AE715" s="43"/>
      <c r="AF715" s="43"/>
      <c r="AG715" s="43"/>
      <c r="AH715" s="43"/>
      <c r="AI715" s="43"/>
      <c r="AJ715" s="43"/>
      <c r="AK715" s="43"/>
      <c r="AL715" s="43"/>
      <c r="AM715" s="43"/>
      <c r="AN715" s="43"/>
      <c r="AO715" s="43"/>
      <c r="AP715" s="43"/>
      <c r="AQ715" s="43"/>
      <c r="AR715" s="43"/>
      <c r="AS715" s="43"/>
      <c r="AT715" s="43"/>
      <c r="AU715" s="43"/>
      <c r="AV715" s="43"/>
    </row>
    <row r="716" ht="15.75" spans="1:48">
      <c r="A716" s="12">
        <v>712</v>
      </c>
      <c r="B716" s="44">
        <v>3919</v>
      </c>
      <c r="C716" s="45" t="s">
        <v>137</v>
      </c>
      <c r="D716" s="46"/>
      <c r="E716" s="47" t="s">
        <v>245</v>
      </c>
      <c r="F716" s="48">
        <v>10.67</v>
      </c>
      <c r="G716" s="38">
        <v>1.33</v>
      </c>
      <c r="H716" s="39"/>
      <c r="I716" s="39"/>
      <c r="J716" s="39"/>
      <c r="K716" s="39"/>
      <c r="L716" s="39"/>
      <c r="M716" s="39"/>
      <c r="N716" s="39"/>
      <c r="O716" s="39"/>
      <c r="P716" s="39"/>
      <c r="Q716" s="39">
        <v>1.33</v>
      </c>
      <c r="R716" s="39"/>
      <c r="S716" s="39"/>
      <c r="T716" s="39"/>
      <c r="U716" s="39"/>
      <c r="V716" s="39"/>
      <c r="W716" s="39"/>
      <c r="X716" s="49" t="s">
        <v>140</v>
      </c>
      <c r="Y716" s="50">
        <v>0</v>
      </c>
      <c r="Z716" s="51"/>
      <c r="AA716" s="52">
        <f>IFERROR(Z716/Y716,0)</f>
        <v>0</v>
      </c>
      <c r="AB716" s="12">
        <v>0</v>
      </c>
      <c r="AC716" s="12">
        <v>0</v>
      </c>
      <c r="AD716" s="43"/>
      <c r="AE716" s="43"/>
      <c r="AF716" s="43"/>
      <c r="AG716" s="43"/>
      <c r="AH716" s="43"/>
      <c r="AI716" s="43"/>
      <c r="AJ716" s="43"/>
      <c r="AK716" s="43"/>
      <c r="AL716" s="43"/>
      <c r="AM716" s="43"/>
      <c r="AN716" s="43"/>
      <c r="AO716" s="43"/>
      <c r="AP716" s="43"/>
      <c r="AQ716" s="43"/>
      <c r="AR716" s="43"/>
      <c r="AS716" s="43"/>
      <c r="AT716" s="43"/>
      <c r="AU716" s="43"/>
      <c r="AV716" s="43"/>
    </row>
    <row r="717" ht="15.75" spans="1:48">
      <c r="A717" s="12">
        <v>713</v>
      </c>
      <c r="B717" s="44">
        <v>4496</v>
      </c>
      <c r="C717" s="45" t="s">
        <v>133</v>
      </c>
      <c r="D717" s="46" t="s">
        <v>138</v>
      </c>
      <c r="E717" s="47" t="s">
        <v>245</v>
      </c>
      <c r="F717" s="48">
        <v>10.17</v>
      </c>
      <c r="G717" s="38">
        <v>1.83</v>
      </c>
      <c r="H717" s="39"/>
      <c r="I717" s="39"/>
      <c r="J717" s="39"/>
      <c r="K717" s="39">
        <v>0.33</v>
      </c>
      <c r="L717" s="39"/>
      <c r="M717" s="39"/>
      <c r="N717" s="39"/>
      <c r="O717" s="39"/>
      <c r="P717" s="39"/>
      <c r="Q717" s="39">
        <v>1.33</v>
      </c>
      <c r="R717" s="39"/>
      <c r="S717" s="39"/>
      <c r="T717" s="39"/>
      <c r="U717" s="39">
        <v>0.17</v>
      </c>
      <c r="V717" s="39"/>
      <c r="W717" s="39"/>
      <c r="X717" s="49" t="s">
        <v>82</v>
      </c>
      <c r="Y717" s="50">
        <v>16526.25</v>
      </c>
      <c r="Z717" s="51">
        <v>16264</v>
      </c>
      <c r="AA717" s="52">
        <f>IFERROR(Z717/Y717,0)</f>
        <v>0.9841313062552</v>
      </c>
      <c r="AB717" s="12">
        <v>16248</v>
      </c>
      <c r="AC717" s="12">
        <v>16</v>
      </c>
      <c r="AD717" s="43"/>
      <c r="AE717" s="43"/>
      <c r="AF717" s="43"/>
      <c r="AG717" s="19">
        <v>16</v>
      </c>
      <c r="AH717" s="43"/>
      <c r="AI717" s="43"/>
      <c r="AJ717" s="43"/>
      <c r="AK717" s="43"/>
      <c r="AL717" s="43"/>
      <c r="AM717" s="43"/>
      <c r="AN717" s="43"/>
      <c r="AO717" s="43"/>
      <c r="AP717" s="43"/>
      <c r="AQ717" s="43"/>
      <c r="AR717" s="43"/>
      <c r="AS717" s="43"/>
      <c r="AT717" s="43"/>
      <c r="AU717" s="43"/>
      <c r="AV717" s="43"/>
    </row>
    <row r="718" ht="15.75" spans="1:48">
      <c r="A718" s="12">
        <v>714</v>
      </c>
      <c r="B718" s="44">
        <v>4352</v>
      </c>
      <c r="C718" s="45" t="s">
        <v>132</v>
      </c>
      <c r="D718" s="46" t="s">
        <v>81</v>
      </c>
      <c r="E718" s="47" t="s">
        <v>245</v>
      </c>
      <c r="F718" s="48">
        <v>10.5</v>
      </c>
      <c r="G718" s="38">
        <v>1.5</v>
      </c>
      <c r="H718" s="39"/>
      <c r="I718" s="39"/>
      <c r="J718" s="39"/>
      <c r="K718" s="39"/>
      <c r="L718" s="39"/>
      <c r="M718" s="39"/>
      <c r="N718" s="39"/>
      <c r="O718" s="39"/>
      <c r="P718" s="39"/>
      <c r="Q718" s="39">
        <v>1.33</v>
      </c>
      <c r="R718" s="39"/>
      <c r="S718" s="39"/>
      <c r="T718" s="39"/>
      <c r="U718" s="39">
        <v>0.17</v>
      </c>
      <c r="V718" s="39"/>
      <c r="W718" s="39"/>
      <c r="X718" s="49" t="s">
        <v>201</v>
      </c>
      <c r="Y718" s="50">
        <v>17062.5</v>
      </c>
      <c r="Z718" s="51">
        <v>16982</v>
      </c>
      <c r="AA718" s="52">
        <f>IFERROR(Z718/Y718,0)</f>
        <v>0.995282051282051</v>
      </c>
      <c r="AB718" s="12">
        <v>16964</v>
      </c>
      <c r="AC718" s="12">
        <v>18</v>
      </c>
      <c r="AD718" s="43"/>
      <c r="AE718" s="43"/>
      <c r="AF718" s="43"/>
      <c r="AG718" s="19">
        <v>18</v>
      </c>
      <c r="AH718" s="43"/>
      <c r="AI718" s="43"/>
      <c r="AJ718" s="43"/>
      <c r="AK718" s="43"/>
      <c r="AL718" s="43"/>
      <c r="AM718" s="43"/>
      <c r="AN718" s="43"/>
      <c r="AO718" s="43"/>
      <c r="AP718" s="43"/>
      <c r="AQ718" s="43"/>
      <c r="AR718" s="43"/>
      <c r="AS718" s="43"/>
      <c r="AT718" s="43"/>
      <c r="AU718" s="43"/>
      <c r="AV718" s="43"/>
    </row>
    <row r="719" ht="15.75" spans="1:48">
      <c r="A719" s="12">
        <v>715</v>
      </c>
      <c r="B719" s="44">
        <v>4019</v>
      </c>
      <c r="C719" s="45" t="s">
        <v>134</v>
      </c>
      <c r="D719" s="46" t="s">
        <v>207</v>
      </c>
      <c r="E719" s="47" t="s">
        <v>245</v>
      </c>
      <c r="F719" s="48">
        <v>10.17</v>
      </c>
      <c r="G719" s="38">
        <v>1.83</v>
      </c>
      <c r="H719" s="39"/>
      <c r="I719" s="39"/>
      <c r="J719" s="39"/>
      <c r="K719" s="39">
        <v>0.17</v>
      </c>
      <c r="L719" s="39"/>
      <c r="M719" s="39"/>
      <c r="N719" s="39"/>
      <c r="O719" s="39"/>
      <c r="P719" s="39"/>
      <c r="Q719" s="39">
        <v>1.33</v>
      </c>
      <c r="R719" s="39"/>
      <c r="S719" s="39"/>
      <c r="T719" s="39"/>
      <c r="U719" s="39">
        <v>0.33</v>
      </c>
      <c r="V719" s="39"/>
      <c r="W719" s="39"/>
      <c r="X719" s="49" t="s">
        <v>79</v>
      </c>
      <c r="Y719" s="50">
        <v>67732.2</v>
      </c>
      <c r="Z719" s="51">
        <v>61144</v>
      </c>
      <c r="AA719" s="52">
        <f>IFERROR(Z719/Y719,0)</f>
        <v>0.902731640194767</v>
      </c>
      <c r="AB719" s="12">
        <v>61008</v>
      </c>
      <c r="AC719" s="12">
        <v>136</v>
      </c>
      <c r="AD719" s="43"/>
      <c r="AE719" s="43"/>
      <c r="AF719" s="43"/>
      <c r="AG719" s="19">
        <v>64</v>
      </c>
      <c r="AH719" s="43"/>
      <c r="AI719" s="43"/>
      <c r="AJ719" s="43"/>
      <c r="AK719" s="43"/>
      <c r="AL719" s="43"/>
      <c r="AM719" s="43"/>
      <c r="AN719" s="19">
        <v>72</v>
      </c>
      <c r="AO719" s="43"/>
      <c r="AP719" s="43"/>
      <c r="AQ719" s="43"/>
      <c r="AR719" s="43"/>
      <c r="AS719" s="43"/>
      <c r="AT719" s="43"/>
      <c r="AU719" s="43"/>
      <c r="AV719" s="43"/>
    </row>
    <row r="720" ht="15.75" spans="1:48">
      <c r="A720" s="12">
        <v>716</v>
      </c>
      <c r="B720" s="44">
        <v>4019</v>
      </c>
      <c r="C720" s="45" t="s">
        <v>134</v>
      </c>
      <c r="D720" s="46" t="s">
        <v>76</v>
      </c>
      <c r="E720" s="47" t="s">
        <v>245</v>
      </c>
      <c r="F720" s="48">
        <v>10.17</v>
      </c>
      <c r="G720" s="38">
        <v>1.83</v>
      </c>
      <c r="H720" s="39"/>
      <c r="I720" s="39"/>
      <c r="J720" s="39"/>
      <c r="K720" s="39">
        <v>0.17</v>
      </c>
      <c r="L720" s="39"/>
      <c r="M720" s="39"/>
      <c r="N720" s="39"/>
      <c r="O720" s="39"/>
      <c r="P720" s="39"/>
      <c r="Q720" s="39">
        <v>1.33</v>
      </c>
      <c r="R720" s="39"/>
      <c r="S720" s="39"/>
      <c r="T720" s="39"/>
      <c r="U720" s="39">
        <v>0.33</v>
      </c>
      <c r="V720" s="39"/>
      <c r="W720" s="39"/>
      <c r="X720" s="49" t="s">
        <v>77</v>
      </c>
      <c r="Y720" s="50">
        <v>61020</v>
      </c>
      <c r="Z720" s="51">
        <v>57984</v>
      </c>
      <c r="AA720" s="52">
        <f>IFERROR(Z720/Y720,0)</f>
        <v>0.950245821042281</v>
      </c>
      <c r="AB720" s="12">
        <v>57888</v>
      </c>
      <c r="AC720" s="12">
        <v>96</v>
      </c>
      <c r="AD720" s="43"/>
      <c r="AE720" s="43"/>
      <c r="AF720" s="43"/>
      <c r="AG720" s="19">
        <v>64</v>
      </c>
      <c r="AH720" s="43"/>
      <c r="AI720" s="43"/>
      <c r="AJ720" s="43"/>
      <c r="AK720" s="43"/>
      <c r="AL720" s="43"/>
      <c r="AM720" s="43"/>
      <c r="AN720" s="19">
        <v>32</v>
      </c>
      <c r="AO720" s="43"/>
      <c r="AP720" s="43"/>
      <c r="AQ720" s="43"/>
      <c r="AR720" s="43"/>
      <c r="AS720" s="43"/>
      <c r="AT720" s="43"/>
      <c r="AU720" s="43"/>
      <c r="AV720" s="43"/>
    </row>
    <row r="721" ht="15.75" spans="1:48">
      <c r="A721" s="12">
        <v>717</v>
      </c>
      <c r="B721" s="44">
        <v>4019</v>
      </c>
      <c r="C721" s="45" t="s">
        <v>134</v>
      </c>
      <c r="D721" s="46" t="s">
        <v>78</v>
      </c>
      <c r="E721" s="47" t="s">
        <v>245</v>
      </c>
      <c r="F721" s="48">
        <v>10.17</v>
      </c>
      <c r="G721" s="38">
        <v>1.83</v>
      </c>
      <c r="H721" s="39"/>
      <c r="I721" s="39"/>
      <c r="J721" s="39"/>
      <c r="K721" s="39">
        <v>0.17</v>
      </c>
      <c r="L721" s="39"/>
      <c r="M721" s="39"/>
      <c r="N721" s="39"/>
      <c r="O721" s="39"/>
      <c r="P721" s="39"/>
      <c r="Q721" s="39">
        <v>1.33</v>
      </c>
      <c r="R721" s="39"/>
      <c r="S721" s="39"/>
      <c r="T721" s="39"/>
      <c r="U721" s="39">
        <v>0.33</v>
      </c>
      <c r="V721" s="39"/>
      <c r="W721" s="39"/>
      <c r="X721" s="49" t="s">
        <v>79</v>
      </c>
      <c r="Y721" s="50">
        <v>67732.2</v>
      </c>
      <c r="Z721" s="51">
        <v>61328</v>
      </c>
      <c r="AA721" s="52">
        <f>IFERROR(Z721/Y721,0)</f>
        <v>0.905448221082439</v>
      </c>
      <c r="AB721" s="12">
        <v>61216</v>
      </c>
      <c r="AC721" s="12">
        <v>112</v>
      </c>
      <c r="AD721" s="43"/>
      <c r="AE721" s="43"/>
      <c r="AF721" s="43"/>
      <c r="AG721" s="19">
        <v>64</v>
      </c>
      <c r="AH721" s="43"/>
      <c r="AI721" s="43"/>
      <c r="AJ721" s="43"/>
      <c r="AK721" s="43"/>
      <c r="AL721" s="43"/>
      <c r="AM721" s="43"/>
      <c r="AN721" s="19">
        <v>48</v>
      </c>
      <c r="AO721" s="43"/>
      <c r="AP721" s="43"/>
      <c r="AQ721" s="43"/>
      <c r="AR721" s="43"/>
      <c r="AS721" s="43"/>
      <c r="AT721" s="43"/>
      <c r="AU721" s="43"/>
      <c r="AV721" s="43"/>
    </row>
    <row r="722" ht="15.75" spans="1:48">
      <c r="A722" s="12">
        <v>718</v>
      </c>
      <c r="B722" s="44">
        <v>947</v>
      </c>
      <c r="C722" s="45" t="s">
        <v>143</v>
      </c>
      <c r="D722" s="46">
        <v>18</v>
      </c>
      <c r="E722" s="47" t="s">
        <v>245</v>
      </c>
      <c r="F722" s="48">
        <v>8.83</v>
      </c>
      <c r="G722" s="38">
        <v>2.17</v>
      </c>
      <c r="H722" s="39"/>
      <c r="I722" s="39"/>
      <c r="J722" s="39">
        <v>0.17</v>
      </c>
      <c r="K722" s="39"/>
      <c r="L722" s="39"/>
      <c r="M722" s="39"/>
      <c r="N722" s="39"/>
      <c r="O722" s="39"/>
      <c r="P722" s="39"/>
      <c r="Q722" s="39">
        <v>1.33</v>
      </c>
      <c r="R722" s="39"/>
      <c r="S722" s="39"/>
      <c r="T722" s="39">
        <v>0.67</v>
      </c>
      <c r="U722" s="39"/>
      <c r="V722" s="39"/>
      <c r="W722" s="39"/>
      <c r="X722" s="49">
        <v>6270</v>
      </c>
      <c r="Y722" s="50">
        <v>5342.15</v>
      </c>
      <c r="Z722" s="51">
        <v>4815</v>
      </c>
      <c r="AA722" s="52">
        <f>IFERROR(Z722/Y722,0)</f>
        <v>0.901322501240137</v>
      </c>
      <c r="AB722" s="12">
        <v>4815</v>
      </c>
      <c r="AC722" s="12">
        <v>0</v>
      </c>
      <c r="AD722" s="43"/>
      <c r="AE722" s="43"/>
      <c r="AF722" s="43"/>
      <c r="AG722" s="43"/>
      <c r="AH722" s="43"/>
      <c r="AI722" s="43"/>
      <c r="AJ722" s="43"/>
      <c r="AK722" s="43"/>
      <c r="AL722" s="43"/>
      <c r="AM722" s="43"/>
      <c r="AN722" s="43"/>
      <c r="AO722" s="43"/>
      <c r="AP722" s="43"/>
      <c r="AQ722" s="43"/>
      <c r="AR722" s="43"/>
      <c r="AS722" s="43"/>
      <c r="AT722" s="43"/>
      <c r="AU722" s="43"/>
      <c r="AV722" s="43"/>
    </row>
    <row r="723" ht="15.75" spans="1:48">
      <c r="A723" s="12">
        <v>719</v>
      </c>
      <c r="B723" s="44">
        <v>2865</v>
      </c>
      <c r="C723" s="45" t="s">
        <v>149</v>
      </c>
      <c r="D723" s="46">
        <v>15</v>
      </c>
      <c r="E723" s="47" t="s">
        <v>245</v>
      </c>
      <c r="F723" s="48">
        <v>6.83</v>
      </c>
      <c r="G723" s="38">
        <v>2</v>
      </c>
      <c r="H723" s="39"/>
      <c r="I723" s="39"/>
      <c r="J723" s="39"/>
      <c r="K723" s="39">
        <v>0.17</v>
      </c>
      <c r="L723" s="39"/>
      <c r="M723" s="39"/>
      <c r="N723" s="39"/>
      <c r="O723" s="39"/>
      <c r="P723" s="39"/>
      <c r="Q723" s="39">
        <v>1.33</v>
      </c>
      <c r="R723" s="39"/>
      <c r="S723" s="39"/>
      <c r="T723" s="39">
        <v>0.33</v>
      </c>
      <c r="U723" s="39">
        <v>0.17</v>
      </c>
      <c r="V723" s="39"/>
      <c r="W723" s="39"/>
      <c r="X723" s="49">
        <v>3880</v>
      </c>
      <c r="Y723" s="50">
        <v>2732</v>
      </c>
      <c r="Z723" s="51">
        <v>2640</v>
      </c>
      <c r="AA723" s="52">
        <f>IFERROR(Z723/Y723,0)</f>
        <v>0.966325036603221</v>
      </c>
      <c r="AB723" s="12">
        <v>2520</v>
      </c>
      <c r="AC723" s="12">
        <v>120</v>
      </c>
      <c r="AD723" s="19">
        <v>120</v>
      </c>
      <c r="AE723" s="43"/>
      <c r="AF723" s="43"/>
      <c r="AG723" s="43"/>
      <c r="AH723" s="43"/>
      <c r="AI723" s="43"/>
      <c r="AJ723" s="43"/>
      <c r="AK723" s="43"/>
      <c r="AL723" s="43"/>
      <c r="AM723" s="43"/>
      <c r="AN723" s="43"/>
      <c r="AO723" s="43"/>
      <c r="AP723" s="43"/>
      <c r="AQ723" s="43"/>
      <c r="AR723" s="43"/>
      <c r="AS723" s="43"/>
      <c r="AT723" s="43"/>
      <c r="AU723" s="43"/>
      <c r="AV723" s="43"/>
    </row>
    <row r="724" ht="15.75" spans="1:48">
      <c r="A724" s="12">
        <v>720</v>
      </c>
      <c r="B724" s="44">
        <v>4017</v>
      </c>
      <c r="C724" s="45" t="s">
        <v>148</v>
      </c>
      <c r="D724" s="46">
        <v>3</v>
      </c>
      <c r="E724" s="47" t="s">
        <v>245</v>
      </c>
      <c r="F724" s="48">
        <v>8.5</v>
      </c>
      <c r="G724" s="38">
        <v>1.5</v>
      </c>
      <c r="H724" s="39"/>
      <c r="I724" s="39"/>
      <c r="J724" s="39"/>
      <c r="K724" s="39"/>
      <c r="L724" s="39"/>
      <c r="M724" s="39"/>
      <c r="N724" s="39"/>
      <c r="O724" s="39"/>
      <c r="P724" s="39"/>
      <c r="Q724" s="39">
        <v>1.33</v>
      </c>
      <c r="R724" s="39"/>
      <c r="S724" s="39"/>
      <c r="T724" s="39"/>
      <c r="U724" s="39">
        <v>0.17</v>
      </c>
      <c r="V724" s="39"/>
      <c r="W724" s="39"/>
      <c r="X724" s="49">
        <v>9740</v>
      </c>
      <c r="Y724" s="50">
        <v>3570</v>
      </c>
      <c r="Z724" s="51">
        <v>3445</v>
      </c>
      <c r="AA724" s="52">
        <f>IFERROR(Z724/Y724,0)</f>
        <v>0.964985994397759</v>
      </c>
      <c r="AB724" s="12">
        <v>3444</v>
      </c>
      <c r="AC724" s="12">
        <v>1</v>
      </c>
      <c r="AD724" s="19">
        <v>1</v>
      </c>
      <c r="AE724" s="43"/>
      <c r="AF724" s="43"/>
      <c r="AG724" s="43"/>
      <c r="AH724" s="43"/>
      <c r="AI724" s="43"/>
      <c r="AJ724" s="43"/>
      <c r="AK724" s="43"/>
      <c r="AL724" s="43"/>
      <c r="AM724" s="43"/>
      <c r="AN724" s="43"/>
      <c r="AO724" s="43"/>
      <c r="AP724" s="43"/>
      <c r="AQ724" s="43"/>
      <c r="AR724" s="43"/>
      <c r="AS724" s="43"/>
      <c r="AT724" s="43"/>
      <c r="AU724" s="43"/>
      <c r="AV724" s="43"/>
    </row>
    <row r="725" ht="15.75" spans="1:48">
      <c r="A725" s="12">
        <v>721</v>
      </c>
      <c r="B725" s="44">
        <v>551</v>
      </c>
      <c r="C725" s="45" t="s">
        <v>146</v>
      </c>
      <c r="D725" s="46">
        <v>2</v>
      </c>
      <c r="E725" s="47" t="s">
        <v>245</v>
      </c>
      <c r="F725" s="48">
        <v>3.33</v>
      </c>
      <c r="G725" s="38">
        <v>1.34</v>
      </c>
      <c r="H725" s="39"/>
      <c r="I725" s="39"/>
      <c r="J725" s="39"/>
      <c r="K725" s="39">
        <v>0.17</v>
      </c>
      <c r="L725" s="39"/>
      <c r="M725" s="39"/>
      <c r="N725" s="39"/>
      <c r="O725" s="39"/>
      <c r="P725" s="39"/>
      <c r="Q725" s="39">
        <v>1</v>
      </c>
      <c r="R725" s="39"/>
      <c r="S725" s="39"/>
      <c r="T725" s="39">
        <v>0.17</v>
      </c>
      <c r="U725" s="39"/>
      <c r="V725" s="39"/>
      <c r="W725" s="39"/>
      <c r="X725" s="49">
        <v>1080</v>
      </c>
      <c r="Y725" s="50">
        <v>2197.8</v>
      </c>
      <c r="Z725" s="51">
        <v>2250</v>
      </c>
      <c r="AA725" s="52">
        <f>IFERROR(Z725/Y725,0)</f>
        <v>1.02375102375102</v>
      </c>
      <c r="AB725" s="12">
        <v>2225</v>
      </c>
      <c r="AC725" s="12">
        <v>25</v>
      </c>
      <c r="AD725" s="19">
        <v>25</v>
      </c>
      <c r="AE725" s="43"/>
      <c r="AF725" s="43"/>
      <c r="AG725" s="43"/>
      <c r="AH725" s="43"/>
      <c r="AI725" s="43"/>
      <c r="AJ725" s="43"/>
      <c r="AK725" s="43"/>
      <c r="AL725" s="43"/>
      <c r="AM725" s="43"/>
      <c r="AN725" s="43"/>
      <c r="AO725" s="43"/>
      <c r="AP725" s="43"/>
      <c r="AQ725" s="43"/>
      <c r="AR725" s="43"/>
      <c r="AS725" s="43"/>
      <c r="AT725" s="43"/>
      <c r="AU725" s="43"/>
      <c r="AV725" s="43"/>
    </row>
    <row r="726" ht="15.75" spans="1:48">
      <c r="A726" s="12">
        <v>722</v>
      </c>
      <c r="B726" s="44">
        <v>4110</v>
      </c>
      <c r="C726" s="45" t="s">
        <v>135</v>
      </c>
      <c r="D726" s="46">
        <v>8</v>
      </c>
      <c r="E726" s="47" t="s">
        <v>245</v>
      </c>
      <c r="F726" s="48">
        <v>3.67</v>
      </c>
      <c r="G726" s="38">
        <v>1.5</v>
      </c>
      <c r="H726" s="39"/>
      <c r="I726" s="39"/>
      <c r="J726" s="39"/>
      <c r="K726" s="39"/>
      <c r="L726" s="39"/>
      <c r="M726" s="39"/>
      <c r="N726" s="39"/>
      <c r="O726" s="39"/>
      <c r="P726" s="39"/>
      <c r="Q726" s="39">
        <v>1</v>
      </c>
      <c r="R726" s="39"/>
      <c r="S726" s="39"/>
      <c r="T726" s="39">
        <v>0.33</v>
      </c>
      <c r="U726" s="39">
        <v>0.17</v>
      </c>
      <c r="V726" s="39"/>
      <c r="W726" s="39"/>
      <c r="X726" s="49">
        <v>2801</v>
      </c>
      <c r="Y726" s="50">
        <v>2220.35</v>
      </c>
      <c r="Z726" s="51">
        <v>2190</v>
      </c>
      <c r="AA726" s="52">
        <f>IFERROR(Z726/Y726,0)</f>
        <v>0.986330983853897</v>
      </c>
      <c r="AB726" s="12">
        <v>2189</v>
      </c>
      <c r="AC726" s="12">
        <v>1</v>
      </c>
      <c r="AD726" s="19">
        <v>1</v>
      </c>
      <c r="AE726" s="43"/>
      <c r="AF726" s="43"/>
      <c r="AG726" s="43"/>
      <c r="AH726" s="43"/>
      <c r="AI726" s="43"/>
      <c r="AJ726" s="43"/>
      <c r="AK726" s="43"/>
      <c r="AL726" s="43"/>
      <c r="AM726" s="43"/>
      <c r="AN726" s="43"/>
      <c r="AO726" s="43"/>
      <c r="AP726" s="43"/>
      <c r="AQ726" s="43"/>
      <c r="AR726" s="43"/>
      <c r="AS726" s="43"/>
      <c r="AT726" s="43"/>
      <c r="AU726" s="43"/>
      <c r="AV726" s="43"/>
    </row>
    <row r="727" ht="15.75" spans="1:48">
      <c r="A727" s="12">
        <v>723</v>
      </c>
      <c r="B727" s="44">
        <v>4335</v>
      </c>
      <c r="C727" s="45" t="s">
        <v>154</v>
      </c>
      <c r="D727" s="46">
        <v>20</v>
      </c>
      <c r="E727" s="47" t="s">
        <v>245</v>
      </c>
      <c r="F727" s="48">
        <v>4.67</v>
      </c>
      <c r="G727" s="38">
        <v>1.33</v>
      </c>
      <c r="H727" s="39"/>
      <c r="I727" s="39"/>
      <c r="J727" s="39"/>
      <c r="K727" s="39"/>
      <c r="L727" s="39"/>
      <c r="M727" s="39"/>
      <c r="N727" s="39"/>
      <c r="O727" s="39"/>
      <c r="P727" s="39"/>
      <c r="Q727" s="39">
        <v>1.33</v>
      </c>
      <c r="R727" s="39"/>
      <c r="S727" s="39"/>
      <c r="T727" s="39"/>
      <c r="U727" s="39"/>
      <c r="V727" s="39"/>
      <c r="W727" s="39"/>
      <c r="X727" s="49">
        <v>8052</v>
      </c>
      <c r="Y727" s="50">
        <v>168.12</v>
      </c>
      <c r="Z727" s="51">
        <v>164</v>
      </c>
      <c r="AA727" s="52">
        <f>IFERROR(Z727/Y727,0)</f>
        <v>0.975493694979776</v>
      </c>
      <c r="AB727" s="12">
        <v>164</v>
      </c>
      <c r="AC727" s="12">
        <v>0</v>
      </c>
      <c r="AD727" s="43"/>
      <c r="AE727" s="43"/>
      <c r="AF727" s="43"/>
      <c r="AG727" s="43"/>
      <c r="AH727" s="43"/>
      <c r="AI727" s="43"/>
      <c r="AJ727" s="43"/>
      <c r="AK727" s="43"/>
      <c r="AL727" s="43"/>
      <c r="AM727" s="43"/>
      <c r="AN727" s="43"/>
      <c r="AO727" s="43"/>
      <c r="AP727" s="43"/>
      <c r="AQ727" s="43"/>
      <c r="AR727" s="43"/>
      <c r="AS727" s="43"/>
      <c r="AT727" s="43"/>
      <c r="AU727" s="43"/>
      <c r="AV727" s="43"/>
    </row>
    <row r="728" ht="15.75" spans="1:48">
      <c r="A728" s="12">
        <v>724</v>
      </c>
      <c r="B728" s="44">
        <v>4335</v>
      </c>
      <c r="C728" s="45" t="s">
        <v>154</v>
      </c>
      <c r="D728" s="46"/>
      <c r="E728" s="47" t="s">
        <v>245</v>
      </c>
      <c r="F728" s="48">
        <v>6</v>
      </c>
      <c r="G728" s="38">
        <v>0</v>
      </c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49" t="s">
        <v>155</v>
      </c>
      <c r="Y728" s="50">
        <v>0</v>
      </c>
      <c r="Z728" s="51"/>
      <c r="AA728" s="52">
        <f>IFERROR(Z728/Y728,0)</f>
        <v>0</v>
      </c>
      <c r="AB728" s="12">
        <v>0</v>
      </c>
      <c r="AC728" s="12">
        <v>0</v>
      </c>
      <c r="AD728" s="43"/>
      <c r="AE728" s="43"/>
      <c r="AF728" s="43"/>
      <c r="AG728" s="43"/>
      <c r="AH728" s="43"/>
      <c r="AI728" s="43"/>
      <c r="AJ728" s="43"/>
      <c r="AK728" s="43"/>
      <c r="AL728" s="43"/>
      <c r="AM728" s="43"/>
      <c r="AN728" s="43"/>
      <c r="AO728" s="43"/>
      <c r="AP728" s="43"/>
      <c r="AQ728" s="43"/>
      <c r="AR728" s="43"/>
      <c r="AS728" s="43"/>
      <c r="AT728" s="43"/>
      <c r="AU728" s="43"/>
      <c r="AV728" s="43"/>
    </row>
    <row r="729" ht="15.75" spans="1:48">
      <c r="A729" s="12">
        <v>725</v>
      </c>
      <c r="B729" s="44">
        <v>4384</v>
      </c>
      <c r="C729" s="45" t="s">
        <v>145</v>
      </c>
      <c r="D729" s="46">
        <v>5</v>
      </c>
      <c r="E729" s="47" t="s">
        <v>245</v>
      </c>
      <c r="F729" s="48">
        <v>2.33</v>
      </c>
      <c r="G729" s="38">
        <v>1.5</v>
      </c>
      <c r="H729" s="39"/>
      <c r="I729" s="39"/>
      <c r="J729" s="39"/>
      <c r="K729" s="39"/>
      <c r="L729" s="39"/>
      <c r="M729" s="39"/>
      <c r="N729" s="39"/>
      <c r="O729" s="39"/>
      <c r="P729" s="39"/>
      <c r="Q729" s="39">
        <v>1.33</v>
      </c>
      <c r="R729" s="39"/>
      <c r="S729" s="39"/>
      <c r="T729" s="39"/>
      <c r="U729" s="39">
        <v>0.17</v>
      </c>
      <c r="V729" s="39"/>
      <c r="W729" s="39"/>
      <c r="X729" s="49">
        <v>5770</v>
      </c>
      <c r="Y729" s="50">
        <v>1409.65</v>
      </c>
      <c r="Z729" s="51">
        <v>1380</v>
      </c>
      <c r="AA729" s="52">
        <f>IFERROR(Z729/Y729,0)</f>
        <v>0.978966410101798</v>
      </c>
      <c r="AB729" s="12">
        <v>1380</v>
      </c>
      <c r="AC729" s="12">
        <v>0</v>
      </c>
      <c r="AD729" s="43"/>
      <c r="AE729" s="43"/>
      <c r="AF729" s="43"/>
      <c r="AG729" s="43"/>
      <c r="AH729" s="43"/>
      <c r="AI729" s="43"/>
      <c r="AJ729" s="43"/>
      <c r="AK729" s="43"/>
      <c r="AL729" s="43"/>
      <c r="AM729" s="43"/>
      <c r="AN729" s="43"/>
      <c r="AO729" s="43"/>
      <c r="AP729" s="43"/>
      <c r="AQ729" s="43"/>
      <c r="AR729" s="43"/>
      <c r="AS729" s="43"/>
      <c r="AT729" s="43"/>
      <c r="AU729" s="43"/>
      <c r="AV729" s="43"/>
    </row>
    <row r="730" ht="15.75" spans="1:48">
      <c r="A730" s="12">
        <v>726</v>
      </c>
      <c r="B730" s="44">
        <v>4384</v>
      </c>
      <c r="C730" s="45" t="s">
        <v>145</v>
      </c>
      <c r="D730" s="46">
        <v>21</v>
      </c>
      <c r="E730" s="47" t="s">
        <v>245</v>
      </c>
      <c r="F730" s="48">
        <v>8</v>
      </c>
      <c r="G730" s="38">
        <v>0.17</v>
      </c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>
        <v>0.17</v>
      </c>
      <c r="V730" s="39"/>
      <c r="W730" s="39"/>
      <c r="X730" s="49" t="s">
        <v>222</v>
      </c>
      <c r="Y730" s="50">
        <v>11600</v>
      </c>
      <c r="Z730" s="51">
        <v>11250</v>
      </c>
      <c r="AA730" s="52">
        <f>IFERROR(Z730/Y730,0)</f>
        <v>0.969827586206897</v>
      </c>
      <c r="AB730" s="12">
        <v>11250</v>
      </c>
      <c r="AC730" s="12">
        <v>0</v>
      </c>
      <c r="AD730" s="43"/>
      <c r="AE730" s="43"/>
      <c r="AF730" s="43"/>
      <c r="AG730" s="43"/>
      <c r="AH730" s="43"/>
      <c r="AI730" s="43"/>
      <c r="AJ730" s="43"/>
      <c r="AK730" s="43"/>
      <c r="AL730" s="43"/>
      <c r="AM730" s="43"/>
      <c r="AN730" s="43"/>
      <c r="AO730" s="43"/>
      <c r="AP730" s="43"/>
      <c r="AQ730" s="43"/>
      <c r="AR730" s="43"/>
      <c r="AS730" s="43"/>
      <c r="AT730" s="43"/>
      <c r="AU730" s="43"/>
      <c r="AV730" s="43"/>
    </row>
    <row r="731" ht="15.75" spans="1:48">
      <c r="A731" s="12">
        <v>727</v>
      </c>
      <c r="B731" s="44">
        <v>692</v>
      </c>
      <c r="C731" s="45" t="s">
        <v>142</v>
      </c>
      <c r="D731" s="46"/>
      <c r="E731" s="47" t="s">
        <v>245</v>
      </c>
      <c r="F731" s="48">
        <v>5.33</v>
      </c>
      <c r="G731" s="38">
        <v>2.67</v>
      </c>
      <c r="H731" s="39"/>
      <c r="I731" s="39"/>
      <c r="J731" s="39"/>
      <c r="K731" s="39"/>
      <c r="L731" s="39"/>
      <c r="M731" s="39"/>
      <c r="N731" s="39"/>
      <c r="O731" s="39"/>
      <c r="P731" s="39"/>
      <c r="Q731" s="39">
        <v>1.33</v>
      </c>
      <c r="R731" s="39"/>
      <c r="S731" s="39">
        <v>1.17</v>
      </c>
      <c r="T731" s="39"/>
      <c r="U731" s="39">
        <v>0.17</v>
      </c>
      <c r="V731" s="39"/>
      <c r="W731" s="39"/>
      <c r="X731" s="49" t="s">
        <v>98</v>
      </c>
      <c r="Y731" s="50">
        <v>2505.1</v>
      </c>
      <c r="Z731" s="51">
        <v>2340</v>
      </c>
      <c r="AA731" s="52">
        <f>IFERROR(Z731/Y731,0)</f>
        <v>0.934094447327452</v>
      </c>
      <c r="AB731" s="12">
        <v>2340</v>
      </c>
      <c r="AC731" s="12">
        <v>0</v>
      </c>
      <c r="AD731" s="43"/>
      <c r="AE731" s="43"/>
      <c r="AF731" s="43"/>
      <c r="AG731" s="43"/>
      <c r="AH731" s="43"/>
      <c r="AI731" s="43"/>
      <c r="AJ731" s="43"/>
      <c r="AK731" s="43"/>
      <c r="AL731" s="43"/>
      <c r="AM731" s="43"/>
      <c r="AN731" s="43"/>
      <c r="AO731" s="43"/>
      <c r="AP731" s="43"/>
      <c r="AQ731" s="43"/>
      <c r="AR731" s="43"/>
      <c r="AS731" s="43"/>
      <c r="AT731" s="43"/>
      <c r="AU731" s="43"/>
      <c r="AV731" s="43"/>
    </row>
    <row r="732" ht="15.75" spans="1:48">
      <c r="A732" s="12">
        <v>728</v>
      </c>
      <c r="B732" s="44">
        <v>692</v>
      </c>
      <c r="C732" s="45" t="s">
        <v>142</v>
      </c>
      <c r="D732" s="46"/>
      <c r="E732" s="47" t="s">
        <v>245</v>
      </c>
      <c r="F732" s="48">
        <v>4</v>
      </c>
      <c r="G732" s="38">
        <v>0</v>
      </c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49" t="s">
        <v>90</v>
      </c>
      <c r="Y732" s="50">
        <v>1880</v>
      </c>
      <c r="Z732" s="51">
        <v>1800</v>
      </c>
      <c r="AA732" s="52">
        <f>IFERROR(Z732/Y732,0)</f>
        <v>0.957446808510638</v>
      </c>
      <c r="AB732" s="12">
        <v>1800</v>
      </c>
      <c r="AC732" s="12">
        <v>0</v>
      </c>
      <c r="AD732" s="43"/>
      <c r="AE732" s="43"/>
      <c r="AF732" s="43"/>
      <c r="AG732" s="43"/>
      <c r="AH732" s="43"/>
      <c r="AI732" s="43"/>
      <c r="AJ732" s="43"/>
      <c r="AK732" s="43"/>
      <c r="AL732" s="43"/>
      <c r="AM732" s="43"/>
      <c r="AN732" s="43"/>
      <c r="AO732" s="43"/>
      <c r="AP732" s="43"/>
      <c r="AQ732" s="43"/>
      <c r="AR732" s="43"/>
      <c r="AS732" s="43"/>
      <c r="AT732" s="43"/>
      <c r="AU732" s="43"/>
      <c r="AV732" s="43"/>
    </row>
    <row r="733" ht="15.75" spans="1:48">
      <c r="A733" s="12">
        <v>729</v>
      </c>
      <c r="B733" s="44">
        <v>4342</v>
      </c>
      <c r="C733" s="45" t="s">
        <v>147</v>
      </c>
      <c r="D733" s="46"/>
      <c r="E733" s="47" t="s">
        <v>245</v>
      </c>
      <c r="F733" s="48">
        <v>5.83</v>
      </c>
      <c r="G733" s="38">
        <v>2.17</v>
      </c>
      <c r="H733" s="39"/>
      <c r="I733" s="39"/>
      <c r="J733" s="39"/>
      <c r="K733" s="39"/>
      <c r="L733" s="39"/>
      <c r="M733" s="39"/>
      <c r="N733" s="39"/>
      <c r="O733" s="39"/>
      <c r="P733" s="39"/>
      <c r="Q733" s="39">
        <v>1.33</v>
      </c>
      <c r="R733" s="39"/>
      <c r="S733" s="39">
        <v>0.67</v>
      </c>
      <c r="T733" s="39"/>
      <c r="U733" s="39">
        <v>0.17</v>
      </c>
      <c r="V733" s="39"/>
      <c r="W733" s="39"/>
      <c r="X733" s="49" t="s">
        <v>90</v>
      </c>
      <c r="Y733" s="50">
        <v>2740.1</v>
      </c>
      <c r="Z733" s="51">
        <v>2700</v>
      </c>
      <c r="AA733" s="52">
        <f>IFERROR(Z733/Y733,0)</f>
        <v>0.985365497609576</v>
      </c>
      <c r="AB733" s="12">
        <v>2700</v>
      </c>
      <c r="AC733" s="12">
        <v>0</v>
      </c>
      <c r="AD733" s="43"/>
      <c r="AE733" s="43"/>
      <c r="AF733" s="43"/>
      <c r="AG733" s="43"/>
      <c r="AH733" s="43"/>
      <c r="AI733" s="43"/>
      <c r="AJ733" s="43"/>
      <c r="AK733" s="43"/>
      <c r="AL733" s="43"/>
      <c r="AM733" s="43"/>
      <c r="AN733" s="43"/>
      <c r="AO733" s="43"/>
      <c r="AP733" s="43"/>
      <c r="AQ733" s="43"/>
      <c r="AR733" s="43"/>
      <c r="AS733" s="43"/>
      <c r="AT733" s="43"/>
      <c r="AU733" s="43"/>
      <c r="AV733" s="43"/>
    </row>
    <row r="734" ht="15.75" spans="1:48">
      <c r="A734" s="12">
        <v>730</v>
      </c>
      <c r="B734" s="44">
        <v>4342</v>
      </c>
      <c r="C734" s="45" t="s">
        <v>147</v>
      </c>
      <c r="D734" s="46"/>
      <c r="E734" s="47" t="s">
        <v>245</v>
      </c>
      <c r="F734" s="48">
        <v>4</v>
      </c>
      <c r="G734" s="38">
        <v>0</v>
      </c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49" t="s">
        <v>98</v>
      </c>
      <c r="Y734" s="50">
        <v>1880</v>
      </c>
      <c r="Z734" s="51">
        <v>1800</v>
      </c>
      <c r="AA734" s="52">
        <f>IFERROR(Z734/Y734,0)</f>
        <v>0.957446808510638</v>
      </c>
      <c r="AB734" s="12">
        <v>1800</v>
      </c>
      <c r="AC734" s="12">
        <v>0</v>
      </c>
      <c r="AD734" s="43"/>
      <c r="AE734" s="43"/>
      <c r="AF734" s="43"/>
      <c r="AG734" s="43"/>
      <c r="AH734" s="43"/>
      <c r="AI734" s="43"/>
      <c r="AJ734" s="43"/>
      <c r="AK734" s="43"/>
      <c r="AL734" s="43"/>
      <c r="AM734" s="43"/>
      <c r="AN734" s="43"/>
      <c r="AO734" s="43"/>
      <c r="AP734" s="43"/>
      <c r="AQ734" s="43"/>
      <c r="AR734" s="43"/>
      <c r="AS734" s="43"/>
      <c r="AT734" s="43"/>
      <c r="AU734" s="43"/>
      <c r="AV734" s="43"/>
    </row>
    <row r="735" ht="15.75" spans="1:48">
      <c r="A735" s="12">
        <v>731</v>
      </c>
      <c r="B735" s="44">
        <v>1733</v>
      </c>
      <c r="C735" s="45" t="s">
        <v>153</v>
      </c>
      <c r="D735" s="46"/>
      <c r="E735" s="47" t="s">
        <v>245</v>
      </c>
      <c r="F735" s="48">
        <v>10.67</v>
      </c>
      <c r="G735" s="38">
        <v>1.33</v>
      </c>
      <c r="H735" s="39"/>
      <c r="I735" s="39"/>
      <c r="J735" s="39"/>
      <c r="K735" s="39"/>
      <c r="L735" s="39"/>
      <c r="M735" s="39"/>
      <c r="N735" s="39"/>
      <c r="O735" s="39"/>
      <c r="P735" s="39"/>
      <c r="Q735" s="39">
        <v>1.33</v>
      </c>
      <c r="R735" s="39"/>
      <c r="S735" s="39"/>
      <c r="T735" s="39"/>
      <c r="U735" s="39"/>
      <c r="V735" s="39"/>
      <c r="W735" s="39"/>
      <c r="X735" s="49" t="s">
        <v>103</v>
      </c>
      <c r="Y735" s="50">
        <v>8962.8</v>
      </c>
      <c r="Z735" s="51">
        <v>7120</v>
      </c>
      <c r="AA735" s="52">
        <f>IFERROR(Z735/Y735,0)</f>
        <v>0.794394608827599</v>
      </c>
      <c r="AB735" s="12">
        <v>7120</v>
      </c>
      <c r="AC735" s="12">
        <v>0</v>
      </c>
      <c r="AD735" s="43"/>
      <c r="AE735" s="43"/>
      <c r="AF735" s="43"/>
      <c r="AG735" s="43"/>
      <c r="AH735" s="43"/>
      <c r="AI735" s="43"/>
      <c r="AJ735" s="43"/>
      <c r="AK735" s="43"/>
      <c r="AL735" s="43"/>
      <c r="AM735" s="43"/>
      <c r="AN735" s="43"/>
      <c r="AO735" s="43"/>
      <c r="AP735" s="43"/>
      <c r="AQ735" s="43"/>
      <c r="AR735" s="43"/>
      <c r="AS735" s="43"/>
      <c r="AT735" s="43"/>
      <c r="AU735" s="43"/>
      <c r="AV735" s="43"/>
    </row>
    <row r="736" ht="15.75" spans="1:48">
      <c r="A736" s="12">
        <v>732</v>
      </c>
      <c r="B736" s="44">
        <v>947</v>
      </c>
      <c r="C736" s="45" t="s">
        <v>143</v>
      </c>
      <c r="D736" s="46"/>
      <c r="E736" s="47" t="s">
        <v>245</v>
      </c>
      <c r="F736" s="48">
        <v>1</v>
      </c>
      <c r="G736" s="38">
        <v>0</v>
      </c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49" t="s">
        <v>103</v>
      </c>
      <c r="Y736" s="50">
        <v>840</v>
      </c>
      <c r="Z736" s="51">
        <v>840</v>
      </c>
      <c r="AA736" s="52">
        <f>IFERROR(Z736/Y736,0)</f>
        <v>1</v>
      </c>
      <c r="AB736" s="12">
        <v>840</v>
      </c>
      <c r="AC736" s="12">
        <v>0</v>
      </c>
      <c r="AD736" s="43"/>
      <c r="AE736" s="43"/>
      <c r="AF736" s="43"/>
      <c r="AG736" s="43"/>
      <c r="AH736" s="43"/>
      <c r="AI736" s="43"/>
      <c r="AJ736" s="43"/>
      <c r="AK736" s="43"/>
      <c r="AL736" s="43"/>
      <c r="AM736" s="43"/>
      <c r="AN736" s="43"/>
      <c r="AO736" s="43"/>
      <c r="AP736" s="43"/>
      <c r="AQ736" s="43"/>
      <c r="AR736" s="43"/>
      <c r="AS736" s="43"/>
      <c r="AT736" s="43"/>
      <c r="AU736" s="43"/>
      <c r="AV736" s="43"/>
    </row>
    <row r="737" ht="15.75" spans="1:48">
      <c r="A737" s="12">
        <v>733</v>
      </c>
      <c r="B737" s="44">
        <v>666</v>
      </c>
      <c r="C737" s="45" t="s">
        <v>151</v>
      </c>
      <c r="D737" s="46"/>
      <c r="E737" s="47" t="s">
        <v>245</v>
      </c>
      <c r="F737" s="48">
        <v>1.99</v>
      </c>
      <c r="G737" s="38">
        <v>2.17</v>
      </c>
      <c r="H737" s="39"/>
      <c r="I737" s="39"/>
      <c r="J737" s="39"/>
      <c r="K737" s="39"/>
      <c r="L737" s="39"/>
      <c r="M737" s="39"/>
      <c r="N737" s="39"/>
      <c r="O737" s="39"/>
      <c r="P737" s="39"/>
      <c r="Q737" s="39">
        <v>1.33</v>
      </c>
      <c r="R737" s="39"/>
      <c r="S737" s="39">
        <v>0.67</v>
      </c>
      <c r="T737" s="39"/>
      <c r="U737" s="39">
        <v>0.17</v>
      </c>
      <c r="V737" s="39"/>
      <c r="W737" s="39"/>
      <c r="X737" s="49" t="s">
        <v>229</v>
      </c>
      <c r="Y737" s="50">
        <v>7402.8</v>
      </c>
      <c r="Z737" s="51">
        <v>5850</v>
      </c>
      <c r="AA737" s="52">
        <f>IFERROR(Z737/Y737,0)</f>
        <v>0.790241530231804</v>
      </c>
      <c r="AB737" s="12">
        <v>5850</v>
      </c>
      <c r="AC737" s="12">
        <v>0</v>
      </c>
      <c r="AD737" s="43"/>
      <c r="AE737" s="43"/>
      <c r="AF737" s="43"/>
      <c r="AG737" s="43"/>
      <c r="AH737" s="43"/>
      <c r="AI737" s="43"/>
      <c r="AJ737" s="43"/>
      <c r="AK737" s="43"/>
      <c r="AL737" s="43"/>
      <c r="AM737" s="43"/>
      <c r="AN737" s="43"/>
      <c r="AO737" s="43"/>
      <c r="AP737" s="43"/>
      <c r="AQ737" s="43"/>
      <c r="AR737" s="43"/>
      <c r="AS737" s="43"/>
      <c r="AT737" s="43"/>
      <c r="AU737" s="43"/>
      <c r="AV737" s="43"/>
    </row>
    <row r="738" ht="15.75" spans="1:48">
      <c r="A738" s="12">
        <v>734</v>
      </c>
      <c r="B738" s="44">
        <v>666</v>
      </c>
      <c r="C738" s="45" t="s">
        <v>151</v>
      </c>
      <c r="D738" s="46"/>
      <c r="E738" s="47" t="s">
        <v>245</v>
      </c>
      <c r="F738" s="48">
        <v>3.5</v>
      </c>
      <c r="G738" s="38">
        <v>0</v>
      </c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49" t="s">
        <v>100</v>
      </c>
      <c r="Y738" s="50">
        <v>6720</v>
      </c>
      <c r="Z738" s="51">
        <v>5400</v>
      </c>
      <c r="AA738" s="52">
        <f>IFERROR(Z738/Y738,0)</f>
        <v>0.803571428571429</v>
      </c>
      <c r="AB738" s="12">
        <v>5400</v>
      </c>
      <c r="AC738" s="12">
        <v>0</v>
      </c>
      <c r="AD738" s="43"/>
      <c r="AE738" s="43"/>
      <c r="AF738" s="43"/>
      <c r="AG738" s="43"/>
      <c r="AH738" s="43"/>
      <c r="AI738" s="43"/>
      <c r="AJ738" s="43"/>
      <c r="AK738" s="43"/>
      <c r="AL738" s="43"/>
      <c r="AM738" s="43"/>
      <c r="AN738" s="43"/>
      <c r="AO738" s="43"/>
      <c r="AP738" s="43"/>
      <c r="AQ738" s="43"/>
      <c r="AR738" s="43"/>
      <c r="AS738" s="43"/>
      <c r="AT738" s="43"/>
      <c r="AU738" s="43"/>
      <c r="AV738" s="43"/>
    </row>
    <row r="739" ht="15.75" spans="1:48">
      <c r="A739" s="12">
        <v>735</v>
      </c>
      <c r="B739" s="44">
        <v>666</v>
      </c>
      <c r="C739" s="45" t="s">
        <v>151</v>
      </c>
      <c r="D739" s="46"/>
      <c r="E739" s="47" t="s">
        <v>245</v>
      </c>
      <c r="F739" s="48">
        <v>2.17</v>
      </c>
      <c r="G739" s="38">
        <v>0</v>
      </c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49" t="s">
        <v>101</v>
      </c>
      <c r="Y739" s="50">
        <v>4166.4</v>
      </c>
      <c r="Z739" s="51">
        <v>3240</v>
      </c>
      <c r="AA739" s="52">
        <f>IFERROR(Z739/Y739,0)</f>
        <v>0.777649769585254</v>
      </c>
      <c r="AB739" s="12">
        <v>3240</v>
      </c>
      <c r="AC739" s="12">
        <v>0</v>
      </c>
      <c r="AD739" s="43"/>
      <c r="AE739" s="43"/>
      <c r="AF739" s="43"/>
      <c r="AG739" s="43"/>
      <c r="AH739" s="43"/>
      <c r="AI739" s="43"/>
      <c r="AJ739" s="43"/>
      <c r="AK739" s="43"/>
      <c r="AL739" s="43"/>
      <c r="AM739" s="43"/>
      <c r="AN739" s="43"/>
      <c r="AO739" s="43"/>
      <c r="AP739" s="43"/>
      <c r="AQ739" s="43"/>
      <c r="AR739" s="43"/>
      <c r="AS739" s="43"/>
      <c r="AT739" s="43"/>
      <c r="AU739" s="43"/>
      <c r="AV739" s="43"/>
    </row>
    <row r="740" ht="15.75" spans="1:48">
      <c r="A740" s="12">
        <v>736</v>
      </c>
      <c r="B740" s="44">
        <v>666</v>
      </c>
      <c r="C740" s="45" t="s">
        <v>151</v>
      </c>
      <c r="D740" s="46"/>
      <c r="E740" s="47" t="s">
        <v>245</v>
      </c>
      <c r="F740" s="48">
        <v>2.17</v>
      </c>
      <c r="G740" s="38">
        <v>0</v>
      </c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49" t="s">
        <v>102</v>
      </c>
      <c r="Y740" s="50">
        <v>9765</v>
      </c>
      <c r="Z740" s="51">
        <v>7500</v>
      </c>
      <c r="AA740" s="52">
        <f>IFERROR(Z740/Y740,0)</f>
        <v>0.768049155145929</v>
      </c>
      <c r="AB740" s="12">
        <v>7500</v>
      </c>
      <c r="AC740" s="12">
        <v>0</v>
      </c>
      <c r="AD740" s="43"/>
      <c r="AE740" s="43"/>
      <c r="AF740" s="43"/>
      <c r="AG740" s="43"/>
      <c r="AH740" s="43"/>
      <c r="AI740" s="43"/>
      <c r="AJ740" s="43"/>
      <c r="AK740" s="43"/>
      <c r="AL740" s="43"/>
      <c r="AM740" s="43"/>
      <c r="AN740" s="43"/>
      <c r="AO740" s="43"/>
      <c r="AP740" s="43"/>
      <c r="AQ740" s="43"/>
      <c r="AR740" s="43"/>
      <c r="AS740" s="43"/>
      <c r="AT740" s="43"/>
      <c r="AU740" s="43"/>
      <c r="AV740" s="43"/>
    </row>
    <row r="741" ht="15.75" spans="1:48">
      <c r="A741" s="12">
        <v>737</v>
      </c>
      <c r="B741" s="44">
        <v>2865</v>
      </c>
      <c r="C741" s="45" t="s">
        <v>149</v>
      </c>
      <c r="D741" s="46"/>
      <c r="E741" s="47" t="s">
        <v>245</v>
      </c>
      <c r="F741" s="48">
        <v>3.17</v>
      </c>
      <c r="G741" s="38">
        <v>0</v>
      </c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49" t="s">
        <v>103</v>
      </c>
      <c r="Y741" s="50">
        <v>2662.8</v>
      </c>
      <c r="Z741" s="51">
        <v>2640</v>
      </c>
      <c r="AA741" s="52">
        <f>IFERROR(Z741/Y741,0)</f>
        <v>0.991437584497521</v>
      </c>
      <c r="AB741" s="12">
        <v>2640</v>
      </c>
      <c r="AC741" s="12">
        <v>0</v>
      </c>
      <c r="AD741" s="43"/>
      <c r="AE741" s="43"/>
      <c r="AF741" s="43"/>
      <c r="AG741" s="43"/>
      <c r="AH741" s="43"/>
      <c r="AI741" s="43"/>
      <c r="AJ741" s="43"/>
      <c r="AK741" s="43"/>
      <c r="AL741" s="43"/>
      <c r="AM741" s="43"/>
      <c r="AN741" s="43"/>
      <c r="AO741" s="43"/>
      <c r="AP741" s="43"/>
      <c r="AQ741" s="43"/>
      <c r="AR741" s="43"/>
      <c r="AS741" s="43"/>
      <c r="AT741" s="43"/>
      <c r="AU741" s="43"/>
      <c r="AV741" s="43"/>
    </row>
    <row r="742" ht="15.75" spans="1:48">
      <c r="A742" s="12">
        <v>738</v>
      </c>
      <c r="B742" s="44">
        <v>4017</v>
      </c>
      <c r="C742" s="45" t="s">
        <v>148</v>
      </c>
      <c r="D742" s="46"/>
      <c r="E742" s="47" t="s">
        <v>245</v>
      </c>
      <c r="F742" s="48">
        <v>2</v>
      </c>
      <c r="G742" s="38">
        <v>0</v>
      </c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49" t="s">
        <v>103</v>
      </c>
      <c r="Y742" s="50">
        <v>1680</v>
      </c>
      <c r="Z742" s="51">
        <v>1680</v>
      </c>
      <c r="AA742" s="52">
        <f>IFERROR(Z742/Y742,0)</f>
        <v>1</v>
      </c>
      <c r="AB742" s="12">
        <v>1680</v>
      </c>
      <c r="AC742" s="12">
        <v>0</v>
      </c>
      <c r="AD742" s="43"/>
      <c r="AE742" s="43"/>
      <c r="AF742" s="43"/>
      <c r="AG742" s="43"/>
      <c r="AH742" s="43"/>
      <c r="AI742" s="43"/>
      <c r="AJ742" s="43"/>
      <c r="AK742" s="43"/>
      <c r="AL742" s="43"/>
      <c r="AM742" s="43"/>
      <c r="AN742" s="43"/>
      <c r="AO742" s="43"/>
      <c r="AP742" s="43"/>
      <c r="AQ742" s="43"/>
      <c r="AR742" s="43"/>
      <c r="AS742" s="43"/>
      <c r="AT742" s="43"/>
      <c r="AU742" s="43"/>
      <c r="AV742" s="43"/>
    </row>
    <row r="743" ht="15.75" spans="1:48">
      <c r="A743" s="12">
        <v>739</v>
      </c>
      <c r="B743" s="44">
        <v>551</v>
      </c>
      <c r="C743" s="45" t="s">
        <v>146</v>
      </c>
      <c r="D743" s="46"/>
      <c r="E743" s="47" t="s">
        <v>245</v>
      </c>
      <c r="F743" s="48">
        <v>3.33</v>
      </c>
      <c r="G743" s="38">
        <v>0</v>
      </c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49" t="s">
        <v>105</v>
      </c>
      <c r="Y743" s="50">
        <v>2197.8</v>
      </c>
      <c r="Z743" s="51">
        <v>2250</v>
      </c>
      <c r="AA743" s="52">
        <f>IFERROR(Z743/Y743,0)</f>
        <v>1.02375102375102</v>
      </c>
      <c r="AB743" s="12">
        <v>2250</v>
      </c>
      <c r="AC743" s="12">
        <v>0</v>
      </c>
      <c r="AD743" s="43"/>
      <c r="AE743" s="43"/>
      <c r="AF743" s="43"/>
      <c r="AG743" s="43"/>
      <c r="AH743" s="43"/>
      <c r="AI743" s="43"/>
      <c r="AJ743" s="43"/>
      <c r="AK743" s="43"/>
      <c r="AL743" s="43"/>
      <c r="AM743" s="43"/>
      <c r="AN743" s="43"/>
      <c r="AO743" s="43"/>
      <c r="AP743" s="43"/>
      <c r="AQ743" s="43"/>
      <c r="AR743" s="43"/>
      <c r="AS743" s="43"/>
      <c r="AT743" s="43"/>
      <c r="AU743" s="43"/>
      <c r="AV743" s="43"/>
    </row>
    <row r="744" ht="15.75" spans="1:48">
      <c r="A744" s="12">
        <v>740</v>
      </c>
      <c r="B744" s="44">
        <v>4110</v>
      </c>
      <c r="C744" s="45" t="s">
        <v>135</v>
      </c>
      <c r="D744" s="46"/>
      <c r="E744" s="47" t="s">
        <v>245</v>
      </c>
      <c r="F744" s="48">
        <v>2.83</v>
      </c>
      <c r="G744" s="38">
        <v>0</v>
      </c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49" t="s">
        <v>103</v>
      </c>
      <c r="Y744" s="50">
        <v>2377.2</v>
      </c>
      <c r="Z744" s="51">
        <v>2190</v>
      </c>
      <c r="AA744" s="52">
        <f>IFERROR(Z744/Y744,0)</f>
        <v>0.921251892983342</v>
      </c>
      <c r="AB744" s="12">
        <v>2190</v>
      </c>
      <c r="AC744" s="12">
        <v>0</v>
      </c>
      <c r="AD744" s="43"/>
      <c r="AE744" s="43"/>
      <c r="AF744" s="43"/>
      <c r="AG744" s="43"/>
      <c r="AH744" s="43"/>
      <c r="AI744" s="43"/>
      <c r="AJ744" s="43"/>
      <c r="AK744" s="43"/>
      <c r="AL744" s="43"/>
      <c r="AM744" s="43"/>
      <c r="AN744" s="43"/>
      <c r="AO744" s="43"/>
      <c r="AP744" s="43"/>
      <c r="AQ744" s="43"/>
      <c r="AR744" s="43"/>
      <c r="AS744" s="43"/>
      <c r="AT744" s="43"/>
      <c r="AU744" s="43"/>
      <c r="AV744" s="43"/>
    </row>
    <row r="745" ht="15.75" spans="1:48">
      <c r="A745" s="12">
        <v>741</v>
      </c>
      <c r="B745" s="44">
        <v>3352</v>
      </c>
      <c r="C745" s="45" t="s">
        <v>66</v>
      </c>
      <c r="D745" s="46"/>
      <c r="E745" s="47" t="s">
        <v>50</v>
      </c>
      <c r="F745" s="48">
        <v>10.83</v>
      </c>
      <c r="G745" s="38">
        <v>1.17</v>
      </c>
      <c r="H745" s="39"/>
      <c r="I745" s="39"/>
      <c r="J745" s="39"/>
      <c r="K745" s="39"/>
      <c r="L745" s="39"/>
      <c r="M745" s="39"/>
      <c r="N745" s="39"/>
      <c r="O745" s="39"/>
      <c r="P745" s="39"/>
      <c r="Q745" s="39">
        <v>1.17</v>
      </c>
      <c r="R745" s="39"/>
      <c r="S745" s="39"/>
      <c r="T745" s="39"/>
      <c r="U745" s="39"/>
      <c r="V745" s="39"/>
      <c r="W745" s="39"/>
      <c r="X745" s="49" t="s">
        <v>120</v>
      </c>
      <c r="Y745" s="50">
        <v>2707.5</v>
      </c>
      <c r="Z745" s="51">
        <v>2600</v>
      </c>
      <c r="AA745" s="52">
        <f>IFERROR(Z745/Y745,0)</f>
        <v>0.960295475530933</v>
      </c>
      <c r="AB745" s="12">
        <v>2600</v>
      </c>
      <c r="AC745" s="12">
        <v>0</v>
      </c>
      <c r="AD745" s="43"/>
      <c r="AE745" s="43"/>
      <c r="AF745" s="43"/>
      <c r="AG745" s="43"/>
      <c r="AH745" s="43"/>
      <c r="AI745" s="43"/>
      <c r="AJ745" s="43"/>
      <c r="AK745" s="43"/>
      <c r="AL745" s="43"/>
      <c r="AM745" s="43"/>
      <c r="AN745" s="43"/>
      <c r="AO745" s="43"/>
      <c r="AP745" s="43"/>
      <c r="AQ745" s="43"/>
      <c r="AR745" s="43"/>
      <c r="AS745" s="43"/>
      <c r="AT745" s="43"/>
      <c r="AU745" s="43"/>
      <c r="AV745" s="43"/>
    </row>
    <row r="746" ht="15.75" spans="1:48">
      <c r="A746" s="12">
        <v>742</v>
      </c>
      <c r="B746" s="44">
        <v>2284</v>
      </c>
      <c r="C746" s="45" t="s">
        <v>59</v>
      </c>
      <c r="D746" s="46"/>
      <c r="E746" s="47" t="s">
        <v>50</v>
      </c>
      <c r="F746" s="48">
        <v>10.83</v>
      </c>
      <c r="G746" s="38">
        <v>1.17</v>
      </c>
      <c r="H746" s="39"/>
      <c r="I746" s="39"/>
      <c r="J746" s="39"/>
      <c r="K746" s="39"/>
      <c r="L746" s="39"/>
      <c r="M746" s="39"/>
      <c r="N746" s="39"/>
      <c r="O746" s="39"/>
      <c r="P746" s="39"/>
      <c r="Q746" s="39">
        <v>1.17</v>
      </c>
      <c r="R746" s="39"/>
      <c r="S746" s="39"/>
      <c r="T746" s="39"/>
      <c r="U746" s="39"/>
      <c r="V746" s="39"/>
      <c r="W746" s="39"/>
      <c r="X746" s="49" t="s">
        <v>140</v>
      </c>
      <c r="Y746" s="50">
        <v>0</v>
      </c>
      <c r="Z746" s="51"/>
      <c r="AA746" s="52">
        <f>IFERROR(Z746/Y746,0)</f>
        <v>0</v>
      </c>
      <c r="AB746" s="12">
        <v>0</v>
      </c>
      <c r="AC746" s="12">
        <v>0</v>
      </c>
      <c r="AD746" s="43"/>
      <c r="AE746" s="43"/>
      <c r="AF746" s="43"/>
      <c r="AG746" s="43"/>
      <c r="AH746" s="43"/>
      <c r="AI746" s="43"/>
      <c r="AJ746" s="43"/>
      <c r="AK746" s="43"/>
      <c r="AL746" s="43"/>
      <c r="AM746" s="43"/>
      <c r="AN746" s="43"/>
      <c r="AO746" s="43"/>
      <c r="AP746" s="43"/>
      <c r="AQ746" s="43"/>
      <c r="AR746" s="43"/>
      <c r="AS746" s="43"/>
      <c r="AT746" s="43"/>
      <c r="AU746" s="43"/>
      <c r="AV746" s="43"/>
    </row>
    <row r="747" ht="15.75" spans="1:48">
      <c r="A747" s="12">
        <v>743</v>
      </c>
      <c r="B747" s="44">
        <v>3526</v>
      </c>
      <c r="C747" s="45" t="s">
        <v>65</v>
      </c>
      <c r="D747" s="46"/>
      <c r="E747" s="47" t="s">
        <v>50</v>
      </c>
      <c r="F747" s="48">
        <v>10.83</v>
      </c>
      <c r="G747" s="38">
        <v>1.17</v>
      </c>
      <c r="H747" s="39"/>
      <c r="I747" s="39"/>
      <c r="J747" s="39"/>
      <c r="K747" s="39"/>
      <c r="L747" s="39"/>
      <c r="M747" s="39"/>
      <c r="N747" s="39"/>
      <c r="O747" s="39"/>
      <c r="P747" s="39"/>
      <c r="Q747" s="39">
        <v>1.17</v>
      </c>
      <c r="R747" s="39"/>
      <c r="S747" s="39"/>
      <c r="T747" s="39"/>
      <c r="U747" s="39"/>
      <c r="V747" s="39"/>
      <c r="W747" s="39"/>
      <c r="X747" s="49" t="s">
        <v>246</v>
      </c>
      <c r="Y747" s="50">
        <v>3628.05</v>
      </c>
      <c r="Z747" s="51">
        <v>3400</v>
      </c>
      <c r="AA747" s="52">
        <f>IFERROR(Z747/Y747,0)</f>
        <v>0.937142542136961</v>
      </c>
      <c r="AB747" s="12">
        <v>3400</v>
      </c>
      <c r="AC747" s="12">
        <v>0</v>
      </c>
      <c r="AD747" s="43"/>
      <c r="AE747" s="43"/>
      <c r="AF747" s="43"/>
      <c r="AG747" s="43"/>
      <c r="AH747" s="43"/>
      <c r="AI747" s="43"/>
      <c r="AJ747" s="43"/>
      <c r="AK747" s="43"/>
      <c r="AL747" s="43"/>
      <c r="AM747" s="43"/>
      <c r="AN747" s="43"/>
      <c r="AO747" s="43"/>
      <c r="AP747" s="43"/>
      <c r="AQ747" s="43"/>
      <c r="AR747" s="43"/>
      <c r="AS747" s="43"/>
      <c r="AT747" s="43"/>
      <c r="AU747" s="43"/>
      <c r="AV747" s="43"/>
    </row>
    <row r="748" ht="15.75" spans="1:48">
      <c r="A748" s="12">
        <v>744</v>
      </c>
      <c r="B748" s="44">
        <v>4031</v>
      </c>
      <c r="C748" s="45" t="s">
        <v>64</v>
      </c>
      <c r="D748" s="46"/>
      <c r="E748" s="47" t="s">
        <v>50</v>
      </c>
      <c r="F748" s="48">
        <v>10.67</v>
      </c>
      <c r="G748" s="38">
        <v>1.34</v>
      </c>
      <c r="H748" s="39"/>
      <c r="I748" s="39"/>
      <c r="J748" s="39"/>
      <c r="K748" s="39"/>
      <c r="L748" s="39"/>
      <c r="M748" s="39"/>
      <c r="N748" s="39"/>
      <c r="O748" s="39"/>
      <c r="P748" s="39"/>
      <c r="Q748" s="39">
        <v>1.17</v>
      </c>
      <c r="R748" s="39"/>
      <c r="S748" s="39"/>
      <c r="T748" s="39"/>
      <c r="U748" s="39">
        <v>0.17</v>
      </c>
      <c r="V748" s="39"/>
      <c r="W748" s="39"/>
      <c r="X748" s="49">
        <v>127</v>
      </c>
      <c r="Y748" s="50">
        <v>5335</v>
      </c>
      <c r="Z748" s="51">
        <v>5400</v>
      </c>
      <c r="AA748" s="52">
        <f>IFERROR(Z748/Y748,0)</f>
        <v>1.01218369259606</v>
      </c>
      <c r="AB748" s="12">
        <v>5400</v>
      </c>
      <c r="AC748" s="12">
        <v>0</v>
      </c>
      <c r="AD748" s="43"/>
      <c r="AE748" s="43"/>
      <c r="AF748" s="43"/>
      <c r="AG748" s="43"/>
      <c r="AH748" s="43"/>
      <c r="AI748" s="43"/>
      <c r="AJ748" s="43"/>
      <c r="AK748" s="43"/>
      <c r="AL748" s="43"/>
      <c r="AM748" s="43"/>
      <c r="AN748" s="43"/>
      <c r="AO748" s="43"/>
      <c r="AP748" s="43"/>
      <c r="AQ748" s="43"/>
      <c r="AR748" s="43"/>
      <c r="AS748" s="43"/>
      <c r="AT748" s="43"/>
      <c r="AU748" s="43"/>
      <c r="AV748" s="43"/>
    </row>
    <row r="749" ht="15.75" spans="1:48">
      <c r="A749" s="12">
        <v>745</v>
      </c>
      <c r="B749" s="44">
        <v>698</v>
      </c>
      <c r="C749" s="45" t="s">
        <v>68</v>
      </c>
      <c r="D749" s="46"/>
      <c r="E749" s="47" t="s">
        <v>50</v>
      </c>
      <c r="F749" s="48">
        <v>10.67</v>
      </c>
      <c r="G749" s="38">
        <v>1.34</v>
      </c>
      <c r="H749" s="39"/>
      <c r="I749" s="39"/>
      <c r="J749" s="39"/>
      <c r="K749" s="39"/>
      <c r="L749" s="39"/>
      <c r="M749" s="39"/>
      <c r="N749" s="39"/>
      <c r="O749" s="39"/>
      <c r="P749" s="39"/>
      <c r="Q749" s="39">
        <v>1.17</v>
      </c>
      <c r="R749" s="39"/>
      <c r="S749" s="39"/>
      <c r="T749" s="39"/>
      <c r="U749" s="39">
        <v>0.17</v>
      </c>
      <c r="V749" s="39"/>
      <c r="W749" s="39"/>
      <c r="X749" s="49" t="s">
        <v>239</v>
      </c>
      <c r="Y749" s="50">
        <v>5441.7</v>
      </c>
      <c r="Z749" s="51">
        <v>5400</v>
      </c>
      <c r="AA749" s="52">
        <f>IFERROR(Z749/Y749,0)</f>
        <v>0.992336953525553</v>
      </c>
      <c r="AB749" s="12">
        <v>5400</v>
      </c>
      <c r="AC749" s="12">
        <v>0</v>
      </c>
      <c r="AD749" s="43"/>
      <c r="AE749" s="43"/>
      <c r="AF749" s="43"/>
      <c r="AG749" s="43"/>
      <c r="AH749" s="43"/>
      <c r="AI749" s="43"/>
      <c r="AJ749" s="43"/>
      <c r="AK749" s="43"/>
      <c r="AL749" s="43"/>
      <c r="AM749" s="43"/>
      <c r="AN749" s="43"/>
      <c r="AO749" s="43"/>
      <c r="AP749" s="43"/>
      <c r="AQ749" s="43"/>
      <c r="AR749" s="43"/>
      <c r="AS749" s="43"/>
      <c r="AT749" s="43"/>
      <c r="AU749" s="43"/>
      <c r="AV749" s="43"/>
    </row>
    <row r="750" ht="15.75" spans="1:48">
      <c r="A750" s="12">
        <v>746</v>
      </c>
      <c r="B750" s="44">
        <v>3187</v>
      </c>
      <c r="C750" s="45" t="s">
        <v>52</v>
      </c>
      <c r="D750" s="46">
        <v>19</v>
      </c>
      <c r="E750" s="47" t="s">
        <v>50</v>
      </c>
      <c r="F750" s="48">
        <v>10.67</v>
      </c>
      <c r="G750" s="38">
        <v>1.34</v>
      </c>
      <c r="H750" s="39"/>
      <c r="I750" s="39"/>
      <c r="J750" s="39"/>
      <c r="K750" s="39"/>
      <c r="L750" s="39"/>
      <c r="M750" s="39"/>
      <c r="N750" s="39"/>
      <c r="O750" s="39"/>
      <c r="P750" s="39"/>
      <c r="Q750" s="39">
        <v>1.17</v>
      </c>
      <c r="R750" s="39"/>
      <c r="S750" s="39"/>
      <c r="T750" s="39"/>
      <c r="U750" s="39">
        <v>0.17</v>
      </c>
      <c r="V750" s="39"/>
      <c r="W750" s="39"/>
      <c r="X750" s="49" t="s">
        <v>71</v>
      </c>
      <c r="Y750" s="50">
        <v>3574.45</v>
      </c>
      <c r="Z750" s="51">
        <v>3580</v>
      </c>
      <c r="AA750" s="52">
        <f>IFERROR(Z750/Y750,0)</f>
        <v>1.00155268642728</v>
      </c>
      <c r="AB750" s="12">
        <v>3580</v>
      </c>
      <c r="AC750" s="12">
        <v>0</v>
      </c>
      <c r="AD750" s="43"/>
      <c r="AE750" s="43"/>
      <c r="AF750" s="43"/>
      <c r="AG750" s="43"/>
      <c r="AH750" s="43"/>
      <c r="AI750" s="43"/>
      <c r="AJ750" s="43"/>
      <c r="AK750" s="43"/>
      <c r="AL750" s="43"/>
      <c r="AM750" s="43"/>
      <c r="AN750" s="43"/>
      <c r="AO750" s="43"/>
      <c r="AP750" s="43"/>
      <c r="AQ750" s="43"/>
      <c r="AR750" s="43"/>
      <c r="AS750" s="43"/>
      <c r="AT750" s="43"/>
      <c r="AU750" s="43"/>
      <c r="AV750" s="43"/>
    </row>
    <row r="751" ht="15.75" spans="1:48">
      <c r="A751" s="12">
        <v>747</v>
      </c>
      <c r="B751" s="44">
        <v>834</v>
      </c>
      <c r="C751" s="45" t="s">
        <v>61</v>
      </c>
      <c r="D751" s="46"/>
      <c r="E751" s="47" t="s">
        <v>50</v>
      </c>
      <c r="F751" s="48">
        <v>7</v>
      </c>
      <c r="G751" s="38">
        <v>1</v>
      </c>
      <c r="H751" s="39"/>
      <c r="I751" s="39"/>
      <c r="J751" s="39"/>
      <c r="K751" s="39"/>
      <c r="L751" s="39"/>
      <c r="M751" s="39"/>
      <c r="N751" s="39"/>
      <c r="O751" s="39"/>
      <c r="P751" s="39"/>
      <c r="Q751" s="39">
        <v>0.83</v>
      </c>
      <c r="R751" s="39"/>
      <c r="S751" s="39"/>
      <c r="T751" s="39"/>
      <c r="U751" s="39">
        <v>0.17</v>
      </c>
      <c r="V751" s="39"/>
      <c r="W751" s="39"/>
      <c r="X751" s="49" t="s">
        <v>199</v>
      </c>
      <c r="Y751" s="50">
        <v>2450</v>
      </c>
      <c r="Z751" s="51">
        <v>2160</v>
      </c>
      <c r="AA751" s="52">
        <f>IFERROR(Z751/Y751,0)</f>
        <v>0.881632653061225</v>
      </c>
      <c r="AB751" s="12">
        <v>2160</v>
      </c>
      <c r="AC751" s="12">
        <v>0</v>
      </c>
      <c r="AD751" s="43"/>
      <c r="AE751" s="43"/>
      <c r="AF751" s="43"/>
      <c r="AG751" s="43"/>
      <c r="AH751" s="43"/>
      <c r="AI751" s="43"/>
      <c r="AJ751" s="43"/>
      <c r="AK751" s="43"/>
      <c r="AL751" s="43"/>
      <c r="AM751" s="43"/>
      <c r="AN751" s="43"/>
      <c r="AO751" s="43"/>
      <c r="AP751" s="43"/>
      <c r="AQ751" s="43"/>
      <c r="AR751" s="43"/>
      <c r="AS751" s="43"/>
      <c r="AT751" s="43"/>
      <c r="AU751" s="43"/>
      <c r="AV751" s="43"/>
    </row>
    <row r="752" ht="15.75" spans="1:48">
      <c r="A752" s="12">
        <v>748</v>
      </c>
      <c r="B752" s="44">
        <v>845</v>
      </c>
      <c r="C752" s="45" t="s">
        <v>70</v>
      </c>
      <c r="D752" s="46">
        <v>19</v>
      </c>
      <c r="E752" s="47" t="s">
        <v>50</v>
      </c>
      <c r="F752" s="48">
        <v>7.17</v>
      </c>
      <c r="G752" s="38">
        <v>0.83</v>
      </c>
      <c r="H752" s="39"/>
      <c r="I752" s="39"/>
      <c r="J752" s="39"/>
      <c r="K752" s="39"/>
      <c r="L752" s="39"/>
      <c r="M752" s="39"/>
      <c r="N752" s="39"/>
      <c r="O752" s="39"/>
      <c r="P752" s="39"/>
      <c r="Q752" s="39">
        <v>0.83</v>
      </c>
      <c r="R752" s="39"/>
      <c r="S752" s="39"/>
      <c r="T752" s="39"/>
      <c r="U752" s="39"/>
      <c r="V752" s="39"/>
      <c r="W752" s="39"/>
      <c r="X752" s="49" t="s">
        <v>71</v>
      </c>
      <c r="Y752" s="50">
        <v>2401.95</v>
      </c>
      <c r="Z752" s="51">
        <v>2280</v>
      </c>
      <c r="AA752" s="52">
        <f>IFERROR(Z752/Y752,0)</f>
        <v>0.949228751639293</v>
      </c>
      <c r="AB752" s="12">
        <v>2280</v>
      </c>
      <c r="AC752" s="12">
        <v>0</v>
      </c>
      <c r="AD752" s="43"/>
      <c r="AE752" s="43"/>
      <c r="AF752" s="43"/>
      <c r="AG752" s="43"/>
      <c r="AH752" s="43"/>
      <c r="AI752" s="43"/>
      <c r="AJ752" s="43"/>
      <c r="AK752" s="43"/>
      <c r="AL752" s="43"/>
      <c r="AM752" s="43"/>
      <c r="AN752" s="43"/>
      <c r="AO752" s="43"/>
      <c r="AP752" s="43"/>
      <c r="AQ752" s="43"/>
      <c r="AR752" s="43"/>
      <c r="AS752" s="43"/>
      <c r="AT752" s="43"/>
      <c r="AU752" s="43"/>
      <c r="AV752" s="43"/>
    </row>
    <row r="753" ht="15.75" spans="1:48">
      <c r="A753" s="12">
        <v>749</v>
      </c>
      <c r="B753" s="44" t="s">
        <v>247</v>
      </c>
      <c r="C753" s="45" t="e">
        <v>#N/A</v>
      </c>
      <c r="D753" s="46">
        <v>12</v>
      </c>
      <c r="E753" s="47" t="s">
        <v>248</v>
      </c>
      <c r="F753" s="48">
        <v>6.5</v>
      </c>
      <c r="G753" s="38">
        <v>1.5</v>
      </c>
      <c r="H753" s="39"/>
      <c r="I753" s="39"/>
      <c r="J753" s="39"/>
      <c r="K753" s="39"/>
      <c r="L753" s="39"/>
      <c r="M753" s="39"/>
      <c r="N753" s="39"/>
      <c r="O753" s="39"/>
      <c r="P753" s="39"/>
      <c r="Q753" s="39">
        <v>0.83</v>
      </c>
      <c r="R753" s="39"/>
      <c r="S753" s="39"/>
      <c r="T753" s="39"/>
      <c r="U753" s="39">
        <v>0.17</v>
      </c>
      <c r="V753" s="39">
        <v>0.5</v>
      </c>
      <c r="W753" s="39"/>
      <c r="X753" s="49" t="s">
        <v>194</v>
      </c>
      <c r="Y753" s="50">
        <v>1524.25</v>
      </c>
      <c r="Z753" s="51">
        <v>1260</v>
      </c>
      <c r="AA753" s="51"/>
      <c r="AB753" s="12">
        <v>1260</v>
      </c>
      <c r="AC753" s="12">
        <v>0</v>
      </c>
      <c r="AD753" s="43"/>
      <c r="AE753" s="43"/>
      <c r="AF753" s="43"/>
      <c r="AG753" s="43"/>
      <c r="AH753" s="43"/>
      <c r="AI753" s="43"/>
      <c r="AJ753" s="43"/>
      <c r="AK753" s="43"/>
      <c r="AL753" s="43"/>
      <c r="AM753" s="43"/>
      <c r="AN753" s="43"/>
      <c r="AO753" s="43"/>
      <c r="AP753" s="43"/>
      <c r="AQ753" s="43"/>
      <c r="AR753" s="43"/>
      <c r="AS753" s="43"/>
      <c r="AT753" s="43"/>
      <c r="AU753" s="43"/>
      <c r="AV753" s="43"/>
    </row>
    <row r="754" ht="15.75" spans="1:48">
      <c r="A754" s="12">
        <v>750</v>
      </c>
      <c r="B754" s="44" t="s">
        <v>249</v>
      </c>
      <c r="C754" s="45" t="e">
        <v>#N/A</v>
      </c>
      <c r="D754" s="46">
        <v>12</v>
      </c>
      <c r="E754" s="47" t="s">
        <v>93</v>
      </c>
      <c r="F754" s="48">
        <v>6.5</v>
      </c>
      <c r="G754" s="38">
        <v>1.5</v>
      </c>
      <c r="H754" s="39"/>
      <c r="I754" s="39"/>
      <c r="J754" s="39"/>
      <c r="K754" s="39"/>
      <c r="L754" s="39"/>
      <c r="M754" s="39"/>
      <c r="N754" s="39"/>
      <c r="O754" s="39"/>
      <c r="P754" s="39"/>
      <c r="Q754" s="39">
        <v>0.83</v>
      </c>
      <c r="R754" s="39"/>
      <c r="S754" s="39"/>
      <c r="T754" s="39">
        <v>0.17</v>
      </c>
      <c r="U754" s="39"/>
      <c r="V754" s="39">
        <v>0.5</v>
      </c>
      <c r="W754" s="39"/>
      <c r="X754" s="49" t="s">
        <v>194</v>
      </c>
      <c r="Y754" s="50">
        <v>1524.25</v>
      </c>
      <c r="Z754" s="51">
        <v>1260</v>
      </c>
      <c r="AA754" s="52">
        <f>IFERROR(Z754/Y754,0)</f>
        <v>0.826636050516648</v>
      </c>
      <c r="AB754" s="12">
        <v>1173</v>
      </c>
      <c r="AC754" s="12">
        <v>87</v>
      </c>
      <c r="AD754" s="19">
        <v>87</v>
      </c>
      <c r="AE754" s="43"/>
      <c r="AF754" s="43"/>
      <c r="AG754" s="43"/>
      <c r="AH754" s="43"/>
      <c r="AI754" s="43"/>
      <c r="AJ754" s="43"/>
      <c r="AK754" s="43"/>
      <c r="AL754" s="43"/>
      <c r="AM754" s="43"/>
      <c r="AN754" s="43"/>
      <c r="AO754" s="43"/>
      <c r="AP754" s="43"/>
      <c r="AQ754" s="43"/>
      <c r="AR754" s="43"/>
      <c r="AS754" s="43"/>
      <c r="AT754" s="43"/>
      <c r="AU754" s="43"/>
      <c r="AV754" s="43"/>
    </row>
    <row r="755" ht="15.75" spans="1:48">
      <c r="A755" s="12">
        <v>751</v>
      </c>
      <c r="B755" s="44" t="s">
        <v>225</v>
      </c>
      <c r="C755" s="45" t="e">
        <v>#N/A</v>
      </c>
      <c r="D755" s="46" t="s">
        <v>49</v>
      </c>
      <c r="E755" s="47" t="s">
        <v>209</v>
      </c>
      <c r="F755" s="48">
        <v>10.5</v>
      </c>
      <c r="G755" s="38">
        <v>1.51</v>
      </c>
      <c r="H755" s="39"/>
      <c r="I755" s="39"/>
      <c r="J755" s="39"/>
      <c r="K755" s="39">
        <v>0.17</v>
      </c>
      <c r="L755" s="39"/>
      <c r="M755" s="39"/>
      <c r="N755" s="39"/>
      <c r="O755" s="39"/>
      <c r="P755" s="39"/>
      <c r="Q755" s="39">
        <v>1.17</v>
      </c>
      <c r="R755" s="39"/>
      <c r="S755" s="39"/>
      <c r="T755" s="39"/>
      <c r="U755" s="39">
        <v>0.17</v>
      </c>
      <c r="V755" s="39"/>
      <c r="W755" s="39"/>
      <c r="X755" s="49" t="s">
        <v>51</v>
      </c>
      <c r="Y755" s="50">
        <v>22821.75</v>
      </c>
      <c r="Z755" s="51">
        <v>23760</v>
      </c>
      <c r="AA755" s="52">
        <f>IFERROR(Z755/Y755,0)</f>
        <v>1.04111209701272</v>
      </c>
      <c r="AB755" s="12">
        <v>23760</v>
      </c>
      <c r="AC755" s="12">
        <v>0</v>
      </c>
      <c r="AD755" s="43"/>
      <c r="AE755" s="43"/>
      <c r="AF755" s="43"/>
      <c r="AG755" s="43"/>
      <c r="AH755" s="43"/>
      <c r="AI755" s="43"/>
      <c r="AJ755" s="43"/>
      <c r="AK755" s="43"/>
      <c r="AL755" s="43"/>
      <c r="AM755" s="43"/>
      <c r="AN755" s="43"/>
      <c r="AO755" s="43"/>
      <c r="AP755" s="43"/>
      <c r="AQ755" s="43"/>
      <c r="AR755" s="43"/>
      <c r="AS755" s="43"/>
      <c r="AT755" s="43"/>
      <c r="AU755" s="43"/>
      <c r="AV755" s="43"/>
    </row>
    <row r="756" ht="15.75" spans="1:48">
      <c r="A756" s="12">
        <v>752</v>
      </c>
      <c r="B756" s="44">
        <v>3353</v>
      </c>
      <c r="C756" s="45" t="s">
        <v>48</v>
      </c>
      <c r="D756" s="46" t="s">
        <v>112</v>
      </c>
      <c r="E756" s="47" t="s">
        <v>50</v>
      </c>
      <c r="F756" s="48">
        <v>5.67</v>
      </c>
      <c r="G756" s="38">
        <v>6.34</v>
      </c>
      <c r="H756" s="39"/>
      <c r="I756" s="39"/>
      <c r="J756" s="39"/>
      <c r="K756" s="39"/>
      <c r="L756" s="39"/>
      <c r="M756" s="39"/>
      <c r="N756" s="39"/>
      <c r="O756" s="39"/>
      <c r="P756" s="39"/>
      <c r="Q756" s="39">
        <v>1.17</v>
      </c>
      <c r="R756" s="39"/>
      <c r="S756" s="39">
        <v>5</v>
      </c>
      <c r="T756" s="39"/>
      <c r="U756" s="39">
        <v>0.17</v>
      </c>
      <c r="V756" s="39"/>
      <c r="W756" s="39"/>
      <c r="X756" s="49" t="s">
        <v>190</v>
      </c>
      <c r="Y756" s="50">
        <v>5103</v>
      </c>
      <c r="Z756" s="51">
        <v>4800</v>
      </c>
      <c r="AA756" s="52">
        <f>IFERROR(Z756/Y756,0)</f>
        <v>0.940623162845385</v>
      </c>
      <c r="AB756" s="12">
        <v>4800</v>
      </c>
      <c r="AC756" s="12">
        <v>0</v>
      </c>
      <c r="AD756" s="43"/>
      <c r="AE756" s="43"/>
      <c r="AF756" s="43"/>
      <c r="AG756" s="43"/>
      <c r="AH756" s="43"/>
      <c r="AI756" s="43"/>
      <c r="AJ756" s="43"/>
      <c r="AK756" s="43"/>
      <c r="AL756" s="43"/>
      <c r="AM756" s="43"/>
      <c r="AN756" s="43"/>
      <c r="AO756" s="43"/>
      <c r="AP756" s="43"/>
      <c r="AQ756" s="43"/>
      <c r="AR756" s="43"/>
      <c r="AS756" s="43"/>
      <c r="AT756" s="43"/>
      <c r="AU756" s="43"/>
      <c r="AV756" s="43"/>
    </row>
    <row r="757" ht="15.75" spans="1:48">
      <c r="A757" s="12">
        <v>753</v>
      </c>
      <c r="B757" s="44">
        <v>2516</v>
      </c>
      <c r="C757" s="45" t="s">
        <v>189</v>
      </c>
      <c r="D757" s="46" t="s">
        <v>53</v>
      </c>
      <c r="E757" s="47" t="s">
        <v>50</v>
      </c>
      <c r="F757" s="48">
        <v>3.83</v>
      </c>
      <c r="G757" s="38">
        <v>0</v>
      </c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49" t="s">
        <v>55</v>
      </c>
      <c r="Y757" s="50">
        <v>9249.45</v>
      </c>
      <c r="Z757" s="51">
        <v>9480</v>
      </c>
      <c r="AA757" s="52">
        <f>IFERROR(Z757/Y757,0)</f>
        <v>1.0249258063993</v>
      </c>
      <c r="AB757" s="12">
        <v>9479</v>
      </c>
      <c r="AC757" s="12">
        <v>1</v>
      </c>
      <c r="AD757" s="43"/>
      <c r="AE757" s="43"/>
      <c r="AF757" s="43"/>
      <c r="AG757" s="43"/>
      <c r="AH757" s="43"/>
      <c r="AI757" s="43"/>
      <c r="AJ757" s="43"/>
      <c r="AK757" s="43"/>
      <c r="AL757" s="43"/>
      <c r="AM757" s="43"/>
      <c r="AN757" s="19">
        <v>1</v>
      </c>
      <c r="AO757" s="43"/>
      <c r="AP757" s="43"/>
      <c r="AQ757" s="43"/>
      <c r="AR757" s="43"/>
      <c r="AS757" s="43"/>
      <c r="AT757" s="43"/>
      <c r="AU757" s="43"/>
      <c r="AV757" s="43"/>
    </row>
    <row r="758" ht="15.75" spans="1:48">
      <c r="A758" s="12">
        <v>754</v>
      </c>
      <c r="B758" s="44">
        <v>2516</v>
      </c>
      <c r="C758" s="45" t="s">
        <v>189</v>
      </c>
      <c r="D758" s="46" t="s">
        <v>53</v>
      </c>
      <c r="E758" s="47" t="s">
        <v>250</v>
      </c>
      <c r="F758" s="48">
        <v>6.5</v>
      </c>
      <c r="G758" s="38">
        <v>0</v>
      </c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49" t="s">
        <v>55</v>
      </c>
      <c r="Y758" s="50">
        <v>10988.25</v>
      </c>
      <c r="Z758" s="51">
        <v>10680</v>
      </c>
      <c r="AA758" s="52">
        <f>IFERROR(Z758/Y758,0)</f>
        <v>0.971947307351034</v>
      </c>
      <c r="AB758" s="12">
        <v>10680</v>
      </c>
      <c r="AC758" s="12">
        <v>0</v>
      </c>
      <c r="AD758" s="43"/>
      <c r="AE758" s="43"/>
      <c r="AF758" s="43"/>
      <c r="AG758" s="43"/>
      <c r="AH758" s="43"/>
      <c r="AI758" s="43"/>
      <c r="AJ758" s="43"/>
      <c r="AK758" s="43"/>
      <c r="AL758" s="43"/>
      <c r="AM758" s="43"/>
      <c r="AN758" s="43"/>
      <c r="AO758" s="43"/>
      <c r="AP758" s="43"/>
      <c r="AQ758" s="43"/>
      <c r="AR758" s="43"/>
      <c r="AS758" s="43"/>
      <c r="AT758" s="43"/>
      <c r="AU758" s="43"/>
      <c r="AV758" s="43"/>
    </row>
    <row r="759" ht="15.75" spans="1:48">
      <c r="A759" s="12">
        <v>755</v>
      </c>
      <c r="B759" s="44">
        <v>4344</v>
      </c>
      <c r="C759" s="45" t="s">
        <v>85</v>
      </c>
      <c r="D759" s="46" t="s">
        <v>138</v>
      </c>
      <c r="E759" s="47" t="s">
        <v>50</v>
      </c>
      <c r="F759" s="48">
        <v>10.5</v>
      </c>
      <c r="G759" s="38">
        <v>1.51</v>
      </c>
      <c r="H759" s="39"/>
      <c r="I759" s="39"/>
      <c r="J759" s="39"/>
      <c r="K759" s="39">
        <v>0.17</v>
      </c>
      <c r="L759" s="39"/>
      <c r="M759" s="39"/>
      <c r="N759" s="39"/>
      <c r="O759" s="39"/>
      <c r="P759" s="39"/>
      <c r="Q759" s="39">
        <v>1.17</v>
      </c>
      <c r="R759" s="39"/>
      <c r="S759" s="39"/>
      <c r="T759" s="39"/>
      <c r="U759" s="39">
        <v>0.17</v>
      </c>
      <c r="V759" s="39"/>
      <c r="W759" s="39"/>
      <c r="X759" s="49" t="s">
        <v>82</v>
      </c>
      <c r="Y759" s="50">
        <v>17062.5</v>
      </c>
      <c r="Z759" s="51">
        <v>16812</v>
      </c>
      <c r="AA759" s="52">
        <f>IFERROR(Z759/Y759,0)</f>
        <v>0.985318681318681</v>
      </c>
      <c r="AB759" s="12">
        <v>16784</v>
      </c>
      <c r="AC759" s="12">
        <v>28</v>
      </c>
      <c r="AD759" s="43"/>
      <c r="AE759" s="43"/>
      <c r="AF759" s="43"/>
      <c r="AG759" s="19">
        <v>28</v>
      </c>
      <c r="AH759" s="43"/>
      <c r="AI759" s="43"/>
      <c r="AJ759" s="43"/>
      <c r="AK759" s="43"/>
      <c r="AL759" s="43"/>
      <c r="AM759" s="43"/>
      <c r="AN759" s="43"/>
      <c r="AO759" s="43"/>
      <c r="AP759" s="43"/>
      <c r="AQ759" s="43"/>
      <c r="AR759" s="43"/>
      <c r="AS759" s="43"/>
      <c r="AT759" s="43"/>
      <c r="AU759" s="43"/>
      <c r="AV759" s="43"/>
    </row>
    <row r="760" ht="15.75" spans="1:48">
      <c r="A760" s="12">
        <v>756</v>
      </c>
      <c r="B760" s="44">
        <v>4185</v>
      </c>
      <c r="C760" s="45" t="s">
        <v>72</v>
      </c>
      <c r="D760" s="46" t="s">
        <v>207</v>
      </c>
      <c r="E760" s="47" t="s">
        <v>50</v>
      </c>
      <c r="F760" s="48">
        <v>10</v>
      </c>
      <c r="G760" s="38">
        <v>2</v>
      </c>
      <c r="H760" s="39"/>
      <c r="I760" s="39"/>
      <c r="J760" s="39"/>
      <c r="K760" s="39">
        <v>0.5</v>
      </c>
      <c r="L760" s="39"/>
      <c r="M760" s="39"/>
      <c r="N760" s="39"/>
      <c r="O760" s="39"/>
      <c r="P760" s="39"/>
      <c r="Q760" s="39">
        <v>1.17</v>
      </c>
      <c r="R760" s="39"/>
      <c r="S760" s="39"/>
      <c r="T760" s="39"/>
      <c r="U760" s="39">
        <v>0.33</v>
      </c>
      <c r="V760" s="39"/>
      <c r="W760" s="39"/>
      <c r="X760" s="49" t="s">
        <v>79</v>
      </c>
      <c r="Y760" s="50">
        <v>66600</v>
      </c>
      <c r="Z760" s="51">
        <v>58560</v>
      </c>
      <c r="AA760" s="52">
        <f>IFERROR(Z760/Y760,0)</f>
        <v>0.879279279279279</v>
      </c>
      <c r="AB760" s="12">
        <v>58496</v>
      </c>
      <c r="AC760" s="12">
        <v>64</v>
      </c>
      <c r="AD760" s="43"/>
      <c r="AE760" s="43"/>
      <c r="AF760" s="43"/>
      <c r="AG760" s="19">
        <v>64</v>
      </c>
      <c r="AH760" s="43"/>
      <c r="AI760" s="43"/>
      <c r="AJ760" s="43"/>
      <c r="AK760" s="43"/>
      <c r="AL760" s="43"/>
      <c r="AM760" s="43"/>
      <c r="AN760" s="43"/>
      <c r="AO760" s="43"/>
      <c r="AP760" s="43"/>
      <c r="AQ760" s="43"/>
      <c r="AR760" s="43"/>
      <c r="AS760" s="43"/>
      <c r="AT760" s="43"/>
      <c r="AU760" s="43"/>
      <c r="AV760" s="43"/>
    </row>
    <row r="761" ht="15.75" spans="1:48">
      <c r="A761" s="12">
        <v>757</v>
      </c>
      <c r="B761" s="44">
        <v>4185</v>
      </c>
      <c r="C761" s="45" t="s">
        <v>72</v>
      </c>
      <c r="D761" s="46" t="s">
        <v>76</v>
      </c>
      <c r="E761" s="47" t="s">
        <v>50</v>
      </c>
      <c r="F761" s="48">
        <v>9.83</v>
      </c>
      <c r="G761" s="38">
        <v>2.17</v>
      </c>
      <c r="H761" s="39"/>
      <c r="I761" s="39"/>
      <c r="J761" s="39"/>
      <c r="K761" s="39">
        <v>0.67</v>
      </c>
      <c r="L761" s="39"/>
      <c r="M761" s="39"/>
      <c r="N761" s="39"/>
      <c r="O761" s="39"/>
      <c r="P761" s="39"/>
      <c r="Q761" s="39">
        <v>1.17</v>
      </c>
      <c r="R761" s="39"/>
      <c r="S761" s="39"/>
      <c r="T761" s="39"/>
      <c r="U761" s="39">
        <v>0.33</v>
      </c>
      <c r="V761" s="39"/>
      <c r="W761" s="39"/>
      <c r="X761" s="49" t="s">
        <v>77</v>
      </c>
      <c r="Y761" s="50">
        <v>58980</v>
      </c>
      <c r="Z761" s="51">
        <v>54400</v>
      </c>
      <c r="AA761" s="52">
        <f>IFERROR(Z761/Y761,0)</f>
        <v>0.922346558155307</v>
      </c>
      <c r="AB761" s="12">
        <v>54248</v>
      </c>
      <c r="AC761" s="12">
        <v>152</v>
      </c>
      <c r="AD761" s="43"/>
      <c r="AE761" s="43"/>
      <c r="AF761" s="43"/>
      <c r="AG761" s="19">
        <v>152</v>
      </c>
      <c r="AH761" s="43"/>
      <c r="AI761" s="43"/>
      <c r="AJ761" s="43"/>
      <c r="AK761" s="43"/>
      <c r="AL761" s="43"/>
      <c r="AM761" s="43"/>
      <c r="AN761" s="43"/>
      <c r="AO761" s="43"/>
      <c r="AP761" s="43"/>
      <c r="AQ761" s="43"/>
      <c r="AR761" s="43"/>
      <c r="AS761" s="43"/>
      <c r="AT761" s="43"/>
      <c r="AU761" s="43"/>
      <c r="AV761" s="43"/>
    </row>
    <row r="762" ht="15.75" spans="1:48">
      <c r="A762" s="12">
        <v>758</v>
      </c>
      <c r="B762" s="44">
        <v>4185</v>
      </c>
      <c r="C762" s="45" t="s">
        <v>72</v>
      </c>
      <c r="D762" s="46" t="s">
        <v>78</v>
      </c>
      <c r="E762" s="47" t="s">
        <v>50</v>
      </c>
      <c r="F762" s="48">
        <v>10</v>
      </c>
      <c r="G762" s="38">
        <v>2</v>
      </c>
      <c r="H762" s="39"/>
      <c r="I762" s="39"/>
      <c r="J762" s="39"/>
      <c r="K762" s="39">
        <v>0.5</v>
      </c>
      <c r="L762" s="39"/>
      <c r="M762" s="39"/>
      <c r="N762" s="39"/>
      <c r="O762" s="39"/>
      <c r="P762" s="39"/>
      <c r="Q762" s="39">
        <v>1.17</v>
      </c>
      <c r="R762" s="39"/>
      <c r="S762" s="39"/>
      <c r="T762" s="39"/>
      <c r="U762" s="39">
        <v>0.33</v>
      </c>
      <c r="V762" s="39"/>
      <c r="W762" s="39"/>
      <c r="X762" s="49" t="s">
        <v>79</v>
      </c>
      <c r="Y762" s="50">
        <v>66600</v>
      </c>
      <c r="Z762" s="51">
        <v>58400</v>
      </c>
      <c r="AA762" s="52">
        <f>IFERROR(Z762/Y762,0)</f>
        <v>0.876876876876877</v>
      </c>
      <c r="AB762" s="12">
        <v>58368</v>
      </c>
      <c r="AC762" s="12">
        <v>32</v>
      </c>
      <c r="AD762" s="43"/>
      <c r="AE762" s="43"/>
      <c r="AF762" s="43"/>
      <c r="AG762" s="19">
        <v>32</v>
      </c>
      <c r="AH762" s="43"/>
      <c r="AI762" s="43"/>
      <c r="AJ762" s="43"/>
      <c r="AK762" s="43"/>
      <c r="AL762" s="43"/>
      <c r="AM762" s="43"/>
      <c r="AN762" s="43"/>
      <c r="AO762" s="43"/>
      <c r="AP762" s="43"/>
      <c r="AQ762" s="43"/>
      <c r="AR762" s="43"/>
      <c r="AS762" s="43"/>
      <c r="AT762" s="43"/>
      <c r="AU762" s="43"/>
      <c r="AV762" s="43"/>
    </row>
    <row r="763" ht="15.75" spans="1:48">
      <c r="A763" s="12">
        <v>759</v>
      </c>
      <c r="B763" s="44">
        <v>4173</v>
      </c>
      <c r="C763" s="45" t="s">
        <v>75</v>
      </c>
      <c r="D763" s="46" t="s">
        <v>81</v>
      </c>
      <c r="E763" s="47" t="s">
        <v>50</v>
      </c>
      <c r="F763" s="48">
        <v>10.5</v>
      </c>
      <c r="G763" s="38">
        <v>1.51</v>
      </c>
      <c r="H763" s="39"/>
      <c r="I763" s="39"/>
      <c r="J763" s="39"/>
      <c r="K763" s="39"/>
      <c r="L763" s="39"/>
      <c r="M763" s="39"/>
      <c r="N763" s="39"/>
      <c r="O763" s="39"/>
      <c r="P763" s="39"/>
      <c r="Q763" s="39">
        <v>1.17</v>
      </c>
      <c r="R763" s="39"/>
      <c r="S763" s="39"/>
      <c r="T763" s="39"/>
      <c r="U763" s="39">
        <v>0.17</v>
      </c>
      <c r="V763" s="39">
        <v>0.17</v>
      </c>
      <c r="W763" s="39"/>
      <c r="X763" s="49" t="s">
        <v>201</v>
      </c>
      <c r="Y763" s="50">
        <v>17062.5</v>
      </c>
      <c r="Z763" s="51">
        <v>16800</v>
      </c>
      <c r="AA763" s="52">
        <f>IFERROR(Z763/Y763,0)</f>
        <v>0.984615384615385</v>
      </c>
      <c r="AB763" s="12">
        <v>16788</v>
      </c>
      <c r="AC763" s="12">
        <v>12</v>
      </c>
      <c r="AD763" s="43"/>
      <c r="AE763" s="43"/>
      <c r="AF763" s="43"/>
      <c r="AG763" s="19">
        <v>12</v>
      </c>
      <c r="AH763" s="43"/>
      <c r="AI763" s="43"/>
      <c r="AJ763" s="43"/>
      <c r="AK763" s="43"/>
      <c r="AL763" s="43"/>
      <c r="AM763" s="43"/>
      <c r="AN763" s="43"/>
      <c r="AO763" s="43"/>
      <c r="AP763" s="43"/>
      <c r="AQ763" s="43"/>
      <c r="AR763" s="43"/>
      <c r="AS763" s="43"/>
      <c r="AT763" s="43"/>
      <c r="AU763" s="43"/>
      <c r="AV763" s="43"/>
    </row>
    <row r="764" ht="15.75" spans="1:48">
      <c r="A764" s="12">
        <v>760</v>
      </c>
      <c r="B764" s="44">
        <v>2959</v>
      </c>
      <c r="C764" s="45" t="s">
        <v>86</v>
      </c>
      <c r="D764" s="46"/>
      <c r="E764" s="47" t="s">
        <v>50</v>
      </c>
      <c r="F764" s="48">
        <v>10.83</v>
      </c>
      <c r="G764" s="38">
        <v>1.17</v>
      </c>
      <c r="H764" s="39"/>
      <c r="I764" s="39"/>
      <c r="J764" s="39"/>
      <c r="K764" s="39"/>
      <c r="L764" s="39"/>
      <c r="M764" s="39"/>
      <c r="N764" s="39"/>
      <c r="O764" s="39"/>
      <c r="P764" s="39"/>
      <c r="Q764" s="39">
        <v>1.17</v>
      </c>
      <c r="R764" s="39"/>
      <c r="S764" s="39"/>
      <c r="T764" s="39"/>
      <c r="U764" s="39"/>
      <c r="V764" s="39"/>
      <c r="W764" s="39"/>
      <c r="X764" s="49" t="s">
        <v>60</v>
      </c>
      <c r="Y764" s="50">
        <v>0</v>
      </c>
      <c r="Z764" s="51"/>
      <c r="AA764" s="52">
        <f>IFERROR(Z764/Y764,0)</f>
        <v>0</v>
      </c>
      <c r="AB764" s="12">
        <v>0</v>
      </c>
      <c r="AC764" s="12">
        <v>0</v>
      </c>
      <c r="AD764" s="43"/>
      <c r="AE764" s="43"/>
      <c r="AF764" s="43"/>
      <c r="AG764" s="43"/>
      <c r="AH764" s="43"/>
      <c r="AI764" s="43"/>
      <c r="AJ764" s="43"/>
      <c r="AK764" s="43"/>
      <c r="AL764" s="43"/>
      <c r="AM764" s="43"/>
      <c r="AN764" s="43"/>
      <c r="AO764" s="43"/>
      <c r="AP764" s="43"/>
      <c r="AQ764" s="43"/>
      <c r="AR764" s="43"/>
      <c r="AS764" s="43"/>
      <c r="AT764" s="43"/>
      <c r="AU764" s="43"/>
      <c r="AV764" s="43"/>
    </row>
    <row r="765" ht="15.75" spans="1:48">
      <c r="A765" s="12">
        <v>761</v>
      </c>
      <c r="B765" s="44">
        <v>3268</v>
      </c>
      <c r="C765" s="45" t="s">
        <v>80</v>
      </c>
      <c r="D765" s="46" t="s">
        <v>73</v>
      </c>
      <c r="E765" s="47" t="s">
        <v>50</v>
      </c>
      <c r="F765" s="48">
        <v>10.5</v>
      </c>
      <c r="G765" s="38">
        <v>1.51</v>
      </c>
      <c r="H765" s="39"/>
      <c r="I765" s="39"/>
      <c r="J765" s="39"/>
      <c r="K765" s="39"/>
      <c r="L765" s="39"/>
      <c r="M765" s="39"/>
      <c r="N765" s="39"/>
      <c r="O765" s="39"/>
      <c r="P765" s="39"/>
      <c r="Q765" s="39">
        <v>1.17</v>
      </c>
      <c r="R765" s="39"/>
      <c r="S765" s="39"/>
      <c r="T765" s="39"/>
      <c r="U765" s="39">
        <v>0.17</v>
      </c>
      <c r="V765" s="39">
        <v>0.17</v>
      </c>
      <c r="W765" s="39"/>
      <c r="X765" s="49" t="s">
        <v>251</v>
      </c>
      <c r="Y765" s="50">
        <v>52500</v>
      </c>
      <c r="Z765" s="51">
        <v>50400</v>
      </c>
      <c r="AA765" s="52">
        <f>IFERROR(Z765/Y765,0)</f>
        <v>0.96</v>
      </c>
      <c r="AB765" s="12">
        <v>50382</v>
      </c>
      <c r="AC765" s="12">
        <v>18</v>
      </c>
      <c r="AD765" s="43"/>
      <c r="AE765" s="43"/>
      <c r="AF765" s="43"/>
      <c r="AG765" s="19">
        <v>18</v>
      </c>
      <c r="AH765" s="43"/>
      <c r="AI765" s="43"/>
      <c r="AJ765" s="43"/>
      <c r="AK765" s="43"/>
      <c r="AL765" s="43"/>
      <c r="AM765" s="43"/>
      <c r="AN765" s="43"/>
      <c r="AO765" s="43"/>
      <c r="AP765" s="43"/>
      <c r="AQ765" s="43"/>
      <c r="AR765" s="43"/>
      <c r="AS765" s="43"/>
      <c r="AT765" s="43"/>
      <c r="AU765" s="43"/>
      <c r="AV765" s="43"/>
    </row>
    <row r="766" ht="15.75" spans="1:48">
      <c r="A766" s="12">
        <v>762</v>
      </c>
      <c r="B766" s="44">
        <v>4478</v>
      </c>
      <c r="C766" s="45" t="s">
        <v>128</v>
      </c>
      <c r="D766" s="46" t="s">
        <v>129</v>
      </c>
      <c r="E766" s="47" t="s">
        <v>209</v>
      </c>
      <c r="F766" s="48">
        <v>10.67</v>
      </c>
      <c r="G766" s="38">
        <v>1.34</v>
      </c>
      <c r="H766" s="39"/>
      <c r="I766" s="39"/>
      <c r="J766" s="39"/>
      <c r="K766" s="39"/>
      <c r="L766" s="39"/>
      <c r="M766" s="39"/>
      <c r="N766" s="39"/>
      <c r="O766" s="39"/>
      <c r="P766" s="39"/>
      <c r="Q766" s="39">
        <v>1.17</v>
      </c>
      <c r="R766" s="39"/>
      <c r="S766" s="39"/>
      <c r="T766" s="39"/>
      <c r="U766" s="39">
        <v>0.17</v>
      </c>
      <c r="V766" s="39"/>
      <c r="W766" s="39"/>
      <c r="X766" s="49" t="s">
        <v>242</v>
      </c>
      <c r="Y766" s="50">
        <v>20486.4</v>
      </c>
      <c r="Z766" s="51">
        <v>18548</v>
      </c>
      <c r="AA766" s="52">
        <f>IFERROR(Z766/Y766,0)</f>
        <v>0.905381130896595</v>
      </c>
      <c r="AB766" s="12">
        <v>18520</v>
      </c>
      <c r="AC766" s="12">
        <v>28</v>
      </c>
      <c r="AD766" s="43"/>
      <c r="AE766" s="43"/>
      <c r="AF766" s="43"/>
      <c r="AG766" s="19">
        <v>28</v>
      </c>
      <c r="AH766" s="43"/>
      <c r="AI766" s="43"/>
      <c r="AJ766" s="43"/>
      <c r="AK766" s="43"/>
      <c r="AL766" s="43"/>
      <c r="AM766" s="43"/>
      <c r="AN766" s="43"/>
      <c r="AO766" s="43"/>
      <c r="AP766" s="43"/>
      <c r="AQ766" s="43"/>
      <c r="AR766" s="43"/>
      <c r="AS766" s="43"/>
      <c r="AT766" s="43"/>
      <c r="AU766" s="43"/>
      <c r="AV766" s="43"/>
    </row>
    <row r="767" ht="15.75" spans="1:48">
      <c r="A767" s="12">
        <v>763</v>
      </c>
      <c r="B767" s="44">
        <v>959</v>
      </c>
      <c r="C767" s="45" t="s">
        <v>168</v>
      </c>
      <c r="D767" s="46">
        <v>14</v>
      </c>
      <c r="E767" s="47" t="s">
        <v>50</v>
      </c>
      <c r="F767" s="48">
        <v>4</v>
      </c>
      <c r="G767" s="38">
        <v>1</v>
      </c>
      <c r="H767" s="39"/>
      <c r="I767" s="39"/>
      <c r="J767" s="39"/>
      <c r="K767" s="39"/>
      <c r="L767" s="39"/>
      <c r="M767" s="39"/>
      <c r="N767" s="39"/>
      <c r="O767" s="39"/>
      <c r="P767" s="39"/>
      <c r="Q767" s="39">
        <v>0.83</v>
      </c>
      <c r="R767" s="39"/>
      <c r="S767" s="39"/>
      <c r="T767" s="39"/>
      <c r="U767" s="39">
        <v>0.17</v>
      </c>
      <c r="V767" s="39"/>
      <c r="W767" s="39"/>
      <c r="X767" s="49">
        <v>8484</v>
      </c>
      <c r="Y767" s="50">
        <v>2160</v>
      </c>
      <c r="Z767" s="51">
        <v>2100</v>
      </c>
      <c r="AA767" s="52">
        <f>IFERROR(Z767/Y767,0)</f>
        <v>0.972222222222222</v>
      </c>
      <c r="AB767" s="12">
        <v>2100</v>
      </c>
      <c r="AC767" s="12">
        <v>0</v>
      </c>
      <c r="AD767" s="43"/>
      <c r="AE767" s="43"/>
      <c r="AF767" s="43"/>
      <c r="AG767" s="43"/>
      <c r="AH767" s="43"/>
      <c r="AI767" s="43"/>
      <c r="AJ767" s="43"/>
      <c r="AK767" s="43"/>
      <c r="AL767" s="43"/>
      <c r="AM767" s="43"/>
      <c r="AN767" s="43"/>
      <c r="AO767" s="43"/>
      <c r="AP767" s="43"/>
      <c r="AQ767" s="43"/>
      <c r="AR767" s="43"/>
      <c r="AS767" s="43"/>
      <c r="AT767" s="43"/>
      <c r="AU767" s="43"/>
      <c r="AV767" s="43"/>
    </row>
    <row r="768" ht="15.75" spans="1:48">
      <c r="A768" s="12">
        <v>764</v>
      </c>
      <c r="B768" s="44" t="s">
        <v>252</v>
      </c>
      <c r="C768" s="45" t="s">
        <v>253</v>
      </c>
      <c r="D768" s="46">
        <v>2</v>
      </c>
      <c r="E768" s="47" t="s">
        <v>93</v>
      </c>
      <c r="F768" s="48">
        <v>3.9</v>
      </c>
      <c r="G768" s="38">
        <v>1.33</v>
      </c>
      <c r="H768" s="39"/>
      <c r="I768" s="39"/>
      <c r="J768" s="39"/>
      <c r="K768" s="39"/>
      <c r="L768" s="39"/>
      <c r="M768" s="39"/>
      <c r="N768" s="39"/>
      <c r="O768" s="39"/>
      <c r="P768" s="39"/>
      <c r="Q768" s="39">
        <v>0.83</v>
      </c>
      <c r="R768" s="39"/>
      <c r="S768" s="39"/>
      <c r="T768" s="39"/>
      <c r="U768" s="39"/>
      <c r="V768" s="39">
        <v>0.5</v>
      </c>
      <c r="W768" s="39"/>
      <c r="X768" s="49">
        <v>1080</v>
      </c>
      <c r="Y768" s="50">
        <v>1801.8</v>
      </c>
      <c r="Z768" s="51">
        <v>1650</v>
      </c>
      <c r="AA768" s="52">
        <f>IFERROR(Z768/Y768,0)</f>
        <v>0.915750915750916</v>
      </c>
      <c r="AB768" s="12">
        <v>1650</v>
      </c>
      <c r="AC768" s="12">
        <v>0</v>
      </c>
      <c r="AD768" s="43"/>
      <c r="AE768" s="43"/>
      <c r="AF768" s="43"/>
      <c r="AG768" s="43"/>
      <c r="AH768" s="43"/>
      <c r="AI768" s="43"/>
      <c r="AJ768" s="43"/>
      <c r="AK768" s="43"/>
      <c r="AL768" s="43"/>
      <c r="AM768" s="43"/>
      <c r="AN768" s="43"/>
      <c r="AO768" s="43"/>
      <c r="AP768" s="43"/>
      <c r="AQ768" s="43"/>
      <c r="AR768" s="43"/>
      <c r="AS768" s="43"/>
      <c r="AT768" s="43"/>
      <c r="AU768" s="43"/>
      <c r="AV768" s="43"/>
    </row>
    <row r="769" ht="15.75" spans="1:48">
      <c r="A769" s="12">
        <v>765</v>
      </c>
      <c r="B769" s="44">
        <v>4310</v>
      </c>
      <c r="C769" s="45" t="s">
        <v>99</v>
      </c>
      <c r="D769" s="46">
        <v>5</v>
      </c>
      <c r="E769" s="47" t="s">
        <v>50</v>
      </c>
      <c r="F769" s="48">
        <v>4.67</v>
      </c>
      <c r="G769" s="38">
        <v>2</v>
      </c>
      <c r="H769" s="39"/>
      <c r="I769" s="39"/>
      <c r="J769" s="39"/>
      <c r="K769" s="39"/>
      <c r="L769" s="39"/>
      <c r="M769" s="39"/>
      <c r="N769" s="39"/>
      <c r="O769" s="39"/>
      <c r="P769" s="39"/>
      <c r="Q769" s="39">
        <v>1</v>
      </c>
      <c r="R769" s="39"/>
      <c r="S769" s="39"/>
      <c r="T769" s="39">
        <v>0.83</v>
      </c>
      <c r="U769" s="39">
        <v>0.17</v>
      </c>
      <c r="V769" s="39"/>
      <c r="W769" s="39"/>
      <c r="X769" s="49">
        <v>5770</v>
      </c>
      <c r="Y769" s="50">
        <v>2825.35</v>
      </c>
      <c r="Z769" s="51">
        <v>2520</v>
      </c>
      <c r="AA769" s="52">
        <f>IFERROR(Z769/Y769,0)</f>
        <v>0.891924894260888</v>
      </c>
      <c r="AB769" s="12">
        <v>2043</v>
      </c>
      <c r="AC769" s="12">
        <v>477</v>
      </c>
      <c r="AD769" s="19">
        <v>477</v>
      </c>
      <c r="AE769" s="43"/>
      <c r="AF769" s="43"/>
      <c r="AG769" s="43"/>
      <c r="AH769" s="43"/>
      <c r="AI769" s="43"/>
      <c r="AJ769" s="43"/>
      <c r="AK769" s="43"/>
      <c r="AL769" s="43"/>
      <c r="AM769" s="43"/>
      <c r="AN769" s="43"/>
      <c r="AO769" s="43"/>
      <c r="AP769" s="43"/>
      <c r="AQ769" s="43"/>
      <c r="AR769" s="43"/>
      <c r="AS769" s="43"/>
      <c r="AT769" s="43"/>
      <c r="AU769" s="43"/>
      <c r="AV769" s="43"/>
    </row>
    <row r="770" ht="15.75" spans="1:48">
      <c r="A770" s="12">
        <v>766</v>
      </c>
      <c r="B770" s="44">
        <v>669</v>
      </c>
      <c r="C770" s="45" t="s">
        <v>94</v>
      </c>
      <c r="D770" s="46">
        <v>21</v>
      </c>
      <c r="E770" s="47" t="s">
        <v>50</v>
      </c>
      <c r="F770" s="48">
        <v>11.67</v>
      </c>
      <c r="G770" s="38">
        <v>0.34</v>
      </c>
      <c r="H770" s="39"/>
      <c r="I770" s="39"/>
      <c r="J770" s="39"/>
      <c r="K770" s="39"/>
      <c r="L770" s="39"/>
      <c r="M770" s="39"/>
      <c r="N770" s="39"/>
      <c r="O770" s="39"/>
      <c r="P770" s="39"/>
      <c r="Q770" s="39">
        <v>0.17</v>
      </c>
      <c r="R770" s="39"/>
      <c r="S770" s="39"/>
      <c r="T770" s="39"/>
      <c r="U770" s="39">
        <v>0.17</v>
      </c>
      <c r="V770" s="39"/>
      <c r="W770" s="39"/>
      <c r="X770" s="49" t="s">
        <v>222</v>
      </c>
      <c r="Y770" s="50">
        <v>16921.5</v>
      </c>
      <c r="Z770" s="51">
        <v>13230</v>
      </c>
      <c r="AA770" s="52">
        <f>IFERROR(Z770/Y770,0)</f>
        <v>0.781845581065508</v>
      </c>
      <c r="AB770" s="12">
        <v>13230</v>
      </c>
      <c r="AC770" s="12">
        <v>0</v>
      </c>
      <c r="AD770" s="43"/>
      <c r="AE770" s="43"/>
      <c r="AF770" s="43"/>
      <c r="AG770" s="43"/>
      <c r="AH770" s="43"/>
      <c r="AI770" s="43"/>
      <c r="AJ770" s="43"/>
      <c r="AK770" s="43"/>
      <c r="AL770" s="43"/>
      <c r="AM770" s="43"/>
      <c r="AN770" s="43"/>
      <c r="AO770" s="43"/>
      <c r="AP770" s="43"/>
      <c r="AQ770" s="43"/>
      <c r="AR770" s="43"/>
      <c r="AS770" s="43"/>
      <c r="AT770" s="43"/>
      <c r="AU770" s="43"/>
      <c r="AV770" s="43"/>
    </row>
    <row r="771" ht="15.75" spans="1:48">
      <c r="A771" s="12">
        <v>767</v>
      </c>
      <c r="B771" s="44" t="s">
        <v>185</v>
      </c>
      <c r="C771" s="45" t="s">
        <v>179</v>
      </c>
      <c r="D771" s="46">
        <v>7</v>
      </c>
      <c r="E771" s="47" t="s">
        <v>50</v>
      </c>
      <c r="F771" s="48">
        <v>8.67</v>
      </c>
      <c r="G771" s="38">
        <v>1.34</v>
      </c>
      <c r="H771" s="39"/>
      <c r="I771" s="39"/>
      <c r="J771" s="39"/>
      <c r="K771" s="39"/>
      <c r="L771" s="39"/>
      <c r="M771" s="39"/>
      <c r="N771" s="39"/>
      <c r="O771" s="39"/>
      <c r="P771" s="39"/>
      <c r="Q771" s="39">
        <v>1.17</v>
      </c>
      <c r="R771" s="39"/>
      <c r="S771" s="39"/>
      <c r="T771" s="39"/>
      <c r="U771" s="39">
        <v>0.17</v>
      </c>
      <c r="V771" s="39"/>
      <c r="W771" s="39"/>
      <c r="X771" s="49" t="s">
        <v>95</v>
      </c>
      <c r="Y771" s="50">
        <v>12138</v>
      </c>
      <c r="Z771" s="51">
        <v>11662</v>
      </c>
      <c r="AA771" s="52">
        <f>IFERROR(Z771/Y771,0)</f>
        <v>0.96078431372549</v>
      </c>
      <c r="AB771" s="12">
        <v>11662</v>
      </c>
      <c r="AC771" s="12">
        <v>0</v>
      </c>
      <c r="AD771" s="43"/>
      <c r="AE771" s="43"/>
      <c r="AF771" s="43"/>
      <c r="AG771" s="43"/>
      <c r="AH771" s="43"/>
      <c r="AI771" s="43"/>
      <c r="AJ771" s="43"/>
      <c r="AK771" s="43"/>
      <c r="AL771" s="43"/>
      <c r="AM771" s="43"/>
      <c r="AN771" s="43"/>
      <c r="AO771" s="43"/>
      <c r="AP771" s="43"/>
      <c r="AQ771" s="43"/>
      <c r="AR771" s="43"/>
      <c r="AS771" s="43"/>
      <c r="AT771" s="43"/>
      <c r="AU771" s="43"/>
      <c r="AV771" s="43"/>
    </row>
    <row r="772" ht="15.75" spans="1:48">
      <c r="A772" s="12">
        <v>768</v>
      </c>
      <c r="B772" s="44">
        <v>4412</v>
      </c>
      <c r="C772" s="45" t="s">
        <v>177</v>
      </c>
      <c r="D772" s="46">
        <v>16</v>
      </c>
      <c r="E772" s="47" t="s">
        <v>50</v>
      </c>
      <c r="F772" s="48">
        <v>4.17</v>
      </c>
      <c r="G772" s="38">
        <v>2</v>
      </c>
      <c r="H772" s="39"/>
      <c r="I772" s="39"/>
      <c r="J772" s="39"/>
      <c r="K772" s="39"/>
      <c r="L772" s="39"/>
      <c r="M772" s="39"/>
      <c r="N772" s="39"/>
      <c r="O772" s="39"/>
      <c r="P772" s="39"/>
      <c r="Q772" s="39">
        <v>0.83</v>
      </c>
      <c r="R772" s="39"/>
      <c r="S772" s="39">
        <v>1</v>
      </c>
      <c r="T772" s="39"/>
      <c r="U772" s="39">
        <v>0.17</v>
      </c>
      <c r="V772" s="39"/>
      <c r="W772" s="39"/>
      <c r="X772" s="49">
        <v>7630</v>
      </c>
      <c r="Y772" s="50">
        <v>750.6</v>
      </c>
      <c r="Z772" s="51">
        <v>755</v>
      </c>
      <c r="AA772" s="52">
        <f>IFERROR(Z772/Y772,0)</f>
        <v>1.005861977085</v>
      </c>
      <c r="AB772" s="12">
        <v>746</v>
      </c>
      <c r="AC772" s="12">
        <v>9</v>
      </c>
      <c r="AD772" s="19">
        <v>9</v>
      </c>
      <c r="AE772" s="43"/>
      <c r="AF772" s="43"/>
      <c r="AG772" s="43"/>
      <c r="AH772" s="43"/>
      <c r="AI772" s="43"/>
      <c r="AJ772" s="43"/>
      <c r="AK772" s="43"/>
      <c r="AL772" s="43"/>
      <c r="AM772" s="43"/>
      <c r="AN772" s="43"/>
      <c r="AO772" s="43"/>
      <c r="AP772" s="43"/>
      <c r="AQ772" s="43"/>
      <c r="AR772" s="43"/>
      <c r="AS772" s="43"/>
      <c r="AT772" s="43"/>
      <c r="AU772" s="43"/>
      <c r="AV772" s="43"/>
    </row>
    <row r="773" ht="15.75" spans="1:48">
      <c r="A773" s="12">
        <v>769</v>
      </c>
      <c r="B773" s="44">
        <v>676</v>
      </c>
      <c r="C773" s="45" t="s">
        <v>171</v>
      </c>
      <c r="D773" s="46"/>
      <c r="E773" s="47" t="s">
        <v>50</v>
      </c>
      <c r="F773" s="48">
        <v>6</v>
      </c>
      <c r="G773" s="38">
        <v>2</v>
      </c>
      <c r="H773" s="39"/>
      <c r="I773" s="39"/>
      <c r="J773" s="39"/>
      <c r="K773" s="39"/>
      <c r="L773" s="39"/>
      <c r="M773" s="39"/>
      <c r="N773" s="39"/>
      <c r="O773" s="39"/>
      <c r="P773" s="39"/>
      <c r="Q773" s="39">
        <v>0.83</v>
      </c>
      <c r="R773" s="39"/>
      <c r="S773" s="39"/>
      <c r="T773" s="39">
        <v>1</v>
      </c>
      <c r="U773" s="39">
        <v>0.17</v>
      </c>
      <c r="V773" s="39"/>
      <c r="W773" s="39"/>
      <c r="X773" s="49" t="s">
        <v>90</v>
      </c>
      <c r="Y773" s="50">
        <v>2820</v>
      </c>
      <c r="Z773" s="51">
        <v>2700</v>
      </c>
      <c r="AA773" s="52">
        <f>IFERROR(Z773/Y773,0)</f>
        <v>0.957446808510638</v>
      </c>
      <c r="AB773" s="12">
        <v>2700</v>
      </c>
      <c r="AC773" s="12">
        <v>0</v>
      </c>
      <c r="AD773" s="43"/>
      <c r="AE773" s="43"/>
      <c r="AF773" s="43"/>
      <c r="AG773" s="43"/>
      <c r="AH773" s="43"/>
      <c r="AI773" s="43"/>
      <c r="AJ773" s="43"/>
      <c r="AK773" s="43"/>
      <c r="AL773" s="43"/>
      <c r="AM773" s="43"/>
      <c r="AN773" s="43"/>
      <c r="AO773" s="43"/>
      <c r="AP773" s="43"/>
      <c r="AQ773" s="43"/>
      <c r="AR773" s="43"/>
      <c r="AS773" s="43"/>
      <c r="AT773" s="43"/>
      <c r="AU773" s="43"/>
      <c r="AV773" s="43"/>
    </row>
    <row r="774" ht="15.75" spans="1:48">
      <c r="A774" s="12">
        <v>770</v>
      </c>
      <c r="B774" s="44">
        <v>4382</v>
      </c>
      <c r="C774" s="45" t="s">
        <v>173</v>
      </c>
      <c r="D774" s="46"/>
      <c r="E774" s="47" t="s">
        <v>50</v>
      </c>
      <c r="F774" s="48">
        <v>4.83</v>
      </c>
      <c r="G774" s="38">
        <v>2.67</v>
      </c>
      <c r="H774" s="39"/>
      <c r="I774" s="39"/>
      <c r="J774" s="39"/>
      <c r="K774" s="39"/>
      <c r="L774" s="39"/>
      <c r="M774" s="39"/>
      <c r="N774" s="39"/>
      <c r="O774" s="39"/>
      <c r="P774" s="39"/>
      <c r="Q774" s="39">
        <v>1</v>
      </c>
      <c r="R774" s="39"/>
      <c r="S774" s="39">
        <v>1.5</v>
      </c>
      <c r="T774" s="39"/>
      <c r="U774" s="39">
        <v>0.17</v>
      </c>
      <c r="V774" s="39"/>
      <c r="W774" s="39"/>
      <c r="X774" s="49" t="s">
        <v>98</v>
      </c>
      <c r="Y774" s="50">
        <v>2270.1</v>
      </c>
      <c r="Z774" s="51">
        <v>1980</v>
      </c>
      <c r="AA774" s="52">
        <f>IFERROR(Z774/Y774,0)</f>
        <v>0.872208272763314</v>
      </c>
      <c r="AB774" s="12">
        <v>1980</v>
      </c>
      <c r="AC774" s="12">
        <v>0</v>
      </c>
      <c r="AD774" s="43"/>
      <c r="AE774" s="43"/>
      <c r="AF774" s="43"/>
      <c r="AG774" s="43"/>
      <c r="AH774" s="43"/>
      <c r="AI774" s="43"/>
      <c r="AJ774" s="43"/>
      <c r="AK774" s="43"/>
      <c r="AL774" s="43"/>
      <c r="AM774" s="43"/>
      <c r="AN774" s="43"/>
      <c r="AO774" s="43"/>
      <c r="AP774" s="43"/>
      <c r="AQ774" s="43"/>
      <c r="AR774" s="43"/>
      <c r="AS774" s="43"/>
      <c r="AT774" s="43"/>
      <c r="AU774" s="43"/>
      <c r="AV774" s="43"/>
    </row>
    <row r="775" ht="15.75" spans="1:48">
      <c r="A775" s="12">
        <v>771</v>
      </c>
      <c r="B775" s="44">
        <v>4490</v>
      </c>
      <c r="C775" s="45" t="s">
        <v>91</v>
      </c>
      <c r="D775" s="46">
        <v>3</v>
      </c>
      <c r="E775" s="47" t="s">
        <v>50</v>
      </c>
      <c r="F775" s="48">
        <v>8.83</v>
      </c>
      <c r="G775" s="38">
        <v>1.84</v>
      </c>
      <c r="H775" s="39"/>
      <c r="I775" s="39"/>
      <c r="J775" s="39"/>
      <c r="K775" s="39"/>
      <c r="L775" s="39"/>
      <c r="M775" s="39"/>
      <c r="N775" s="39"/>
      <c r="O775" s="39"/>
      <c r="P775" s="39"/>
      <c r="Q775" s="39">
        <v>1.17</v>
      </c>
      <c r="R775" s="39"/>
      <c r="S775" s="39">
        <v>0.33</v>
      </c>
      <c r="T775" s="39">
        <v>0.17</v>
      </c>
      <c r="U775" s="39">
        <v>0.17</v>
      </c>
      <c r="V775" s="39"/>
      <c r="W775" s="39"/>
      <c r="X775" s="49">
        <v>9740</v>
      </c>
      <c r="Y775" s="50">
        <v>3708.6</v>
      </c>
      <c r="Z775" s="51">
        <v>3465</v>
      </c>
      <c r="AA775" s="52">
        <f>IFERROR(Z775/Y775,0)</f>
        <v>0.93431483578709</v>
      </c>
      <c r="AB775" s="12">
        <v>3415</v>
      </c>
      <c r="AC775" s="12">
        <v>50</v>
      </c>
      <c r="AD775" s="19">
        <v>50</v>
      </c>
      <c r="AE775" s="43"/>
      <c r="AF775" s="43"/>
      <c r="AG775" s="43"/>
      <c r="AH775" s="43"/>
      <c r="AI775" s="43"/>
      <c r="AJ775" s="43"/>
      <c r="AK775" s="43"/>
      <c r="AL775" s="43"/>
      <c r="AM775" s="43"/>
      <c r="AN775" s="43"/>
      <c r="AO775" s="43"/>
      <c r="AP775" s="43"/>
      <c r="AQ775" s="43"/>
      <c r="AR775" s="43"/>
      <c r="AS775" s="43"/>
      <c r="AT775" s="43"/>
      <c r="AU775" s="43"/>
      <c r="AV775" s="43"/>
    </row>
    <row r="776" ht="15.75" spans="1:48">
      <c r="A776" s="12">
        <v>772</v>
      </c>
      <c r="B776" s="44">
        <v>4360</v>
      </c>
      <c r="C776" s="45" t="s">
        <v>97</v>
      </c>
      <c r="D776" s="46">
        <v>15</v>
      </c>
      <c r="E776" s="47" t="s">
        <v>50</v>
      </c>
      <c r="F776" s="48">
        <v>5.5</v>
      </c>
      <c r="G776" s="38">
        <v>2.5</v>
      </c>
      <c r="H776" s="39"/>
      <c r="I776" s="39"/>
      <c r="J776" s="39"/>
      <c r="K776" s="39"/>
      <c r="L776" s="39"/>
      <c r="M776" s="39"/>
      <c r="N776" s="39"/>
      <c r="O776" s="39"/>
      <c r="P776" s="39"/>
      <c r="Q776" s="39">
        <v>0.83</v>
      </c>
      <c r="R776" s="39"/>
      <c r="S776" s="39">
        <v>0.33</v>
      </c>
      <c r="T776" s="39">
        <v>1.17</v>
      </c>
      <c r="U776" s="39">
        <v>0.17</v>
      </c>
      <c r="V776" s="39"/>
      <c r="W776" s="39"/>
      <c r="X776" s="49">
        <v>3880</v>
      </c>
      <c r="Y776" s="50">
        <v>2200</v>
      </c>
      <c r="Z776" s="51">
        <v>1800</v>
      </c>
      <c r="AA776" s="52">
        <f>IFERROR(Z776/Y776,0)</f>
        <v>0.818181818181818</v>
      </c>
      <c r="AB776" s="12">
        <v>1606</v>
      </c>
      <c r="AC776" s="12">
        <v>194</v>
      </c>
      <c r="AD776" s="19">
        <v>194</v>
      </c>
      <c r="AE776" s="43"/>
      <c r="AF776" s="43"/>
      <c r="AG776" s="43"/>
      <c r="AH776" s="43"/>
      <c r="AI776" s="43"/>
      <c r="AJ776" s="43"/>
      <c r="AK776" s="43"/>
      <c r="AL776" s="43"/>
      <c r="AM776" s="43"/>
      <c r="AN776" s="43"/>
      <c r="AO776" s="43"/>
      <c r="AP776" s="43"/>
      <c r="AQ776" s="43"/>
      <c r="AR776" s="43"/>
      <c r="AS776" s="43"/>
      <c r="AT776" s="43"/>
      <c r="AU776" s="43"/>
      <c r="AV776" s="43"/>
    </row>
    <row r="777" ht="15.75" spans="1:48">
      <c r="A777" s="12">
        <v>773</v>
      </c>
      <c r="B777" s="44" t="s">
        <v>254</v>
      </c>
      <c r="C777" s="45" t="s">
        <v>255</v>
      </c>
      <c r="D777" s="46">
        <v>18</v>
      </c>
      <c r="E777" s="47" t="s">
        <v>93</v>
      </c>
      <c r="F777" s="48">
        <v>6.67</v>
      </c>
      <c r="G777" s="38">
        <v>1.33</v>
      </c>
      <c r="H777" s="39"/>
      <c r="I777" s="39"/>
      <c r="J777" s="39"/>
      <c r="K777" s="39"/>
      <c r="L777" s="39"/>
      <c r="M777" s="39"/>
      <c r="N777" s="39"/>
      <c r="O777" s="39"/>
      <c r="P777" s="39"/>
      <c r="Q777" s="39">
        <v>0.83</v>
      </c>
      <c r="R777" s="39"/>
      <c r="S777" s="39"/>
      <c r="T777" s="39"/>
      <c r="U777" s="39"/>
      <c r="V777" s="39">
        <v>0.5</v>
      </c>
      <c r="W777" s="39"/>
      <c r="X777" s="49">
        <v>9477</v>
      </c>
      <c r="Y777" s="50">
        <v>2824.745</v>
      </c>
      <c r="Z777" s="51">
        <v>2320</v>
      </c>
      <c r="AA777" s="52">
        <f>IFERROR(Z777/Y777,0)</f>
        <v>0.821313074277501</v>
      </c>
      <c r="AB777" s="12">
        <v>2320</v>
      </c>
      <c r="AC777" s="12">
        <v>0</v>
      </c>
      <c r="AD777" s="43"/>
      <c r="AE777" s="43"/>
      <c r="AF777" s="43"/>
      <c r="AG777" s="43"/>
      <c r="AH777" s="43"/>
      <c r="AI777" s="43"/>
      <c r="AJ777" s="43"/>
      <c r="AK777" s="43"/>
      <c r="AL777" s="43"/>
      <c r="AM777" s="43"/>
      <c r="AN777" s="43"/>
      <c r="AO777" s="43"/>
      <c r="AP777" s="43"/>
      <c r="AQ777" s="43"/>
      <c r="AR777" s="43"/>
      <c r="AS777" s="43"/>
      <c r="AT777" s="43"/>
      <c r="AU777" s="43"/>
      <c r="AV777" s="43"/>
    </row>
    <row r="778" ht="15.75" spans="1:48">
      <c r="A778" s="12">
        <v>774</v>
      </c>
      <c r="B778" s="44">
        <v>4489</v>
      </c>
      <c r="C778" s="45" t="s">
        <v>88</v>
      </c>
      <c r="D778" s="46">
        <v>8</v>
      </c>
      <c r="E778" s="47" t="s">
        <v>50</v>
      </c>
      <c r="F778" s="48">
        <v>7.17</v>
      </c>
      <c r="G778" s="38">
        <v>1.85</v>
      </c>
      <c r="H778" s="39"/>
      <c r="I778" s="39"/>
      <c r="J778" s="39">
        <v>0.17</v>
      </c>
      <c r="K778" s="39">
        <v>0.17</v>
      </c>
      <c r="L778" s="39"/>
      <c r="M778" s="39"/>
      <c r="N778" s="39"/>
      <c r="O778" s="39"/>
      <c r="P778" s="39"/>
      <c r="Q778" s="39">
        <v>1.17</v>
      </c>
      <c r="R778" s="39"/>
      <c r="S778" s="39"/>
      <c r="T778" s="39">
        <v>0.17</v>
      </c>
      <c r="U778" s="39">
        <v>0.17</v>
      </c>
      <c r="V778" s="39"/>
      <c r="W778" s="39"/>
      <c r="X778" s="49">
        <v>2801</v>
      </c>
      <c r="Y778" s="50">
        <v>4337.85</v>
      </c>
      <c r="Z778" s="51">
        <v>4370</v>
      </c>
      <c r="AA778" s="52">
        <f>IFERROR(Z778/Y778,0)</f>
        <v>1.00741150569983</v>
      </c>
      <c r="AB778" s="12">
        <v>4301</v>
      </c>
      <c r="AC778" s="12">
        <v>69</v>
      </c>
      <c r="AD778" s="19">
        <v>69</v>
      </c>
      <c r="AE778" s="43"/>
      <c r="AF778" s="43"/>
      <c r="AG778" s="43"/>
      <c r="AH778" s="43"/>
      <c r="AI778" s="43"/>
      <c r="AJ778" s="43"/>
      <c r="AK778" s="43"/>
      <c r="AL778" s="43"/>
      <c r="AM778" s="43"/>
      <c r="AN778" s="43"/>
      <c r="AO778" s="43"/>
      <c r="AP778" s="43"/>
      <c r="AQ778" s="43"/>
      <c r="AR778" s="43"/>
      <c r="AS778" s="43"/>
      <c r="AT778" s="43"/>
      <c r="AU778" s="43"/>
      <c r="AV778" s="43"/>
    </row>
    <row r="779" ht="15.75" spans="1:48">
      <c r="A779" s="12">
        <v>775</v>
      </c>
      <c r="B779" s="44">
        <v>959</v>
      </c>
      <c r="C779" s="45" t="s">
        <v>168</v>
      </c>
      <c r="D779" s="46"/>
      <c r="E779" s="47" t="s">
        <v>50</v>
      </c>
      <c r="F779" s="48">
        <v>3</v>
      </c>
      <c r="G779" s="38">
        <v>0</v>
      </c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49" t="s">
        <v>105</v>
      </c>
      <c r="Y779" s="50">
        <v>1980</v>
      </c>
      <c r="Z779" s="51">
        <v>2100</v>
      </c>
      <c r="AA779" s="52">
        <f>IFERROR(Z779/Y779,0)</f>
        <v>1.06060606060606</v>
      </c>
      <c r="AB779" s="12">
        <v>2100</v>
      </c>
      <c r="AC779" s="12">
        <v>0</v>
      </c>
      <c r="AD779" s="43"/>
      <c r="AE779" s="43"/>
      <c r="AF779" s="43"/>
      <c r="AG779" s="43"/>
      <c r="AH779" s="43"/>
      <c r="AI779" s="43"/>
      <c r="AJ779" s="43"/>
      <c r="AK779" s="43"/>
      <c r="AL779" s="43"/>
      <c r="AM779" s="43"/>
      <c r="AN779" s="43"/>
      <c r="AO779" s="43"/>
      <c r="AP779" s="43"/>
      <c r="AQ779" s="43"/>
      <c r="AR779" s="43"/>
      <c r="AS779" s="43"/>
      <c r="AT779" s="43"/>
      <c r="AU779" s="43"/>
      <c r="AV779" s="43"/>
    </row>
    <row r="780" ht="15.75" spans="1:48">
      <c r="A780" s="12">
        <v>776</v>
      </c>
      <c r="B780" s="44">
        <v>849</v>
      </c>
      <c r="C780" s="45" t="s">
        <v>108</v>
      </c>
      <c r="D780" s="46"/>
      <c r="E780" s="47" t="s">
        <v>50</v>
      </c>
      <c r="F780" s="48">
        <v>7.17</v>
      </c>
      <c r="G780" s="38">
        <v>0.83</v>
      </c>
      <c r="H780" s="39"/>
      <c r="I780" s="39"/>
      <c r="J780" s="39"/>
      <c r="K780" s="39"/>
      <c r="L780" s="39"/>
      <c r="M780" s="39"/>
      <c r="N780" s="39"/>
      <c r="O780" s="39"/>
      <c r="P780" s="39"/>
      <c r="Q780" s="39">
        <v>0.83</v>
      </c>
      <c r="R780" s="39"/>
      <c r="S780" s="39"/>
      <c r="T780" s="39"/>
      <c r="U780" s="39"/>
      <c r="V780" s="39"/>
      <c r="W780" s="39"/>
      <c r="X780" s="49" t="s">
        <v>103</v>
      </c>
      <c r="Y780" s="50">
        <v>4818.24</v>
      </c>
      <c r="Z780" s="51">
        <v>2320</v>
      </c>
      <c r="AA780" s="52">
        <f>IFERROR(Z780/Y780,0)</f>
        <v>0.481503619578933</v>
      </c>
      <c r="AB780" s="12">
        <v>2320</v>
      </c>
      <c r="AC780" s="12">
        <v>0</v>
      </c>
      <c r="AD780" s="43"/>
      <c r="AE780" s="43"/>
      <c r="AF780" s="43"/>
      <c r="AG780" s="43"/>
      <c r="AH780" s="43"/>
      <c r="AI780" s="43"/>
      <c r="AJ780" s="43"/>
      <c r="AK780" s="43"/>
      <c r="AL780" s="43"/>
      <c r="AM780" s="43"/>
      <c r="AN780" s="43"/>
      <c r="AO780" s="43"/>
      <c r="AP780" s="43"/>
      <c r="AQ780" s="43"/>
      <c r="AR780" s="43"/>
      <c r="AS780" s="43"/>
      <c r="AT780" s="43"/>
      <c r="AU780" s="43"/>
      <c r="AV780" s="43"/>
    </row>
    <row r="781" ht="15.75" spans="1:48">
      <c r="A781" s="12">
        <v>777</v>
      </c>
      <c r="B781" s="44" t="s">
        <v>252</v>
      </c>
      <c r="C781" s="45" t="s">
        <v>253</v>
      </c>
      <c r="D781" s="46"/>
      <c r="E781" s="47" t="s">
        <v>50</v>
      </c>
      <c r="F781" s="48">
        <v>2.77</v>
      </c>
      <c r="G781" s="38">
        <v>0</v>
      </c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49" t="s">
        <v>105</v>
      </c>
      <c r="Y781" s="50">
        <v>1828.2</v>
      </c>
      <c r="Z781" s="51">
        <v>1650</v>
      </c>
      <c r="AA781" s="52">
        <f>IFERROR(Z781/Y781,0)</f>
        <v>0.902527075812274</v>
      </c>
      <c r="AB781" s="12">
        <v>1650</v>
      </c>
      <c r="AC781" s="12">
        <v>0</v>
      </c>
      <c r="AD781" s="43"/>
      <c r="AE781" s="43"/>
      <c r="AF781" s="43"/>
      <c r="AG781" s="43"/>
      <c r="AH781" s="43"/>
      <c r="AI781" s="43"/>
      <c r="AJ781" s="43"/>
      <c r="AK781" s="43"/>
      <c r="AL781" s="43"/>
      <c r="AM781" s="43"/>
      <c r="AN781" s="43"/>
      <c r="AO781" s="43"/>
      <c r="AP781" s="43"/>
      <c r="AQ781" s="43"/>
      <c r="AR781" s="43"/>
      <c r="AS781" s="43"/>
      <c r="AT781" s="43"/>
      <c r="AU781" s="43"/>
      <c r="AV781" s="43"/>
    </row>
    <row r="782" ht="15.75" spans="1:48">
      <c r="A782" s="12">
        <v>778</v>
      </c>
      <c r="B782" s="44">
        <v>4310</v>
      </c>
      <c r="C782" s="45" t="s">
        <v>99</v>
      </c>
      <c r="D782" s="46"/>
      <c r="E782" s="47" t="s">
        <v>50</v>
      </c>
      <c r="F782" s="48">
        <v>3.33</v>
      </c>
      <c r="G782" s="38">
        <v>0</v>
      </c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49" t="s">
        <v>103</v>
      </c>
      <c r="Y782" s="50">
        <v>2797.2</v>
      </c>
      <c r="Z782" s="51">
        <v>2520</v>
      </c>
      <c r="AA782" s="52">
        <f>IFERROR(Z782/Y782,0)</f>
        <v>0.900900900900901</v>
      </c>
      <c r="AB782" s="12">
        <v>2520</v>
      </c>
      <c r="AC782" s="12">
        <v>0</v>
      </c>
      <c r="AD782" s="43"/>
      <c r="AE782" s="43"/>
      <c r="AF782" s="43"/>
      <c r="AG782" s="43"/>
      <c r="AH782" s="43"/>
      <c r="AI782" s="43"/>
      <c r="AJ782" s="43"/>
      <c r="AK782" s="43"/>
      <c r="AL782" s="43"/>
      <c r="AM782" s="43"/>
      <c r="AN782" s="43"/>
      <c r="AO782" s="43"/>
      <c r="AP782" s="43"/>
      <c r="AQ782" s="43"/>
      <c r="AR782" s="43"/>
      <c r="AS782" s="43"/>
      <c r="AT782" s="43"/>
      <c r="AU782" s="43"/>
      <c r="AV782" s="43"/>
    </row>
    <row r="783" ht="15.75" spans="1:48">
      <c r="A783" s="12">
        <v>779</v>
      </c>
      <c r="B783" s="44" t="s">
        <v>181</v>
      </c>
      <c r="C783" s="45" t="s">
        <v>182</v>
      </c>
      <c r="D783" s="46"/>
      <c r="E783" s="47" t="s">
        <v>50</v>
      </c>
      <c r="F783" s="48">
        <v>7.17</v>
      </c>
      <c r="G783" s="38">
        <v>0.83</v>
      </c>
      <c r="H783" s="39"/>
      <c r="I783" s="39"/>
      <c r="J783" s="39"/>
      <c r="K783" s="39"/>
      <c r="L783" s="39"/>
      <c r="M783" s="39"/>
      <c r="N783" s="39"/>
      <c r="O783" s="39"/>
      <c r="P783" s="39"/>
      <c r="Q783" s="39">
        <v>0.83</v>
      </c>
      <c r="R783" s="39"/>
      <c r="S783" s="39"/>
      <c r="T783" s="39"/>
      <c r="U783" s="39"/>
      <c r="V783" s="39"/>
      <c r="W783" s="39"/>
      <c r="X783" s="49" t="s">
        <v>103</v>
      </c>
      <c r="Y783" s="50">
        <v>4818.24</v>
      </c>
      <c r="Z783" s="51">
        <v>4080</v>
      </c>
      <c r="AA783" s="52">
        <f>IFERROR(Z783/Y783,0)</f>
        <v>0.846782227535365</v>
      </c>
      <c r="AB783" s="12">
        <v>4080</v>
      </c>
      <c r="AC783" s="12">
        <v>0</v>
      </c>
      <c r="AD783" s="43"/>
      <c r="AE783" s="43"/>
      <c r="AF783" s="43"/>
      <c r="AG783" s="43"/>
      <c r="AH783" s="43"/>
      <c r="AI783" s="43"/>
      <c r="AJ783" s="43"/>
      <c r="AK783" s="43"/>
      <c r="AL783" s="43"/>
      <c r="AM783" s="43"/>
      <c r="AN783" s="43"/>
      <c r="AO783" s="43"/>
      <c r="AP783" s="43"/>
      <c r="AQ783" s="43"/>
      <c r="AR783" s="43"/>
      <c r="AS783" s="43"/>
      <c r="AT783" s="43"/>
      <c r="AU783" s="43"/>
      <c r="AV783" s="43"/>
    </row>
    <row r="784" ht="15.75" spans="1:48">
      <c r="A784" s="12">
        <v>780</v>
      </c>
      <c r="B784" s="44">
        <v>850</v>
      </c>
      <c r="C784" s="45" t="s">
        <v>109</v>
      </c>
      <c r="D784" s="46"/>
      <c r="E784" s="47" t="s">
        <v>50</v>
      </c>
      <c r="F784" s="48">
        <v>7.17</v>
      </c>
      <c r="G784" s="38">
        <v>0.83</v>
      </c>
      <c r="H784" s="39"/>
      <c r="I784" s="39"/>
      <c r="J784" s="39"/>
      <c r="K784" s="39"/>
      <c r="L784" s="39"/>
      <c r="M784" s="39"/>
      <c r="N784" s="39"/>
      <c r="O784" s="39"/>
      <c r="P784" s="39"/>
      <c r="Q784" s="39">
        <v>0.83</v>
      </c>
      <c r="R784" s="39"/>
      <c r="S784" s="39"/>
      <c r="T784" s="39"/>
      <c r="U784" s="39"/>
      <c r="V784" s="39"/>
      <c r="W784" s="39"/>
      <c r="X784" s="49" t="s">
        <v>103</v>
      </c>
      <c r="Y784" s="50">
        <v>4818.24</v>
      </c>
      <c r="Z784" s="51">
        <v>3600</v>
      </c>
      <c r="AA784" s="52">
        <f>IFERROR(Z784/Y784,0)</f>
        <v>0.747160789001793</v>
      </c>
      <c r="AB784" s="12">
        <v>3600</v>
      </c>
      <c r="AC784" s="12">
        <v>0</v>
      </c>
      <c r="AD784" s="43"/>
      <c r="AE784" s="43"/>
      <c r="AF784" s="43"/>
      <c r="AG784" s="43"/>
      <c r="AH784" s="43"/>
      <c r="AI784" s="43"/>
      <c r="AJ784" s="43"/>
      <c r="AK784" s="43"/>
      <c r="AL784" s="43"/>
      <c r="AM784" s="43"/>
      <c r="AN784" s="43"/>
      <c r="AO784" s="43"/>
      <c r="AP784" s="43"/>
      <c r="AQ784" s="43"/>
      <c r="AR784" s="43"/>
      <c r="AS784" s="43"/>
      <c r="AT784" s="43"/>
      <c r="AU784" s="43"/>
      <c r="AV784" s="43"/>
    </row>
    <row r="785" ht="15.75" spans="1:48">
      <c r="A785" s="12">
        <v>781</v>
      </c>
      <c r="B785" s="44" t="s">
        <v>185</v>
      </c>
      <c r="C785" s="45" t="s">
        <v>179</v>
      </c>
      <c r="D785" s="46"/>
      <c r="E785" s="47" t="s">
        <v>50</v>
      </c>
      <c r="F785" s="48">
        <v>2</v>
      </c>
      <c r="G785" s="38">
        <v>0</v>
      </c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49" t="s">
        <v>256</v>
      </c>
      <c r="Y785" s="50">
        <v>0</v>
      </c>
      <c r="Z785" s="51"/>
      <c r="AA785" s="52">
        <f>IFERROR(Z785/Y785,0)</f>
        <v>0</v>
      </c>
      <c r="AB785" s="12">
        <v>0</v>
      </c>
      <c r="AC785" s="12">
        <v>0</v>
      </c>
      <c r="AD785" s="43"/>
      <c r="AE785" s="43"/>
      <c r="AF785" s="43"/>
      <c r="AG785" s="43"/>
      <c r="AH785" s="43"/>
      <c r="AI785" s="43"/>
      <c r="AJ785" s="43"/>
      <c r="AK785" s="43"/>
      <c r="AL785" s="43"/>
      <c r="AM785" s="43"/>
      <c r="AN785" s="43"/>
      <c r="AO785" s="43"/>
      <c r="AP785" s="43"/>
      <c r="AQ785" s="43"/>
      <c r="AR785" s="43"/>
      <c r="AS785" s="43"/>
      <c r="AT785" s="43"/>
      <c r="AU785" s="43"/>
      <c r="AV785" s="43"/>
    </row>
    <row r="786" ht="15.75" spans="1:48">
      <c r="A786" s="12">
        <v>782</v>
      </c>
      <c r="B786" s="44">
        <v>761</v>
      </c>
      <c r="C786" s="45" t="s">
        <v>89</v>
      </c>
      <c r="D786" s="46"/>
      <c r="E786" s="47" t="s">
        <v>50</v>
      </c>
      <c r="F786" s="48">
        <v>1.33</v>
      </c>
      <c r="G786" s="38">
        <v>1.84</v>
      </c>
      <c r="H786" s="39"/>
      <c r="I786" s="39"/>
      <c r="J786" s="39"/>
      <c r="K786" s="39"/>
      <c r="L786" s="39"/>
      <c r="M786" s="39"/>
      <c r="N786" s="39"/>
      <c r="O786" s="39"/>
      <c r="P786" s="39"/>
      <c r="Q786" s="39">
        <v>1.17</v>
      </c>
      <c r="R786" s="39"/>
      <c r="S786" s="39">
        <v>0.5</v>
      </c>
      <c r="T786" s="39"/>
      <c r="U786" s="39">
        <v>0.17</v>
      </c>
      <c r="V786" s="39"/>
      <c r="W786" s="39"/>
      <c r="X786" s="49" t="s">
        <v>101</v>
      </c>
      <c r="Y786" s="50">
        <v>2553.6</v>
      </c>
      <c r="Z786" s="51">
        <v>2160</v>
      </c>
      <c r="AA786" s="52">
        <f>IFERROR(Z786/Y786,0)</f>
        <v>0.845864661654135</v>
      </c>
      <c r="AB786" s="12">
        <v>2160</v>
      </c>
      <c r="AC786" s="12">
        <v>0</v>
      </c>
      <c r="AD786" s="43"/>
      <c r="AE786" s="43"/>
      <c r="AF786" s="43"/>
      <c r="AG786" s="43"/>
      <c r="AH786" s="43"/>
      <c r="AI786" s="43"/>
      <c r="AJ786" s="43"/>
      <c r="AK786" s="43"/>
      <c r="AL786" s="43"/>
      <c r="AM786" s="43"/>
      <c r="AN786" s="43"/>
      <c r="AO786" s="43"/>
      <c r="AP786" s="43"/>
      <c r="AQ786" s="43"/>
      <c r="AR786" s="43"/>
      <c r="AS786" s="43"/>
      <c r="AT786" s="43"/>
      <c r="AU786" s="43"/>
      <c r="AV786" s="43"/>
    </row>
    <row r="787" ht="15.75" spans="1:48">
      <c r="A787" s="12">
        <v>783</v>
      </c>
      <c r="B787" s="44">
        <v>761</v>
      </c>
      <c r="C787" s="45" t="s">
        <v>89</v>
      </c>
      <c r="D787" s="46"/>
      <c r="E787" s="47" t="s">
        <v>50</v>
      </c>
      <c r="F787" s="48">
        <v>6</v>
      </c>
      <c r="G787" s="38">
        <v>0</v>
      </c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49" t="s">
        <v>229</v>
      </c>
      <c r="Y787" s="50">
        <v>22320</v>
      </c>
      <c r="Z787" s="51">
        <v>19350</v>
      </c>
      <c r="AA787" s="52">
        <f>IFERROR(Z787/Y787,0)</f>
        <v>0.866935483870968</v>
      </c>
      <c r="AB787" s="12">
        <v>19350</v>
      </c>
      <c r="AC787" s="12">
        <v>0</v>
      </c>
      <c r="AD787" s="43"/>
      <c r="AE787" s="43"/>
      <c r="AF787" s="43"/>
      <c r="AG787" s="43"/>
      <c r="AH787" s="43"/>
      <c r="AI787" s="43"/>
      <c r="AJ787" s="43"/>
      <c r="AK787" s="43"/>
      <c r="AL787" s="43"/>
      <c r="AM787" s="43"/>
      <c r="AN787" s="43"/>
      <c r="AO787" s="43"/>
      <c r="AP787" s="43"/>
      <c r="AQ787" s="43"/>
      <c r="AR787" s="43"/>
      <c r="AS787" s="43"/>
      <c r="AT787" s="43"/>
      <c r="AU787" s="43"/>
      <c r="AV787" s="43"/>
    </row>
    <row r="788" ht="15.75" spans="1:48">
      <c r="A788" s="12">
        <v>784</v>
      </c>
      <c r="B788" s="44">
        <v>761</v>
      </c>
      <c r="C788" s="45" t="s">
        <v>89</v>
      </c>
      <c r="D788" s="46"/>
      <c r="E788" s="47" t="s">
        <v>50</v>
      </c>
      <c r="F788" s="48">
        <v>2.84</v>
      </c>
      <c r="G788" s="38">
        <v>0</v>
      </c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49" t="s">
        <v>100</v>
      </c>
      <c r="Y788" s="50">
        <v>5452.8</v>
      </c>
      <c r="Z788" s="51">
        <v>4680</v>
      </c>
      <c r="AA788" s="52">
        <f>IFERROR(Z788/Y788,0)</f>
        <v>0.858274647887324</v>
      </c>
      <c r="AB788" s="12">
        <v>4680</v>
      </c>
      <c r="AC788" s="12">
        <v>0</v>
      </c>
      <c r="AD788" s="43"/>
      <c r="AE788" s="43"/>
      <c r="AF788" s="43"/>
      <c r="AG788" s="43"/>
      <c r="AH788" s="43"/>
      <c r="AI788" s="43"/>
      <c r="AJ788" s="43"/>
      <c r="AK788" s="43"/>
      <c r="AL788" s="43"/>
      <c r="AM788" s="43"/>
      <c r="AN788" s="43"/>
      <c r="AO788" s="43"/>
      <c r="AP788" s="43"/>
      <c r="AQ788" s="43"/>
      <c r="AR788" s="43"/>
      <c r="AS788" s="43"/>
      <c r="AT788" s="43"/>
      <c r="AU788" s="43"/>
      <c r="AV788" s="43"/>
    </row>
    <row r="789" ht="15.75" spans="1:48">
      <c r="A789" s="12">
        <v>785</v>
      </c>
      <c r="B789" s="44">
        <v>4412</v>
      </c>
      <c r="C789" s="45" t="s">
        <v>177</v>
      </c>
      <c r="D789" s="46"/>
      <c r="E789" s="47" t="s">
        <v>50</v>
      </c>
      <c r="F789" s="48">
        <v>2.57</v>
      </c>
      <c r="G789" s="38">
        <v>0.17</v>
      </c>
      <c r="H789" s="39"/>
      <c r="I789" s="39"/>
      <c r="J789" s="39"/>
      <c r="K789" s="39"/>
      <c r="L789" s="39"/>
      <c r="M789" s="39"/>
      <c r="N789" s="39"/>
      <c r="O789" s="39"/>
      <c r="P789" s="39"/>
      <c r="Q789" s="39">
        <v>0.17</v>
      </c>
      <c r="R789" s="39"/>
      <c r="S789" s="39"/>
      <c r="T789" s="39"/>
      <c r="U789" s="39"/>
      <c r="V789" s="39"/>
      <c r="W789" s="39"/>
      <c r="X789" s="49" t="s">
        <v>212</v>
      </c>
      <c r="Y789" s="50">
        <v>771</v>
      </c>
      <c r="Z789" s="51">
        <v>755</v>
      </c>
      <c r="AA789" s="52">
        <f>IFERROR(Z789/Y789,0)</f>
        <v>0.979247730220493</v>
      </c>
      <c r="AB789" s="12">
        <v>755</v>
      </c>
      <c r="AC789" s="12">
        <v>0</v>
      </c>
      <c r="AD789" s="43"/>
      <c r="AE789" s="43"/>
      <c r="AF789" s="43"/>
      <c r="AG789" s="43"/>
      <c r="AH789" s="43"/>
      <c r="AI789" s="43"/>
      <c r="AJ789" s="43"/>
      <c r="AK789" s="43"/>
      <c r="AL789" s="43"/>
      <c r="AM789" s="43"/>
      <c r="AN789" s="43"/>
      <c r="AO789" s="43"/>
      <c r="AP789" s="43"/>
      <c r="AQ789" s="43"/>
      <c r="AR789" s="43"/>
      <c r="AS789" s="43"/>
      <c r="AT789" s="43"/>
      <c r="AU789" s="43"/>
      <c r="AV789" s="43"/>
    </row>
    <row r="790" ht="15.75" spans="1:48">
      <c r="A790" s="12">
        <v>786</v>
      </c>
      <c r="B790" s="44">
        <v>4412</v>
      </c>
      <c r="C790" s="45" t="s">
        <v>177</v>
      </c>
      <c r="D790" s="46"/>
      <c r="E790" s="47" t="s">
        <v>50</v>
      </c>
      <c r="F790" s="48">
        <v>1.1</v>
      </c>
      <c r="G790" s="38">
        <v>0</v>
      </c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49" t="s">
        <v>105</v>
      </c>
      <c r="Y790" s="50">
        <v>726</v>
      </c>
      <c r="Z790" s="51">
        <v>720</v>
      </c>
      <c r="AA790" s="52">
        <f>IFERROR(Z790/Y790,0)</f>
        <v>0.991735537190082</v>
      </c>
      <c r="AB790" s="12">
        <v>720</v>
      </c>
      <c r="AC790" s="12">
        <v>0</v>
      </c>
      <c r="AD790" s="43"/>
      <c r="AE790" s="43"/>
      <c r="AF790" s="43"/>
      <c r="AG790" s="43"/>
      <c r="AH790" s="43"/>
      <c r="AI790" s="43"/>
      <c r="AJ790" s="43"/>
      <c r="AK790" s="43"/>
      <c r="AL790" s="43"/>
      <c r="AM790" s="43"/>
      <c r="AN790" s="43"/>
      <c r="AO790" s="43"/>
      <c r="AP790" s="43"/>
      <c r="AQ790" s="43"/>
      <c r="AR790" s="43"/>
      <c r="AS790" s="43"/>
      <c r="AT790" s="43"/>
      <c r="AU790" s="43"/>
      <c r="AV790" s="43"/>
    </row>
    <row r="791" ht="15.75" spans="1:48">
      <c r="A791" s="12">
        <v>787</v>
      </c>
      <c r="B791" s="44">
        <v>4382</v>
      </c>
      <c r="C791" s="45" t="s">
        <v>173</v>
      </c>
      <c r="D791" s="46"/>
      <c r="E791" s="47" t="s">
        <v>50</v>
      </c>
      <c r="F791" s="48">
        <v>2.5</v>
      </c>
      <c r="G791" s="38">
        <v>0</v>
      </c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49" t="s">
        <v>152</v>
      </c>
      <c r="Y791" s="50">
        <v>10875</v>
      </c>
      <c r="Z791" s="51">
        <v>9800</v>
      </c>
      <c r="AA791" s="52">
        <f>IFERROR(Z791/Y791,0)</f>
        <v>0.901149425287356</v>
      </c>
      <c r="AB791" s="12">
        <v>9800</v>
      </c>
      <c r="AC791" s="12">
        <v>0</v>
      </c>
      <c r="AD791" s="43"/>
      <c r="AE791" s="43"/>
      <c r="AF791" s="43"/>
      <c r="AG791" s="43"/>
      <c r="AH791" s="43"/>
      <c r="AI791" s="43"/>
      <c r="AJ791" s="43"/>
      <c r="AK791" s="43"/>
      <c r="AL791" s="43"/>
      <c r="AM791" s="43"/>
      <c r="AN791" s="43"/>
      <c r="AO791" s="43"/>
      <c r="AP791" s="43"/>
      <c r="AQ791" s="43"/>
      <c r="AR791" s="43"/>
      <c r="AS791" s="43"/>
      <c r="AT791" s="43"/>
      <c r="AU791" s="43"/>
      <c r="AV791" s="43"/>
    </row>
    <row r="792" ht="15.75" spans="1:48">
      <c r="A792" s="12">
        <v>788</v>
      </c>
      <c r="B792" s="44">
        <v>4490</v>
      </c>
      <c r="C792" s="45" t="s">
        <v>91</v>
      </c>
      <c r="D792" s="46"/>
      <c r="E792" s="47" t="s">
        <v>50</v>
      </c>
      <c r="F792" s="48">
        <v>1.33</v>
      </c>
      <c r="G792" s="38">
        <v>0</v>
      </c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49" t="s">
        <v>103</v>
      </c>
      <c r="Y792" s="50">
        <v>1117.2</v>
      </c>
      <c r="Z792" s="51">
        <v>1185</v>
      </c>
      <c r="AA792" s="52">
        <f>IFERROR(Z792/Y792,0)</f>
        <v>1.06068743286788</v>
      </c>
      <c r="AB792" s="12">
        <v>1185</v>
      </c>
      <c r="AC792" s="12">
        <v>0</v>
      </c>
      <c r="AD792" s="43"/>
      <c r="AE792" s="43"/>
      <c r="AF792" s="43"/>
      <c r="AG792" s="43"/>
      <c r="AH792" s="43"/>
      <c r="AI792" s="43"/>
      <c r="AJ792" s="43"/>
      <c r="AK792" s="43"/>
      <c r="AL792" s="43"/>
      <c r="AM792" s="43"/>
      <c r="AN792" s="43"/>
      <c r="AO792" s="43"/>
      <c r="AP792" s="43"/>
      <c r="AQ792" s="43"/>
      <c r="AR792" s="43"/>
      <c r="AS792" s="43"/>
      <c r="AT792" s="43"/>
      <c r="AU792" s="43"/>
      <c r="AV792" s="43"/>
    </row>
    <row r="793" ht="15.75" spans="1:48">
      <c r="A793" s="12">
        <v>789</v>
      </c>
      <c r="B793" s="44">
        <v>4489</v>
      </c>
      <c r="C793" s="45" t="s">
        <v>88</v>
      </c>
      <c r="D793" s="46"/>
      <c r="E793" s="47" t="s">
        <v>50</v>
      </c>
      <c r="F793" s="48">
        <v>2</v>
      </c>
      <c r="G793" s="38">
        <v>0</v>
      </c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49" t="s">
        <v>103</v>
      </c>
      <c r="Y793" s="50">
        <v>1680</v>
      </c>
      <c r="Z793" s="51">
        <v>1736</v>
      </c>
      <c r="AA793" s="52">
        <f>IFERROR(Z793/Y793,0)</f>
        <v>1.03333333333333</v>
      </c>
      <c r="AB793" s="12">
        <v>1736</v>
      </c>
      <c r="AC793" s="12">
        <v>0</v>
      </c>
      <c r="AD793" s="43"/>
      <c r="AE793" s="43"/>
      <c r="AF793" s="43"/>
      <c r="AG793" s="43"/>
      <c r="AH793" s="43"/>
      <c r="AI793" s="43"/>
      <c r="AJ793" s="43"/>
      <c r="AK793" s="43"/>
      <c r="AL793" s="43"/>
      <c r="AM793" s="43"/>
      <c r="AN793" s="43"/>
      <c r="AO793" s="43"/>
      <c r="AP793" s="43"/>
      <c r="AQ793" s="43"/>
      <c r="AR793" s="43"/>
      <c r="AS793" s="43"/>
      <c r="AT793" s="43"/>
      <c r="AU793" s="43"/>
      <c r="AV793" s="43"/>
    </row>
    <row r="794" ht="15.75" spans="1:48">
      <c r="A794" s="12">
        <v>790</v>
      </c>
      <c r="B794" s="57">
        <v>3277</v>
      </c>
      <c r="C794" s="58" t="s">
        <v>106</v>
      </c>
      <c r="D794" s="59"/>
      <c r="E794" s="47" t="s">
        <v>50</v>
      </c>
      <c r="F794" s="48">
        <v>10.83</v>
      </c>
      <c r="G794" s="38">
        <v>1.17</v>
      </c>
      <c r="H794" s="39"/>
      <c r="I794" s="39"/>
      <c r="J794" s="39"/>
      <c r="K794" s="39"/>
      <c r="L794" s="39"/>
      <c r="M794" s="39"/>
      <c r="N794" s="39"/>
      <c r="O794" s="39"/>
      <c r="P794" s="39"/>
      <c r="Q794" s="39">
        <v>1.17</v>
      </c>
      <c r="R794" s="39"/>
      <c r="S794" s="39"/>
      <c r="T794" s="39"/>
      <c r="U794" s="39"/>
      <c r="V794" s="39"/>
      <c r="W794" s="39"/>
      <c r="X794" s="49" t="s">
        <v>257</v>
      </c>
      <c r="Y794" s="50">
        <v>0</v>
      </c>
      <c r="Z794" s="51"/>
      <c r="AA794" s="52">
        <f>IFERROR(Z794/Y794,0)</f>
        <v>0</v>
      </c>
      <c r="AB794" s="12">
        <v>0</v>
      </c>
      <c r="AC794" s="12">
        <v>0</v>
      </c>
      <c r="AD794" s="43"/>
      <c r="AE794" s="43"/>
      <c r="AF794" s="43"/>
      <c r="AG794" s="43"/>
      <c r="AH794" s="43"/>
      <c r="AI794" s="43"/>
      <c r="AJ794" s="43"/>
      <c r="AK794" s="43"/>
      <c r="AL794" s="43"/>
      <c r="AM794" s="43"/>
      <c r="AN794" s="43"/>
      <c r="AO794" s="43"/>
      <c r="AP794" s="43"/>
      <c r="AQ794" s="43"/>
      <c r="AR794" s="43"/>
      <c r="AS794" s="43"/>
      <c r="AT794" s="43"/>
      <c r="AU794" s="43"/>
      <c r="AV794" s="43"/>
    </row>
    <row r="795" ht="15.75" spans="1:48">
      <c r="A795" s="12">
        <v>791</v>
      </c>
      <c r="B795" s="44">
        <v>4489</v>
      </c>
      <c r="C795" s="45" t="s">
        <v>88</v>
      </c>
      <c r="D795" s="46">
        <v>18</v>
      </c>
      <c r="E795" s="47" t="s">
        <v>50</v>
      </c>
      <c r="F795" s="48">
        <v>1</v>
      </c>
      <c r="G795" s="38">
        <v>0</v>
      </c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49">
        <v>6270</v>
      </c>
      <c r="Y795" s="50">
        <v>605</v>
      </c>
      <c r="Z795" s="51">
        <v>896</v>
      </c>
      <c r="AA795" s="52">
        <f>IFERROR(Z795/Y795,0)</f>
        <v>1.48099173553719</v>
      </c>
      <c r="AB795" s="12">
        <v>896</v>
      </c>
      <c r="AC795" s="12">
        <v>0</v>
      </c>
      <c r="AD795" s="43"/>
      <c r="AE795" s="43"/>
      <c r="AF795" s="43"/>
      <c r="AG795" s="43"/>
      <c r="AH795" s="43"/>
      <c r="AI795" s="43"/>
      <c r="AJ795" s="43"/>
      <c r="AK795" s="43"/>
      <c r="AL795" s="43"/>
      <c r="AM795" s="43"/>
      <c r="AN795" s="43"/>
      <c r="AO795" s="43"/>
      <c r="AP795" s="43"/>
      <c r="AQ795" s="43"/>
      <c r="AR795" s="43"/>
      <c r="AS795" s="43"/>
      <c r="AT795" s="43"/>
      <c r="AU795" s="43"/>
      <c r="AV795" s="43"/>
    </row>
    <row r="796" ht="15.75" spans="1:48">
      <c r="A796" s="12">
        <v>792</v>
      </c>
      <c r="B796" s="44">
        <v>4019</v>
      </c>
      <c r="C796" s="45" t="s">
        <v>134</v>
      </c>
      <c r="D796" s="46" t="s">
        <v>78</v>
      </c>
      <c r="E796" s="47" t="s">
        <v>113</v>
      </c>
      <c r="F796" s="48">
        <v>10.17</v>
      </c>
      <c r="G796" s="38">
        <v>1.83</v>
      </c>
      <c r="H796" s="39"/>
      <c r="I796" s="39"/>
      <c r="J796" s="39"/>
      <c r="K796" s="39">
        <v>0.17</v>
      </c>
      <c r="L796" s="39"/>
      <c r="M796" s="39"/>
      <c r="N796" s="39"/>
      <c r="O796" s="39"/>
      <c r="P796" s="39"/>
      <c r="Q796" s="39">
        <v>1.33</v>
      </c>
      <c r="R796" s="39"/>
      <c r="S796" s="39"/>
      <c r="T796" s="39"/>
      <c r="U796" s="39">
        <v>0.33</v>
      </c>
      <c r="V796" s="39"/>
      <c r="W796" s="39"/>
      <c r="X796" s="49" t="s">
        <v>79</v>
      </c>
      <c r="Y796" s="50">
        <v>67732.2</v>
      </c>
      <c r="Z796" s="51">
        <v>60832</v>
      </c>
      <c r="AA796" s="52">
        <f>IFERROR(Z796/Y796,0)</f>
        <v>0.898125263906975</v>
      </c>
      <c r="AB796" s="12">
        <v>60704</v>
      </c>
      <c r="AC796" s="12">
        <v>128</v>
      </c>
      <c r="AD796" s="43"/>
      <c r="AE796" s="43"/>
      <c r="AF796" s="43"/>
      <c r="AG796" s="19">
        <v>72</v>
      </c>
      <c r="AH796" s="43"/>
      <c r="AI796" s="43"/>
      <c r="AJ796" s="43"/>
      <c r="AK796" s="43"/>
      <c r="AL796" s="43"/>
      <c r="AM796" s="43"/>
      <c r="AN796" s="19">
        <v>56</v>
      </c>
      <c r="AO796" s="43"/>
      <c r="AP796" s="43"/>
      <c r="AQ796" s="43"/>
      <c r="AR796" s="43"/>
      <c r="AS796" s="43"/>
      <c r="AT796" s="43"/>
      <c r="AU796" s="43"/>
      <c r="AV796" s="43"/>
    </row>
    <row r="797" ht="15.75" spans="1:48">
      <c r="A797" s="12">
        <v>793</v>
      </c>
      <c r="B797" s="44">
        <v>4019</v>
      </c>
      <c r="C797" s="45" t="s">
        <v>134</v>
      </c>
      <c r="D797" s="46" t="s">
        <v>76</v>
      </c>
      <c r="E797" s="47" t="s">
        <v>113</v>
      </c>
      <c r="F797" s="48">
        <v>10.17</v>
      </c>
      <c r="G797" s="38">
        <v>1.83</v>
      </c>
      <c r="H797" s="39"/>
      <c r="I797" s="39"/>
      <c r="J797" s="39"/>
      <c r="K797" s="39">
        <v>0.17</v>
      </c>
      <c r="L797" s="39"/>
      <c r="M797" s="39"/>
      <c r="N797" s="39"/>
      <c r="O797" s="39"/>
      <c r="P797" s="39"/>
      <c r="Q797" s="39">
        <v>1.33</v>
      </c>
      <c r="R797" s="39"/>
      <c r="S797" s="39"/>
      <c r="T797" s="39"/>
      <c r="U797" s="39">
        <v>0.33</v>
      </c>
      <c r="V797" s="39"/>
      <c r="W797" s="39"/>
      <c r="X797" s="49" t="s">
        <v>77</v>
      </c>
      <c r="Y797" s="50">
        <v>61020</v>
      </c>
      <c r="Z797" s="51">
        <v>57640</v>
      </c>
      <c r="AA797" s="52">
        <f>IFERROR(Z797/Y797,0)</f>
        <v>0.944608325139299</v>
      </c>
      <c r="AB797" s="12">
        <v>57520</v>
      </c>
      <c r="AC797" s="12">
        <v>120</v>
      </c>
      <c r="AD797" s="43"/>
      <c r="AE797" s="43"/>
      <c r="AF797" s="43"/>
      <c r="AG797" s="19">
        <v>64</v>
      </c>
      <c r="AH797" s="43"/>
      <c r="AI797" s="43"/>
      <c r="AJ797" s="43"/>
      <c r="AK797" s="43"/>
      <c r="AL797" s="43"/>
      <c r="AM797" s="43"/>
      <c r="AN797" s="19">
        <v>56</v>
      </c>
      <c r="AO797" s="43"/>
      <c r="AP797" s="43"/>
      <c r="AQ797" s="43"/>
      <c r="AR797" s="43"/>
      <c r="AS797" s="43"/>
      <c r="AT797" s="43"/>
      <c r="AU797" s="43"/>
      <c r="AV797" s="43"/>
    </row>
    <row r="798" ht="15.75" spans="1:48">
      <c r="A798" s="12">
        <v>794</v>
      </c>
      <c r="B798" s="44">
        <v>4019</v>
      </c>
      <c r="C798" s="45" t="s">
        <v>134</v>
      </c>
      <c r="D798" s="46" t="s">
        <v>207</v>
      </c>
      <c r="E798" s="47" t="s">
        <v>113</v>
      </c>
      <c r="F798" s="48">
        <v>10.17</v>
      </c>
      <c r="G798" s="38">
        <v>1.83</v>
      </c>
      <c r="H798" s="39"/>
      <c r="I798" s="39"/>
      <c r="J798" s="39"/>
      <c r="K798" s="39">
        <v>0.17</v>
      </c>
      <c r="L798" s="39"/>
      <c r="M798" s="39"/>
      <c r="N798" s="39"/>
      <c r="O798" s="39"/>
      <c r="P798" s="39"/>
      <c r="Q798" s="39">
        <v>1.33</v>
      </c>
      <c r="R798" s="39"/>
      <c r="S798" s="39"/>
      <c r="T798" s="39"/>
      <c r="U798" s="39">
        <v>0.33</v>
      </c>
      <c r="V798" s="39"/>
      <c r="W798" s="39"/>
      <c r="X798" s="49" t="s">
        <v>79</v>
      </c>
      <c r="Y798" s="50">
        <v>67732.2</v>
      </c>
      <c r="Z798" s="51">
        <v>61312</v>
      </c>
      <c r="AA798" s="52">
        <f>IFERROR(Z798/Y798,0)</f>
        <v>0.905211996657424</v>
      </c>
      <c r="AB798" s="12">
        <v>61184</v>
      </c>
      <c r="AC798" s="12">
        <v>128</v>
      </c>
      <c r="AD798" s="43"/>
      <c r="AE798" s="43"/>
      <c r="AF798" s="43"/>
      <c r="AG798" s="19">
        <v>72</v>
      </c>
      <c r="AH798" s="43"/>
      <c r="AI798" s="43"/>
      <c r="AJ798" s="43"/>
      <c r="AK798" s="43"/>
      <c r="AL798" s="43"/>
      <c r="AM798" s="43"/>
      <c r="AN798" s="19">
        <v>56</v>
      </c>
      <c r="AO798" s="43"/>
      <c r="AP798" s="43"/>
      <c r="AQ798" s="43"/>
      <c r="AR798" s="43"/>
      <c r="AS798" s="43"/>
      <c r="AT798" s="43"/>
      <c r="AU798" s="43"/>
      <c r="AV798" s="43"/>
    </row>
    <row r="799" ht="15.75" spans="1:48">
      <c r="A799" s="12">
        <v>795</v>
      </c>
      <c r="B799" s="44">
        <v>3919</v>
      </c>
      <c r="C799" s="45" t="s">
        <v>137</v>
      </c>
      <c r="D799" s="46" t="s">
        <v>138</v>
      </c>
      <c r="E799" s="47" t="s">
        <v>113</v>
      </c>
      <c r="F799" s="48">
        <v>3.17</v>
      </c>
      <c r="G799" s="38">
        <v>1.33</v>
      </c>
      <c r="H799" s="39"/>
      <c r="I799" s="39"/>
      <c r="J799" s="39"/>
      <c r="K799" s="39"/>
      <c r="L799" s="39"/>
      <c r="M799" s="39"/>
      <c r="N799" s="39"/>
      <c r="O799" s="39"/>
      <c r="P799" s="39"/>
      <c r="Q799" s="39">
        <v>1.33</v>
      </c>
      <c r="R799" s="39"/>
      <c r="S799" s="39"/>
      <c r="T799" s="39"/>
      <c r="U799" s="39"/>
      <c r="V799" s="39"/>
      <c r="W799" s="39"/>
      <c r="X799" s="49" t="s">
        <v>82</v>
      </c>
      <c r="Y799" s="50">
        <v>5151.25</v>
      </c>
      <c r="Z799" s="51">
        <v>5000</v>
      </c>
      <c r="AA799" s="52">
        <f>IFERROR(Z799/Y799,0)</f>
        <v>0.970638194612958</v>
      </c>
      <c r="AB799" s="12">
        <v>5000</v>
      </c>
      <c r="AC799" s="12">
        <v>0</v>
      </c>
      <c r="AD799" s="43"/>
      <c r="AE799" s="43"/>
      <c r="AF799" s="43"/>
      <c r="AG799" s="43"/>
      <c r="AH799" s="43"/>
      <c r="AI799" s="43"/>
      <c r="AJ799" s="43"/>
      <c r="AK799" s="43"/>
      <c r="AL799" s="43"/>
      <c r="AM799" s="43"/>
      <c r="AN799" s="43"/>
      <c r="AO799" s="43"/>
      <c r="AP799" s="43"/>
      <c r="AQ799" s="43"/>
      <c r="AR799" s="43"/>
      <c r="AS799" s="43"/>
      <c r="AT799" s="43"/>
      <c r="AU799" s="43"/>
      <c r="AV799" s="43"/>
    </row>
    <row r="800" ht="15.75" spans="1:48">
      <c r="A800" s="12">
        <v>796</v>
      </c>
      <c r="B800" s="44">
        <v>3919</v>
      </c>
      <c r="C800" s="45" t="s">
        <v>137</v>
      </c>
      <c r="D800" s="46"/>
      <c r="E800" s="47" t="s">
        <v>113</v>
      </c>
      <c r="F800" s="48">
        <v>7.5</v>
      </c>
      <c r="G800" s="38">
        <v>0</v>
      </c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49" t="s">
        <v>140</v>
      </c>
      <c r="Y800" s="50">
        <v>0</v>
      </c>
      <c r="Z800" s="51"/>
      <c r="AA800" s="52">
        <f>IFERROR(Z800/Y800,0)</f>
        <v>0</v>
      </c>
      <c r="AB800" s="12">
        <v>0</v>
      </c>
      <c r="AC800" s="12">
        <v>0</v>
      </c>
      <c r="AD800" s="43"/>
      <c r="AE800" s="43"/>
      <c r="AF800" s="43"/>
      <c r="AG800" s="43"/>
      <c r="AH800" s="43"/>
      <c r="AI800" s="43"/>
      <c r="AJ800" s="43"/>
      <c r="AK800" s="43"/>
      <c r="AL800" s="43"/>
      <c r="AM800" s="43"/>
      <c r="AN800" s="43"/>
      <c r="AO800" s="43"/>
      <c r="AP800" s="43"/>
      <c r="AQ800" s="43"/>
      <c r="AR800" s="43"/>
      <c r="AS800" s="43"/>
      <c r="AT800" s="43"/>
      <c r="AU800" s="43"/>
      <c r="AV800" s="43"/>
    </row>
    <row r="801" ht="15.75" spans="1:48">
      <c r="A801" s="12">
        <v>797</v>
      </c>
      <c r="B801" s="44">
        <v>4352</v>
      </c>
      <c r="C801" s="45" t="s">
        <v>132</v>
      </c>
      <c r="D801" s="46" t="s">
        <v>81</v>
      </c>
      <c r="E801" s="47" t="s">
        <v>113</v>
      </c>
      <c r="F801" s="48">
        <v>10.5</v>
      </c>
      <c r="G801" s="38">
        <v>1.5</v>
      </c>
      <c r="H801" s="39"/>
      <c r="I801" s="39"/>
      <c r="J801" s="39"/>
      <c r="K801" s="39"/>
      <c r="L801" s="39"/>
      <c r="M801" s="39"/>
      <c r="N801" s="39"/>
      <c r="O801" s="39"/>
      <c r="P801" s="39"/>
      <c r="Q801" s="39">
        <v>1.33</v>
      </c>
      <c r="R801" s="39"/>
      <c r="S801" s="39"/>
      <c r="T801" s="39"/>
      <c r="U801" s="39">
        <v>0.17</v>
      </c>
      <c r="V801" s="39"/>
      <c r="W801" s="39"/>
      <c r="X801" s="49" t="s">
        <v>201</v>
      </c>
      <c r="Y801" s="50">
        <v>17062.5</v>
      </c>
      <c r="Z801" s="51">
        <v>17066</v>
      </c>
      <c r="AA801" s="52">
        <f>IFERROR(Z801/Y801,0)</f>
        <v>1.00020512820513</v>
      </c>
      <c r="AB801" s="12">
        <v>17052</v>
      </c>
      <c r="AC801" s="12">
        <v>14</v>
      </c>
      <c r="AD801" s="43"/>
      <c r="AE801" s="43"/>
      <c r="AF801" s="43"/>
      <c r="AG801" s="19">
        <v>14</v>
      </c>
      <c r="AH801" s="43"/>
      <c r="AI801" s="43"/>
      <c r="AJ801" s="43"/>
      <c r="AK801" s="43"/>
      <c r="AL801" s="43"/>
      <c r="AM801" s="43"/>
      <c r="AN801" s="43"/>
      <c r="AO801" s="43"/>
      <c r="AP801" s="43"/>
      <c r="AQ801" s="43"/>
      <c r="AR801" s="43"/>
      <c r="AS801" s="43"/>
      <c r="AT801" s="43"/>
      <c r="AU801" s="43"/>
      <c r="AV801" s="43"/>
    </row>
    <row r="802" ht="15.75" spans="1:48">
      <c r="A802" s="12">
        <v>798</v>
      </c>
      <c r="B802" s="44">
        <v>4496</v>
      </c>
      <c r="C802" s="45" t="s">
        <v>133</v>
      </c>
      <c r="D802" s="46" t="s">
        <v>138</v>
      </c>
      <c r="E802" s="47" t="s">
        <v>113</v>
      </c>
      <c r="F802" s="48">
        <v>6.5</v>
      </c>
      <c r="G802" s="38">
        <v>1.5</v>
      </c>
      <c r="H802" s="39"/>
      <c r="I802" s="39"/>
      <c r="J802" s="39"/>
      <c r="K802" s="39">
        <v>0.33</v>
      </c>
      <c r="L802" s="39"/>
      <c r="M802" s="39"/>
      <c r="N802" s="39"/>
      <c r="O802" s="39"/>
      <c r="P802" s="39"/>
      <c r="Q802" s="39">
        <v>1</v>
      </c>
      <c r="R802" s="39"/>
      <c r="S802" s="39"/>
      <c r="T802" s="39"/>
      <c r="U802" s="39">
        <v>0.17</v>
      </c>
      <c r="V802" s="39"/>
      <c r="W802" s="39"/>
      <c r="X802" s="49" t="s">
        <v>82</v>
      </c>
      <c r="Y802" s="50">
        <v>10562.5</v>
      </c>
      <c r="Z802" s="51">
        <v>10712</v>
      </c>
      <c r="AA802" s="52">
        <f>IFERROR(Z802/Y802,0)</f>
        <v>1.01415384615385</v>
      </c>
      <c r="AB802" s="12">
        <v>10704</v>
      </c>
      <c r="AC802" s="12">
        <v>8</v>
      </c>
      <c r="AD802" s="43"/>
      <c r="AE802" s="43"/>
      <c r="AF802" s="43"/>
      <c r="AG802" s="19">
        <v>8</v>
      </c>
      <c r="AH802" s="43"/>
      <c r="AI802" s="43"/>
      <c r="AJ802" s="43"/>
      <c r="AK802" s="43"/>
      <c r="AL802" s="43"/>
      <c r="AM802" s="43"/>
      <c r="AN802" s="43"/>
      <c r="AO802" s="43"/>
      <c r="AP802" s="43"/>
      <c r="AQ802" s="43"/>
      <c r="AR802" s="43"/>
      <c r="AS802" s="43"/>
      <c r="AT802" s="43"/>
      <c r="AU802" s="43"/>
      <c r="AV802" s="43"/>
    </row>
    <row r="803" ht="15.75" spans="1:48">
      <c r="A803" s="12">
        <v>799</v>
      </c>
      <c r="B803" s="44">
        <v>4335</v>
      </c>
      <c r="C803" s="45" t="s">
        <v>154</v>
      </c>
      <c r="D803" s="46">
        <v>20</v>
      </c>
      <c r="E803" s="47" t="s">
        <v>113</v>
      </c>
      <c r="F803" s="48">
        <v>5.5</v>
      </c>
      <c r="G803" s="38">
        <v>2</v>
      </c>
      <c r="H803" s="39"/>
      <c r="I803" s="39"/>
      <c r="J803" s="39"/>
      <c r="K803" s="39"/>
      <c r="L803" s="39"/>
      <c r="M803" s="39"/>
      <c r="N803" s="39"/>
      <c r="O803" s="39"/>
      <c r="P803" s="39"/>
      <c r="Q803" s="39">
        <v>1.33</v>
      </c>
      <c r="R803" s="39"/>
      <c r="S803" s="39"/>
      <c r="T803" s="39">
        <v>0.5</v>
      </c>
      <c r="U803" s="39">
        <v>0.17</v>
      </c>
      <c r="V803" s="39"/>
      <c r="W803" s="39"/>
      <c r="X803" s="49">
        <v>8052</v>
      </c>
      <c r="Y803" s="50">
        <v>198</v>
      </c>
      <c r="Z803" s="51">
        <v>195</v>
      </c>
      <c r="AA803" s="52">
        <f>IFERROR(Z803/Y803,0)</f>
        <v>0.984848484848485</v>
      </c>
      <c r="AB803" s="12">
        <v>195</v>
      </c>
      <c r="AC803" s="12">
        <v>0</v>
      </c>
      <c r="AD803" s="43"/>
      <c r="AE803" s="43"/>
      <c r="AF803" s="43"/>
      <c r="AG803" s="43"/>
      <c r="AH803" s="43"/>
      <c r="AI803" s="43"/>
      <c r="AJ803" s="43"/>
      <c r="AK803" s="43"/>
      <c r="AL803" s="43"/>
      <c r="AM803" s="43"/>
      <c r="AN803" s="43"/>
      <c r="AO803" s="43"/>
      <c r="AP803" s="43"/>
      <c r="AQ803" s="43"/>
      <c r="AR803" s="43"/>
      <c r="AS803" s="43"/>
      <c r="AT803" s="43"/>
      <c r="AU803" s="43"/>
      <c r="AV803" s="43"/>
    </row>
    <row r="804" ht="15.75" spans="1:48">
      <c r="A804" s="12">
        <v>800</v>
      </c>
      <c r="B804" s="44">
        <v>4335</v>
      </c>
      <c r="C804" s="45" t="s">
        <v>154</v>
      </c>
      <c r="D804" s="46"/>
      <c r="E804" s="47" t="s">
        <v>113</v>
      </c>
      <c r="F804" s="48">
        <v>4.5</v>
      </c>
      <c r="G804" s="38">
        <v>0</v>
      </c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49" t="s">
        <v>258</v>
      </c>
      <c r="Y804" s="50">
        <v>0</v>
      </c>
      <c r="Z804" s="51"/>
      <c r="AA804" s="52">
        <f>IFERROR(Z804/Y804,0)</f>
        <v>0</v>
      </c>
      <c r="AB804" s="12">
        <v>0</v>
      </c>
      <c r="AC804" s="12">
        <v>0</v>
      </c>
      <c r="AD804" s="43"/>
      <c r="AE804" s="43"/>
      <c r="AF804" s="43"/>
      <c r="AG804" s="43"/>
      <c r="AH804" s="43"/>
      <c r="AI804" s="43"/>
      <c r="AJ804" s="43"/>
      <c r="AK804" s="43"/>
      <c r="AL804" s="43"/>
      <c r="AM804" s="43"/>
      <c r="AN804" s="43"/>
      <c r="AO804" s="43"/>
      <c r="AP804" s="43"/>
      <c r="AQ804" s="43"/>
      <c r="AR804" s="43"/>
      <c r="AS804" s="43"/>
      <c r="AT804" s="43"/>
      <c r="AU804" s="43"/>
      <c r="AV804" s="43"/>
    </row>
    <row r="805" ht="15.75" spans="1:48">
      <c r="A805" s="12">
        <v>801</v>
      </c>
      <c r="B805" s="44">
        <v>4110</v>
      </c>
      <c r="C805" s="45" t="s">
        <v>135</v>
      </c>
      <c r="D805" s="46">
        <v>8</v>
      </c>
      <c r="E805" s="47" t="s">
        <v>113</v>
      </c>
      <c r="F805" s="48">
        <v>5.83</v>
      </c>
      <c r="G805" s="38">
        <v>2</v>
      </c>
      <c r="H805" s="39"/>
      <c r="I805" s="39"/>
      <c r="J805" s="39"/>
      <c r="K805" s="39"/>
      <c r="L805" s="39"/>
      <c r="M805" s="39"/>
      <c r="N805" s="39"/>
      <c r="O805" s="39"/>
      <c r="P805" s="39"/>
      <c r="Q805" s="39">
        <v>1.33</v>
      </c>
      <c r="R805" s="39"/>
      <c r="S805" s="39"/>
      <c r="T805" s="39">
        <v>0.5</v>
      </c>
      <c r="U805" s="39">
        <v>0.17</v>
      </c>
      <c r="V805" s="39"/>
      <c r="W805" s="39"/>
      <c r="X805" s="49">
        <v>2801</v>
      </c>
      <c r="Y805" s="50">
        <v>3527.15</v>
      </c>
      <c r="Z805" s="51">
        <v>3525</v>
      </c>
      <c r="AA805" s="52">
        <f>IFERROR(Z805/Y805,0)</f>
        <v>0.999390442708702</v>
      </c>
      <c r="AB805" s="12">
        <v>3515</v>
      </c>
      <c r="AC805" s="12">
        <v>10</v>
      </c>
      <c r="AD805" s="19">
        <v>10</v>
      </c>
      <c r="AE805" s="43"/>
      <c r="AF805" s="43"/>
      <c r="AG805" s="43"/>
      <c r="AH805" s="43"/>
      <c r="AI805" s="43"/>
      <c r="AJ805" s="43"/>
      <c r="AK805" s="43"/>
      <c r="AL805" s="43"/>
      <c r="AM805" s="43"/>
      <c r="AN805" s="43"/>
      <c r="AO805" s="43"/>
      <c r="AP805" s="43"/>
      <c r="AQ805" s="43"/>
      <c r="AR805" s="43"/>
      <c r="AS805" s="43"/>
      <c r="AT805" s="43"/>
      <c r="AU805" s="43"/>
      <c r="AV805" s="43"/>
    </row>
    <row r="806" ht="15.75" spans="1:48">
      <c r="A806" s="12">
        <v>802</v>
      </c>
      <c r="B806" s="44">
        <v>4384</v>
      </c>
      <c r="C806" s="45" t="s">
        <v>145</v>
      </c>
      <c r="D806" s="46">
        <v>21</v>
      </c>
      <c r="E806" s="47" t="s">
        <v>113</v>
      </c>
      <c r="F806" s="48">
        <v>10.5</v>
      </c>
      <c r="G806" s="38">
        <v>1.5</v>
      </c>
      <c r="H806" s="39"/>
      <c r="I806" s="39"/>
      <c r="J806" s="39"/>
      <c r="K806" s="39"/>
      <c r="L806" s="39"/>
      <c r="M806" s="39"/>
      <c r="N806" s="39"/>
      <c r="O806" s="39"/>
      <c r="P806" s="39"/>
      <c r="Q806" s="39">
        <v>1.33</v>
      </c>
      <c r="R806" s="39"/>
      <c r="S806" s="39"/>
      <c r="T806" s="39"/>
      <c r="U806" s="39">
        <v>0.17</v>
      </c>
      <c r="V806" s="39"/>
      <c r="W806" s="39"/>
      <c r="X806" s="49" t="s">
        <v>222</v>
      </c>
      <c r="Y806" s="50">
        <v>15225</v>
      </c>
      <c r="Z806" s="51">
        <v>14850</v>
      </c>
      <c r="AA806" s="52">
        <f>IFERROR(Z806/Y806,0)</f>
        <v>0.975369458128079</v>
      </c>
      <c r="AB806" s="12">
        <v>14850</v>
      </c>
      <c r="AC806" s="12">
        <v>0</v>
      </c>
      <c r="AD806" s="43"/>
      <c r="AE806" s="43"/>
      <c r="AF806" s="43"/>
      <c r="AG806" s="43"/>
      <c r="AH806" s="43"/>
      <c r="AI806" s="43"/>
      <c r="AJ806" s="43"/>
      <c r="AK806" s="43"/>
      <c r="AL806" s="43"/>
      <c r="AM806" s="43"/>
      <c r="AN806" s="43"/>
      <c r="AO806" s="43"/>
      <c r="AP806" s="43"/>
      <c r="AQ806" s="43"/>
      <c r="AR806" s="43"/>
      <c r="AS806" s="43"/>
      <c r="AT806" s="43"/>
      <c r="AU806" s="43"/>
      <c r="AV806" s="43"/>
    </row>
    <row r="807" ht="15.75" spans="1:48">
      <c r="A807" s="12">
        <v>803</v>
      </c>
      <c r="B807" s="44">
        <v>4017</v>
      </c>
      <c r="C807" s="45" t="s">
        <v>148</v>
      </c>
      <c r="D807" s="46">
        <v>3</v>
      </c>
      <c r="E807" s="47" t="s">
        <v>113</v>
      </c>
      <c r="F807" s="48">
        <v>8.17</v>
      </c>
      <c r="G807" s="38">
        <v>1.5</v>
      </c>
      <c r="H807" s="39"/>
      <c r="I807" s="39"/>
      <c r="J807" s="39"/>
      <c r="K807" s="39"/>
      <c r="L807" s="39"/>
      <c r="M807" s="39"/>
      <c r="N807" s="39"/>
      <c r="O807" s="39"/>
      <c r="P807" s="39"/>
      <c r="Q807" s="39">
        <v>1.33</v>
      </c>
      <c r="R807" s="39"/>
      <c r="S807" s="39"/>
      <c r="T807" s="39"/>
      <c r="U807" s="39">
        <v>0.17</v>
      </c>
      <c r="V807" s="39"/>
      <c r="W807" s="39"/>
      <c r="X807" s="49">
        <v>9740</v>
      </c>
      <c r="Y807" s="50">
        <v>3431.4</v>
      </c>
      <c r="Z807" s="51">
        <v>3435</v>
      </c>
      <c r="AA807" s="52">
        <f>IFERROR(Z807/Y807,0)</f>
        <v>1.00104913446407</v>
      </c>
      <c r="AB807" s="12">
        <v>3424</v>
      </c>
      <c r="AC807" s="12">
        <v>11</v>
      </c>
      <c r="AD807" s="19">
        <v>11</v>
      </c>
      <c r="AE807" s="43"/>
      <c r="AF807" s="43"/>
      <c r="AG807" s="43"/>
      <c r="AH807" s="43"/>
      <c r="AI807" s="43"/>
      <c r="AJ807" s="43"/>
      <c r="AK807" s="43"/>
      <c r="AL807" s="43"/>
      <c r="AM807" s="43"/>
      <c r="AN807" s="43"/>
      <c r="AO807" s="43"/>
      <c r="AP807" s="43"/>
      <c r="AQ807" s="43"/>
      <c r="AR807" s="43"/>
      <c r="AS807" s="43"/>
      <c r="AT807" s="43"/>
      <c r="AU807" s="43"/>
      <c r="AV807" s="43"/>
    </row>
    <row r="808" ht="15.75" spans="1:48">
      <c r="A808" s="12">
        <v>804</v>
      </c>
      <c r="B808" s="44">
        <v>2865</v>
      </c>
      <c r="C808" s="45" t="s">
        <v>149</v>
      </c>
      <c r="D808" s="46">
        <v>15</v>
      </c>
      <c r="E808" s="47" t="s">
        <v>113</v>
      </c>
      <c r="F808" s="48">
        <v>7</v>
      </c>
      <c r="G808" s="38">
        <v>1.83</v>
      </c>
      <c r="H808" s="39"/>
      <c r="I808" s="39"/>
      <c r="J808" s="39"/>
      <c r="K808" s="39"/>
      <c r="L808" s="39"/>
      <c r="M808" s="39"/>
      <c r="N808" s="39"/>
      <c r="O808" s="39"/>
      <c r="P808" s="39"/>
      <c r="Q808" s="39">
        <v>1.33</v>
      </c>
      <c r="R808" s="39"/>
      <c r="S808" s="39"/>
      <c r="T808" s="39">
        <v>0.33</v>
      </c>
      <c r="U808" s="39">
        <v>0.17</v>
      </c>
      <c r="V808" s="39"/>
      <c r="W808" s="39"/>
      <c r="X808" s="49">
        <v>3880</v>
      </c>
      <c r="Y808" s="50">
        <v>2800</v>
      </c>
      <c r="Z808" s="51">
        <v>2772</v>
      </c>
      <c r="AA808" s="52">
        <f>IFERROR(Z808/Y808,0)</f>
        <v>0.99</v>
      </c>
      <c r="AB808" s="12">
        <v>2756</v>
      </c>
      <c r="AC808" s="12">
        <v>16</v>
      </c>
      <c r="AD808" s="19">
        <v>16</v>
      </c>
      <c r="AE808" s="43"/>
      <c r="AF808" s="43"/>
      <c r="AG808" s="43"/>
      <c r="AH808" s="43"/>
      <c r="AI808" s="43"/>
      <c r="AJ808" s="43"/>
      <c r="AK808" s="43"/>
      <c r="AL808" s="43"/>
      <c r="AM808" s="43"/>
      <c r="AN808" s="43"/>
      <c r="AO808" s="43"/>
      <c r="AP808" s="43"/>
      <c r="AQ808" s="43"/>
      <c r="AR808" s="43"/>
      <c r="AS808" s="43"/>
      <c r="AT808" s="43"/>
      <c r="AU808" s="43"/>
      <c r="AV808" s="43"/>
    </row>
    <row r="809" ht="15.75" spans="1:48">
      <c r="A809" s="12">
        <v>805</v>
      </c>
      <c r="B809" s="44">
        <v>4342</v>
      </c>
      <c r="C809" s="45" t="s">
        <v>147</v>
      </c>
      <c r="D809" s="46"/>
      <c r="E809" s="47" t="s">
        <v>113</v>
      </c>
      <c r="F809" s="48">
        <v>9.83</v>
      </c>
      <c r="G809" s="38">
        <v>2.17</v>
      </c>
      <c r="H809" s="39"/>
      <c r="I809" s="39"/>
      <c r="J809" s="39"/>
      <c r="K809" s="39"/>
      <c r="L809" s="39"/>
      <c r="M809" s="39"/>
      <c r="N809" s="39"/>
      <c r="O809" s="39"/>
      <c r="P809" s="39"/>
      <c r="Q809" s="39">
        <v>1.33</v>
      </c>
      <c r="R809" s="39"/>
      <c r="S809" s="39">
        <v>0.67</v>
      </c>
      <c r="T809" s="39"/>
      <c r="U809" s="39">
        <v>0.17</v>
      </c>
      <c r="V809" s="39"/>
      <c r="W809" s="39"/>
      <c r="X809" s="49" t="s">
        <v>90</v>
      </c>
      <c r="Y809" s="50">
        <v>4620.1</v>
      </c>
      <c r="Z809" s="51">
        <v>4500</v>
      </c>
      <c r="AA809" s="52">
        <f>IFERROR(Z809/Y809,0)</f>
        <v>0.974004891669011</v>
      </c>
      <c r="AB809" s="12">
        <v>4500</v>
      </c>
      <c r="AC809" s="12">
        <v>0</v>
      </c>
      <c r="AD809" s="43"/>
      <c r="AE809" s="43"/>
      <c r="AF809" s="43"/>
      <c r="AG809" s="43"/>
      <c r="AH809" s="43"/>
      <c r="AI809" s="43"/>
      <c r="AJ809" s="43"/>
      <c r="AK809" s="43"/>
      <c r="AL809" s="43"/>
      <c r="AM809" s="43"/>
      <c r="AN809" s="43"/>
      <c r="AO809" s="43"/>
      <c r="AP809" s="43"/>
      <c r="AQ809" s="43"/>
      <c r="AR809" s="43"/>
      <c r="AS809" s="43"/>
      <c r="AT809" s="43"/>
      <c r="AU809" s="43"/>
      <c r="AV809" s="43"/>
    </row>
    <row r="810" ht="15.75" spans="1:48">
      <c r="A810" s="12">
        <v>806</v>
      </c>
      <c r="B810" s="44">
        <v>692</v>
      </c>
      <c r="C810" s="45" t="s">
        <v>142</v>
      </c>
      <c r="D810" s="46"/>
      <c r="E810" s="47" t="s">
        <v>113</v>
      </c>
      <c r="F810" s="48">
        <v>0.83</v>
      </c>
      <c r="G810" s="38">
        <v>0</v>
      </c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49" t="s">
        <v>90</v>
      </c>
      <c r="Y810" s="50">
        <v>390.1</v>
      </c>
      <c r="Z810" s="51">
        <v>540</v>
      </c>
      <c r="AA810" s="52">
        <f>IFERROR(Z810/Y810,0)</f>
        <v>1.38426044603948</v>
      </c>
      <c r="AB810" s="12">
        <v>540</v>
      </c>
      <c r="AC810" s="12">
        <v>0</v>
      </c>
      <c r="AD810" s="43"/>
      <c r="AE810" s="43"/>
      <c r="AF810" s="43"/>
      <c r="AG810" s="43"/>
      <c r="AH810" s="43"/>
      <c r="AI810" s="43"/>
      <c r="AJ810" s="43"/>
      <c r="AK810" s="43"/>
      <c r="AL810" s="43"/>
      <c r="AM810" s="43"/>
      <c r="AN810" s="43"/>
      <c r="AO810" s="43"/>
      <c r="AP810" s="43"/>
      <c r="AQ810" s="43"/>
      <c r="AR810" s="43"/>
      <c r="AS810" s="43"/>
      <c r="AT810" s="43"/>
      <c r="AU810" s="43"/>
      <c r="AV810" s="43"/>
    </row>
    <row r="811" ht="15.75" spans="1:48">
      <c r="A811" s="12">
        <v>807</v>
      </c>
      <c r="B811" s="44">
        <v>947</v>
      </c>
      <c r="C811" s="45" t="s">
        <v>143</v>
      </c>
      <c r="D811" s="46">
        <v>18</v>
      </c>
      <c r="E811" s="47" t="s">
        <v>113</v>
      </c>
      <c r="F811" s="48">
        <v>9.83</v>
      </c>
      <c r="G811" s="38">
        <v>2.17</v>
      </c>
      <c r="H811" s="39"/>
      <c r="I811" s="39"/>
      <c r="J811" s="39"/>
      <c r="K811" s="39"/>
      <c r="L811" s="39"/>
      <c r="M811" s="39"/>
      <c r="N811" s="39"/>
      <c r="O811" s="39"/>
      <c r="P811" s="39"/>
      <c r="Q811" s="39">
        <v>1.33</v>
      </c>
      <c r="R811" s="39"/>
      <c r="S811" s="39"/>
      <c r="T811" s="39">
        <v>0.67</v>
      </c>
      <c r="U811" s="39">
        <v>0.17</v>
      </c>
      <c r="V811" s="39"/>
      <c r="W811" s="39"/>
      <c r="X811" s="49">
        <v>6270</v>
      </c>
      <c r="Y811" s="50">
        <v>5947.15</v>
      </c>
      <c r="Z811" s="51">
        <v>5376</v>
      </c>
      <c r="AA811" s="52">
        <f>IFERROR(Z811/Y811,0)</f>
        <v>0.903962402159017</v>
      </c>
      <c r="AB811" s="12">
        <v>5363</v>
      </c>
      <c r="AC811" s="12">
        <v>13</v>
      </c>
      <c r="AD811" s="19">
        <v>13</v>
      </c>
      <c r="AE811" s="43"/>
      <c r="AF811" s="43"/>
      <c r="AG811" s="43"/>
      <c r="AH811" s="43"/>
      <c r="AI811" s="43"/>
      <c r="AJ811" s="43"/>
      <c r="AK811" s="43"/>
      <c r="AL811" s="43"/>
      <c r="AM811" s="43"/>
      <c r="AN811" s="43"/>
      <c r="AO811" s="43"/>
      <c r="AP811" s="43"/>
      <c r="AQ811" s="43"/>
      <c r="AR811" s="43"/>
      <c r="AS811" s="43"/>
      <c r="AT811" s="43"/>
      <c r="AU811" s="43"/>
      <c r="AV811" s="43"/>
    </row>
    <row r="812" ht="15.75" spans="1:48">
      <c r="A812" s="12">
        <v>808</v>
      </c>
      <c r="B812" s="44">
        <v>551</v>
      </c>
      <c r="C812" s="45" t="s">
        <v>146</v>
      </c>
      <c r="D812" s="46">
        <v>2</v>
      </c>
      <c r="E812" s="47" t="s">
        <v>113</v>
      </c>
      <c r="F812" s="48">
        <v>2.57</v>
      </c>
      <c r="G812" s="38">
        <v>1.67</v>
      </c>
      <c r="H812" s="39"/>
      <c r="I812" s="39"/>
      <c r="J812" s="39"/>
      <c r="K812" s="39"/>
      <c r="L812" s="39"/>
      <c r="M812" s="39"/>
      <c r="N812" s="39"/>
      <c r="O812" s="39"/>
      <c r="P812" s="39"/>
      <c r="Q812" s="39">
        <v>1.33</v>
      </c>
      <c r="R812" s="39"/>
      <c r="S812" s="39"/>
      <c r="T812" s="39">
        <v>0.17</v>
      </c>
      <c r="U812" s="39">
        <v>0.17</v>
      </c>
      <c r="V812" s="39"/>
      <c r="W812" s="39"/>
      <c r="X812" s="49">
        <v>1080</v>
      </c>
      <c r="Y812" s="50">
        <v>1696.2</v>
      </c>
      <c r="Z812" s="51">
        <v>1650</v>
      </c>
      <c r="AA812" s="52">
        <f>IFERROR(Z812/Y812,0)</f>
        <v>0.972762645914397</v>
      </c>
      <c r="AB812" s="12">
        <v>1623</v>
      </c>
      <c r="AC812" s="12">
        <v>27</v>
      </c>
      <c r="AD812" s="19">
        <v>27</v>
      </c>
      <c r="AE812" s="43"/>
      <c r="AF812" s="43"/>
      <c r="AG812" s="43"/>
      <c r="AH812" s="43"/>
      <c r="AI812" s="43"/>
      <c r="AJ812" s="43"/>
      <c r="AK812" s="43"/>
      <c r="AL812" s="43"/>
      <c r="AM812" s="43"/>
      <c r="AN812" s="43"/>
      <c r="AO812" s="43"/>
      <c r="AP812" s="43"/>
      <c r="AQ812" s="43"/>
      <c r="AR812" s="43"/>
      <c r="AS812" s="43"/>
      <c r="AT812" s="43"/>
      <c r="AU812" s="43"/>
      <c r="AV812" s="43"/>
    </row>
    <row r="813" ht="15.75" spans="1:48">
      <c r="A813" s="12">
        <v>809</v>
      </c>
      <c r="B813" s="44">
        <v>551</v>
      </c>
      <c r="C813" s="45" t="s">
        <v>146</v>
      </c>
      <c r="D813" s="46">
        <v>7</v>
      </c>
      <c r="E813" s="47" t="s">
        <v>113</v>
      </c>
      <c r="F813" s="48">
        <v>5.1</v>
      </c>
      <c r="G813" s="38">
        <v>0.17</v>
      </c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>
        <v>0.17</v>
      </c>
      <c r="V813" s="39"/>
      <c r="W813" s="39"/>
      <c r="X813" s="49" t="s">
        <v>95</v>
      </c>
      <c r="Y813" s="50">
        <v>7140</v>
      </c>
      <c r="Z813" s="51">
        <v>7000</v>
      </c>
      <c r="AA813" s="52">
        <f>IFERROR(Z813/Y813,0)</f>
        <v>0.980392156862745</v>
      </c>
      <c r="AB813" s="12">
        <v>7000</v>
      </c>
      <c r="AC813" s="12">
        <v>0</v>
      </c>
      <c r="AD813" s="43"/>
      <c r="AE813" s="43"/>
      <c r="AF813" s="43"/>
      <c r="AG813" s="43"/>
      <c r="AH813" s="43"/>
      <c r="AI813" s="43"/>
      <c r="AJ813" s="43"/>
      <c r="AK813" s="43"/>
      <c r="AL813" s="43"/>
      <c r="AM813" s="43"/>
      <c r="AN813" s="43"/>
      <c r="AO813" s="43"/>
      <c r="AP813" s="43"/>
      <c r="AQ813" s="43"/>
      <c r="AR813" s="43"/>
      <c r="AS813" s="43"/>
      <c r="AT813" s="43"/>
      <c r="AU813" s="43"/>
      <c r="AV813" s="43"/>
    </row>
    <row r="814" ht="15.75" spans="1:48">
      <c r="A814" s="12">
        <v>810</v>
      </c>
      <c r="B814" s="44">
        <v>692</v>
      </c>
      <c r="C814" s="45" t="s">
        <v>142</v>
      </c>
      <c r="D814" s="46"/>
      <c r="E814" s="47" t="s">
        <v>113</v>
      </c>
      <c r="F814" s="48">
        <v>6.17</v>
      </c>
      <c r="G814" s="38">
        <v>1.83</v>
      </c>
      <c r="H814" s="39"/>
      <c r="I814" s="39"/>
      <c r="J814" s="39"/>
      <c r="K814" s="39"/>
      <c r="L814" s="39"/>
      <c r="M814" s="39"/>
      <c r="N814" s="39"/>
      <c r="O814" s="39"/>
      <c r="P814" s="39"/>
      <c r="Q814" s="39">
        <v>1.33</v>
      </c>
      <c r="R814" s="39"/>
      <c r="S814" s="39">
        <v>0.33</v>
      </c>
      <c r="T814" s="39"/>
      <c r="U814" s="39">
        <v>0.17</v>
      </c>
      <c r="V814" s="39"/>
      <c r="W814" s="39"/>
      <c r="X814" s="49" t="s">
        <v>98</v>
      </c>
      <c r="Y814" s="50">
        <v>2029.93</v>
      </c>
      <c r="Z814" s="51">
        <v>2700</v>
      </c>
      <c r="AA814" s="52">
        <f>IFERROR(Z814/Y814,0)</f>
        <v>1.33009512643293</v>
      </c>
      <c r="AB814" s="12">
        <v>2700</v>
      </c>
      <c r="AC814" s="12">
        <v>0</v>
      </c>
      <c r="AD814" s="43"/>
      <c r="AE814" s="43"/>
      <c r="AF814" s="43"/>
      <c r="AG814" s="43"/>
      <c r="AH814" s="43"/>
      <c r="AI814" s="43"/>
      <c r="AJ814" s="43"/>
      <c r="AK814" s="43"/>
      <c r="AL814" s="43"/>
      <c r="AM814" s="43"/>
      <c r="AN814" s="43"/>
      <c r="AO814" s="43"/>
      <c r="AP814" s="43"/>
      <c r="AQ814" s="43"/>
      <c r="AR814" s="43"/>
      <c r="AS814" s="43"/>
      <c r="AT814" s="43"/>
      <c r="AU814" s="43"/>
      <c r="AV814" s="43"/>
    </row>
    <row r="815" ht="15.75" spans="1:48">
      <c r="A815" s="12">
        <v>811</v>
      </c>
      <c r="B815" s="44">
        <v>692</v>
      </c>
      <c r="C815" s="45" t="s">
        <v>142</v>
      </c>
      <c r="D815" s="46"/>
      <c r="E815" s="47" t="s">
        <v>113</v>
      </c>
      <c r="F815" s="48">
        <v>3.17</v>
      </c>
      <c r="G815" s="38">
        <v>0</v>
      </c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49" t="s">
        <v>95</v>
      </c>
      <c r="Y815" s="50">
        <v>3106.6</v>
      </c>
      <c r="Z815" s="51">
        <v>4200</v>
      </c>
      <c r="AA815" s="52">
        <f t="shared" ref="AA815:AA829" si="17">IFERROR(Z815/Y815,0)</f>
        <v>1.35196034249662</v>
      </c>
      <c r="AB815" s="12">
        <v>4200</v>
      </c>
      <c r="AC815" s="12">
        <v>0</v>
      </c>
      <c r="AD815" s="43"/>
      <c r="AE815" s="43"/>
      <c r="AF815" s="43"/>
      <c r="AG815" s="43"/>
      <c r="AH815" s="43"/>
      <c r="AI815" s="43"/>
      <c r="AJ815" s="43"/>
      <c r="AK815" s="43"/>
      <c r="AL815" s="43"/>
      <c r="AM815" s="43"/>
      <c r="AN815" s="43"/>
      <c r="AO815" s="43"/>
      <c r="AP815" s="43"/>
      <c r="AQ815" s="43"/>
      <c r="AR815" s="43"/>
      <c r="AS815" s="43"/>
      <c r="AT815" s="43"/>
      <c r="AU815" s="43"/>
      <c r="AV815" s="43"/>
    </row>
    <row r="816" ht="15.75" spans="1:48">
      <c r="A816" s="12">
        <v>812</v>
      </c>
      <c r="B816" s="44">
        <v>4110</v>
      </c>
      <c r="C816" s="45" t="s">
        <v>135</v>
      </c>
      <c r="D816" s="46"/>
      <c r="E816" s="47" t="s">
        <v>113</v>
      </c>
      <c r="F816" s="48">
        <v>4.17</v>
      </c>
      <c r="G816" s="38">
        <v>0</v>
      </c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49" t="s">
        <v>103</v>
      </c>
      <c r="Y816" s="50">
        <v>3502.8</v>
      </c>
      <c r="Z816" s="51">
        <v>3525</v>
      </c>
      <c r="AA816" s="52">
        <f t="shared" si="17"/>
        <v>1.00633778691333</v>
      </c>
      <c r="AB816" s="12">
        <v>3525</v>
      </c>
      <c r="AC816" s="12">
        <v>0</v>
      </c>
      <c r="AD816" s="43"/>
      <c r="AE816" s="43"/>
      <c r="AF816" s="43"/>
      <c r="AG816" s="43"/>
      <c r="AH816" s="43"/>
      <c r="AI816" s="43"/>
      <c r="AJ816" s="43"/>
      <c r="AK816" s="43"/>
      <c r="AL816" s="43"/>
      <c r="AM816" s="43"/>
      <c r="AN816" s="43"/>
      <c r="AO816" s="43"/>
      <c r="AP816" s="43"/>
      <c r="AQ816" s="43"/>
      <c r="AR816" s="43"/>
      <c r="AS816" s="43"/>
      <c r="AT816" s="43"/>
      <c r="AU816" s="43"/>
      <c r="AV816" s="43"/>
    </row>
    <row r="817" ht="15.75" spans="1:48">
      <c r="A817" s="12">
        <v>813</v>
      </c>
      <c r="B817" s="44">
        <v>551</v>
      </c>
      <c r="C817" s="45" t="s">
        <v>146</v>
      </c>
      <c r="D817" s="46"/>
      <c r="E817" s="47" t="s">
        <v>113</v>
      </c>
      <c r="F817" s="48">
        <v>2.5</v>
      </c>
      <c r="G817" s="38">
        <v>0</v>
      </c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49" t="s">
        <v>105</v>
      </c>
      <c r="Y817" s="50">
        <v>1650</v>
      </c>
      <c r="Z817" s="51">
        <v>1650</v>
      </c>
      <c r="AA817" s="52">
        <f t="shared" si="17"/>
        <v>1</v>
      </c>
      <c r="AB817" s="12">
        <v>1650</v>
      </c>
      <c r="AC817" s="12">
        <v>0</v>
      </c>
      <c r="AD817" s="43"/>
      <c r="AE817" s="43"/>
      <c r="AF817" s="43"/>
      <c r="AG817" s="43"/>
      <c r="AH817" s="43"/>
      <c r="AI817" s="43"/>
      <c r="AJ817" s="43"/>
      <c r="AK817" s="43"/>
      <c r="AL817" s="43"/>
      <c r="AM817" s="43"/>
      <c r="AN817" s="43"/>
      <c r="AO817" s="43"/>
      <c r="AP817" s="43"/>
      <c r="AQ817" s="43"/>
      <c r="AR817" s="43"/>
      <c r="AS817" s="43"/>
      <c r="AT817" s="43"/>
      <c r="AU817" s="43"/>
      <c r="AV817" s="43"/>
    </row>
    <row r="818" ht="15.75" spans="1:48">
      <c r="A818" s="12">
        <v>814</v>
      </c>
      <c r="B818" s="44">
        <v>4017</v>
      </c>
      <c r="C818" s="45" t="s">
        <v>148</v>
      </c>
      <c r="D818" s="46"/>
      <c r="E818" s="47" t="s">
        <v>113</v>
      </c>
      <c r="F818" s="48">
        <v>2.33</v>
      </c>
      <c r="G818" s="38">
        <v>0</v>
      </c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49" t="s">
        <v>103</v>
      </c>
      <c r="Y818" s="50">
        <v>1957.2</v>
      </c>
      <c r="Z818" s="51">
        <v>1920</v>
      </c>
      <c r="AA818" s="52">
        <f t="shared" si="17"/>
        <v>0.980993255671367</v>
      </c>
      <c r="AB818" s="12">
        <v>1920</v>
      </c>
      <c r="AC818" s="12">
        <v>0</v>
      </c>
      <c r="AD818" s="43"/>
      <c r="AE818" s="43"/>
      <c r="AF818" s="43"/>
      <c r="AG818" s="43"/>
      <c r="AH818" s="43"/>
      <c r="AI818" s="43"/>
      <c r="AJ818" s="43"/>
      <c r="AK818" s="43"/>
      <c r="AL818" s="43"/>
      <c r="AM818" s="43"/>
      <c r="AN818" s="43"/>
      <c r="AO818" s="43"/>
      <c r="AP818" s="43"/>
      <c r="AQ818" s="43"/>
      <c r="AR818" s="43"/>
      <c r="AS818" s="43"/>
      <c r="AT818" s="43"/>
      <c r="AU818" s="43"/>
      <c r="AV818" s="43"/>
    </row>
    <row r="819" ht="15.75" spans="1:48">
      <c r="A819" s="12">
        <v>815</v>
      </c>
      <c r="B819" s="44">
        <v>2865</v>
      </c>
      <c r="C819" s="45" t="s">
        <v>149</v>
      </c>
      <c r="D819" s="46"/>
      <c r="E819" s="47" t="s">
        <v>113</v>
      </c>
      <c r="F819" s="48">
        <v>3.17</v>
      </c>
      <c r="G819" s="38">
        <v>0</v>
      </c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49" t="s">
        <v>103</v>
      </c>
      <c r="Y819" s="50">
        <v>2662.8</v>
      </c>
      <c r="Z819" s="51">
        <v>2772</v>
      </c>
      <c r="AA819" s="52">
        <f t="shared" si="17"/>
        <v>1.0410094637224</v>
      </c>
      <c r="AB819" s="12">
        <v>2772</v>
      </c>
      <c r="AC819" s="12">
        <v>0</v>
      </c>
      <c r="AD819" s="43"/>
      <c r="AE819" s="43"/>
      <c r="AF819" s="43"/>
      <c r="AG819" s="43"/>
      <c r="AH819" s="43"/>
      <c r="AI819" s="43"/>
      <c r="AJ819" s="43"/>
      <c r="AK819" s="43"/>
      <c r="AL819" s="43"/>
      <c r="AM819" s="43"/>
      <c r="AN819" s="43"/>
      <c r="AO819" s="43"/>
      <c r="AP819" s="43"/>
      <c r="AQ819" s="43"/>
      <c r="AR819" s="43"/>
      <c r="AS819" s="43"/>
      <c r="AT819" s="43"/>
      <c r="AU819" s="43"/>
      <c r="AV819" s="43"/>
    </row>
    <row r="820" ht="15.75" spans="1:48">
      <c r="A820" s="12">
        <v>816</v>
      </c>
      <c r="B820" s="44">
        <v>666</v>
      </c>
      <c r="C820" s="45" t="s">
        <v>151</v>
      </c>
      <c r="D820" s="46"/>
      <c r="E820" s="47" t="s">
        <v>113</v>
      </c>
      <c r="F820" s="48">
        <v>1.33</v>
      </c>
      <c r="G820" s="38">
        <v>0.67</v>
      </c>
      <c r="H820" s="39"/>
      <c r="I820" s="39"/>
      <c r="J820" s="39"/>
      <c r="K820" s="39"/>
      <c r="L820" s="39"/>
      <c r="M820" s="39"/>
      <c r="N820" s="39"/>
      <c r="O820" s="39"/>
      <c r="P820" s="39"/>
      <c r="Q820" s="39">
        <v>0.67</v>
      </c>
      <c r="R820" s="39"/>
      <c r="S820" s="39"/>
      <c r="T820" s="39"/>
      <c r="U820" s="39"/>
      <c r="V820" s="39"/>
      <c r="W820" s="39"/>
      <c r="X820" s="49" t="s">
        <v>100</v>
      </c>
      <c r="Y820" s="50">
        <v>2553.6</v>
      </c>
      <c r="Z820" s="51">
        <v>2520</v>
      </c>
      <c r="AA820" s="52">
        <f t="shared" si="17"/>
        <v>0.986842105263158</v>
      </c>
      <c r="AB820" s="12">
        <v>2520</v>
      </c>
      <c r="AC820" s="12">
        <v>0</v>
      </c>
      <c r="AD820" s="43"/>
      <c r="AE820" s="43"/>
      <c r="AF820" s="43"/>
      <c r="AG820" s="43"/>
      <c r="AH820" s="43"/>
      <c r="AI820" s="43"/>
      <c r="AJ820" s="43"/>
      <c r="AK820" s="43"/>
      <c r="AL820" s="43"/>
      <c r="AM820" s="43"/>
      <c r="AN820" s="43"/>
      <c r="AO820" s="43"/>
      <c r="AP820" s="43"/>
      <c r="AQ820" s="43"/>
      <c r="AR820" s="43"/>
      <c r="AS820" s="43"/>
      <c r="AT820" s="43"/>
      <c r="AU820" s="43"/>
      <c r="AV820" s="43"/>
    </row>
    <row r="821" ht="15.75" spans="1:48">
      <c r="A821" s="12">
        <v>817</v>
      </c>
      <c r="B821" s="44">
        <v>666</v>
      </c>
      <c r="C821" s="45" t="s">
        <v>151</v>
      </c>
      <c r="D821" s="46"/>
      <c r="E821" s="47" t="s">
        <v>113</v>
      </c>
      <c r="F821" s="48">
        <v>1.17</v>
      </c>
      <c r="G821" s="38">
        <v>0</v>
      </c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49" t="s">
        <v>101</v>
      </c>
      <c r="Y821" s="50">
        <v>2246.4</v>
      </c>
      <c r="Z821" s="51">
        <v>1980</v>
      </c>
      <c r="AA821" s="52">
        <f t="shared" si="17"/>
        <v>0.881410256410256</v>
      </c>
      <c r="AB821" s="12">
        <v>1980</v>
      </c>
      <c r="AC821" s="12">
        <v>0</v>
      </c>
      <c r="AD821" s="43"/>
      <c r="AE821" s="43"/>
      <c r="AF821" s="43"/>
      <c r="AG821" s="43"/>
      <c r="AH821" s="43"/>
      <c r="AI821" s="43"/>
      <c r="AJ821" s="43"/>
      <c r="AK821" s="43"/>
      <c r="AL821" s="43"/>
      <c r="AM821" s="43"/>
      <c r="AN821" s="43"/>
      <c r="AO821" s="43"/>
      <c r="AP821" s="43"/>
      <c r="AQ821" s="43"/>
      <c r="AR821" s="43"/>
      <c r="AS821" s="43"/>
      <c r="AT821" s="43"/>
      <c r="AU821" s="43"/>
      <c r="AV821" s="43"/>
    </row>
    <row r="822" ht="15.75" spans="1:48">
      <c r="A822" s="12">
        <v>818</v>
      </c>
      <c r="B822" s="44">
        <v>666</v>
      </c>
      <c r="C822" s="45" t="s">
        <v>151</v>
      </c>
      <c r="D822" s="46"/>
      <c r="E822" s="47" t="s">
        <v>113</v>
      </c>
      <c r="F822" s="48">
        <v>2.83</v>
      </c>
      <c r="G822" s="38">
        <v>0</v>
      </c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49" t="s">
        <v>152</v>
      </c>
      <c r="Y822" s="50">
        <v>12310.5</v>
      </c>
      <c r="Z822" s="51">
        <v>11900</v>
      </c>
      <c r="AA822" s="52">
        <f t="shared" si="17"/>
        <v>0.966654481946306</v>
      </c>
      <c r="AB822" s="12">
        <v>11900</v>
      </c>
      <c r="AC822" s="12">
        <v>0</v>
      </c>
      <c r="AD822" s="43"/>
      <c r="AE822" s="43"/>
      <c r="AF822" s="43"/>
      <c r="AG822" s="43"/>
      <c r="AH822" s="43"/>
      <c r="AI822" s="43"/>
      <c r="AJ822" s="43"/>
      <c r="AK822" s="43"/>
      <c r="AL822" s="43"/>
      <c r="AM822" s="43"/>
      <c r="AN822" s="43"/>
      <c r="AO822" s="43"/>
      <c r="AP822" s="43"/>
      <c r="AQ822" s="43"/>
      <c r="AR822" s="43"/>
      <c r="AS822" s="43"/>
      <c r="AT822" s="43"/>
      <c r="AU822" s="43"/>
      <c r="AV822" s="43"/>
    </row>
    <row r="823" ht="15.75" spans="1:48">
      <c r="A823" s="12">
        <v>819</v>
      </c>
      <c r="B823" s="44">
        <v>666</v>
      </c>
      <c r="C823" s="45" t="s">
        <v>151</v>
      </c>
      <c r="D823" s="46"/>
      <c r="E823" s="47" t="s">
        <v>113</v>
      </c>
      <c r="F823" s="48">
        <v>1.17</v>
      </c>
      <c r="G823" s="38">
        <v>0.84</v>
      </c>
      <c r="H823" s="39"/>
      <c r="I823" s="39"/>
      <c r="J823" s="39"/>
      <c r="K823" s="39"/>
      <c r="L823" s="39"/>
      <c r="M823" s="39"/>
      <c r="N823" s="39"/>
      <c r="O823" s="39"/>
      <c r="P823" s="39"/>
      <c r="Q823" s="39">
        <v>0.67</v>
      </c>
      <c r="R823" s="39"/>
      <c r="S823" s="39"/>
      <c r="T823" s="39"/>
      <c r="U823" s="39">
        <v>0.17</v>
      </c>
      <c r="V823" s="39"/>
      <c r="W823" s="39"/>
      <c r="X823" s="49" t="s">
        <v>234</v>
      </c>
      <c r="Y823" s="50">
        <v>4352.4</v>
      </c>
      <c r="Z823" s="51">
        <v>3600</v>
      </c>
      <c r="AA823" s="52">
        <f t="shared" si="17"/>
        <v>0.827129859387924</v>
      </c>
      <c r="AB823" s="12">
        <v>3600</v>
      </c>
      <c r="AC823" s="12">
        <v>0</v>
      </c>
      <c r="AD823" s="43"/>
      <c r="AE823" s="43"/>
      <c r="AF823" s="43"/>
      <c r="AG823" s="43"/>
      <c r="AH823" s="43"/>
      <c r="AI823" s="43"/>
      <c r="AJ823" s="43"/>
      <c r="AK823" s="43"/>
      <c r="AL823" s="43"/>
      <c r="AM823" s="43"/>
      <c r="AN823" s="43"/>
      <c r="AO823" s="43"/>
      <c r="AP823" s="43"/>
      <c r="AQ823" s="43"/>
      <c r="AR823" s="43"/>
      <c r="AS823" s="43"/>
      <c r="AT823" s="43"/>
      <c r="AU823" s="43"/>
      <c r="AV823" s="43"/>
    </row>
    <row r="824" ht="15.75" spans="1:48">
      <c r="A824" s="12">
        <v>820</v>
      </c>
      <c r="B824" s="44">
        <v>666</v>
      </c>
      <c r="C824" s="45" t="s">
        <v>151</v>
      </c>
      <c r="D824" s="46"/>
      <c r="E824" s="47" t="s">
        <v>113</v>
      </c>
      <c r="F824" s="48">
        <v>4</v>
      </c>
      <c r="G824" s="38">
        <v>0</v>
      </c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49" t="s">
        <v>229</v>
      </c>
      <c r="Y824" s="50">
        <v>14880</v>
      </c>
      <c r="Z824" s="51">
        <v>12150</v>
      </c>
      <c r="AA824" s="52">
        <f t="shared" si="17"/>
        <v>0.816532258064516</v>
      </c>
      <c r="AB824" s="12">
        <v>12150</v>
      </c>
      <c r="AC824" s="12">
        <v>0</v>
      </c>
      <c r="AD824" s="43"/>
      <c r="AE824" s="43"/>
      <c r="AF824" s="43"/>
      <c r="AG824" s="43"/>
      <c r="AH824" s="43"/>
      <c r="AI824" s="43"/>
      <c r="AJ824" s="43"/>
      <c r="AK824" s="43"/>
      <c r="AL824" s="43"/>
      <c r="AM824" s="43"/>
      <c r="AN824" s="43"/>
      <c r="AO824" s="43"/>
      <c r="AP824" s="43"/>
      <c r="AQ824" s="43"/>
      <c r="AR824" s="43"/>
      <c r="AS824" s="43"/>
      <c r="AT824" s="43"/>
      <c r="AU824" s="43"/>
      <c r="AV824" s="43"/>
    </row>
    <row r="825" ht="15.75" spans="1:48">
      <c r="A825" s="12">
        <v>821</v>
      </c>
      <c r="B825" s="44">
        <v>1733</v>
      </c>
      <c r="C825" s="45" t="s">
        <v>153</v>
      </c>
      <c r="D825" s="46"/>
      <c r="E825" s="47" t="s">
        <v>113</v>
      </c>
      <c r="F825" s="48">
        <v>10.67</v>
      </c>
      <c r="G825" s="38">
        <v>1.33</v>
      </c>
      <c r="H825" s="39"/>
      <c r="I825" s="39"/>
      <c r="J825" s="39"/>
      <c r="K825" s="39"/>
      <c r="L825" s="39"/>
      <c r="M825" s="39"/>
      <c r="N825" s="39"/>
      <c r="O825" s="39"/>
      <c r="P825" s="39"/>
      <c r="Q825" s="39">
        <v>1.33</v>
      </c>
      <c r="R825" s="39"/>
      <c r="S825" s="39"/>
      <c r="T825" s="39"/>
      <c r="U825" s="39"/>
      <c r="V825" s="39"/>
      <c r="W825" s="39"/>
      <c r="X825" s="49" t="s">
        <v>103</v>
      </c>
      <c r="Y825" s="50">
        <v>8962.8</v>
      </c>
      <c r="Z825" s="51">
        <v>6891</v>
      </c>
      <c r="AA825" s="52">
        <f t="shared" si="17"/>
        <v>0.768844557504351</v>
      </c>
      <c r="AB825" s="12">
        <v>6891</v>
      </c>
      <c r="AC825" s="12">
        <v>0</v>
      </c>
      <c r="AD825" s="43"/>
      <c r="AE825" s="43"/>
      <c r="AF825" s="43"/>
      <c r="AG825" s="43"/>
      <c r="AH825" s="43"/>
      <c r="AI825" s="43"/>
      <c r="AJ825" s="43"/>
      <c r="AK825" s="43"/>
      <c r="AL825" s="43"/>
      <c r="AM825" s="43"/>
      <c r="AN825" s="43"/>
      <c r="AO825" s="43"/>
      <c r="AP825" s="43"/>
      <c r="AQ825" s="43"/>
      <c r="AR825" s="43"/>
      <c r="AS825" s="43"/>
      <c r="AT825" s="43"/>
      <c r="AU825" s="43"/>
      <c r="AV825" s="43"/>
    </row>
    <row r="826" ht="15.75" spans="1:48">
      <c r="A826" s="12">
        <v>822</v>
      </c>
      <c r="B826" s="44">
        <v>2890</v>
      </c>
      <c r="C826" s="45" t="s">
        <v>111</v>
      </c>
      <c r="D826" s="46" t="s">
        <v>215</v>
      </c>
      <c r="E826" s="47" t="s">
        <v>113</v>
      </c>
      <c r="F826" s="48">
        <v>10</v>
      </c>
      <c r="G826" s="38">
        <v>1.83</v>
      </c>
      <c r="H826" s="39"/>
      <c r="I826" s="39"/>
      <c r="J826" s="39"/>
      <c r="K826" s="39"/>
      <c r="L826" s="39"/>
      <c r="M826" s="39"/>
      <c r="N826" s="39"/>
      <c r="O826" s="39"/>
      <c r="P826" s="39"/>
      <c r="Q826" s="39">
        <v>1.33</v>
      </c>
      <c r="R826" s="39"/>
      <c r="S826" s="39"/>
      <c r="T826" s="39"/>
      <c r="U826" s="39">
        <v>0.5</v>
      </c>
      <c r="V826" s="39"/>
      <c r="W826" s="39"/>
      <c r="X826" s="49" t="s">
        <v>216</v>
      </c>
      <c r="Y826" s="50">
        <v>8500</v>
      </c>
      <c r="Z826" s="51">
        <v>8200</v>
      </c>
      <c r="AA826" s="52">
        <f t="shared" si="17"/>
        <v>0.964705882352941</v>
      </c>
      <c r="AB826" s="12">
        <v>8200</v>
      </c>
      <c r="AC826" s="12">
        <v>0</v>
      </c>
      <c r="AD826" s="43"/>
      <c r="AE826" s="43"/>
      <c r="AF826" s="43"/>
      <c r="AG826" s="43"/>
      <c r="AH826" s="43"/>
      <c r="AI826" s="43"/>
      <c r="AJ826" s="43"/>
      <c r="AK826" s="43"/>
      <c r="AL826" s="43"/>
      <c r="AM826" s="43"/>
      <c r="AN826" s="43"/>
      <c r="AO826" s="43"/>
      <c r="AP826" s="43"/>
      <c r="AQ826" s="43"/>
      <c r="AR826" s="43"/>
      <c r="AS826" s="43"/>
      <c r="AT826" s="43"/>
      <c r="AU826" s="43"/>
      <c r="AV826" s="43"/>
    </row>
    <row r="827" ht="15.75" spans="1:48">
      <c r="A827" s="12">
        <v>823</v>
      </c>
      <c r="B827" s="44">
        <v>3111</v>
      </c>
      <c r="C827" s="45" t="s">
        <v>124</v>
      </c>
      <c r="D827" s="46" t="s">
        <v>217</v>
      </c>
      <c r="E827" s="47" t="s">
        <v>250</v>
      </c>
      <c r="F827" s="48">
        <v>10.5</v>
      </c>
      <c r="G827" s="38">
        <v>1.5</v>
      </c>
      <c r="H827" s="39"/>
      <c r="I827" s="39"/>
      <c r="J827" s="39"/>
      <c r="K827" s="39"/>
      <c r="L827" s="39"/>
      <c r="M827" s="39"/>
      <c r="N827" s="39"/>
      <c r="O827" s="39"/>
      <c r="P827" s="39"/>
      <c r="Q827" s="39">
        <v>1.33</v>
      </c>
      <c r="R827" s="39"/>
      <c r="S827" s="39"/>
      <c r="T827" s="39"/>
      <c r="U827" s="39">
        <v>0.17</v>
      </c>
      <c r="V827" s="39"/>
      <c r="W827" s="39"/>
      <c r="X827" s="49" t="s">
        <v>55</v>
      </c>
      <c r="Y827" s="50">
        <v>25357.5</v>
      </c>
      <c r="Z827" s="51">
        <v>25140</v>
      </c>
      <c r="AA827" s="52">
        <f t="shared" si="17"/>
        <v>0.991422656018929</v>
      </c>
      <c r="AB827" s="12">
        <v>25140</v>
      </c>
      <c r="AC827" s="12">
        <v>0</v>
      </c>
      <c r="AD827" s="43"/>
      <c r="AE827" s="43"/>
      <c r="AF827" s="43"/>
      <c r="AG827" s="43"/>
      <c r="AH827" s="43"/>
      <c r="AI827" s="43"/>
      <c r="AJ827" s="43"/>
      <c r="AK827" s="43"/>
      <c r="AL827" s="43"/>
      <c r="AM827" s="43"/>
      <c r="AN827" s="43"/>
      <c r="AO827" s="43"/>
      <c r="AP827" s="43"/>
      <c r="AQ827" s="43"/>
      <c r="AR827" s="43"/>
      <c r="AS827" s="43"/>
      <c r="AT827" s="43"/>
      <c r="AU827" s="43"/>
      <c r="AV827" s="43"/>
    </row>
    <row r="828" ht="15.75" spans="1:48">
      <c r="A828" s="12">
        <v>824</v>
      </c>
      <c r="B828" s="44">
        <v>4325</v>
      </c>
      <c r="C828" s="45" t="s">
        <v>118</v>
      </c>
      <c r="D828" s="46"/>
      <c r="E828" s="47" t="s">
        <v>113</v>
      </c>
      <c r="F828" s="48">
        <v>10.66</v>
      </c>
      <c r="G828" s="38">
        <v>1.33</v>
      </c>
      <c r="H828" s="39"/>
      <c r="I828" s="39"/>
      <c r="J828" s="39"/>
      <c r="K828" s="39"/>
      <c r="L828" s="39"/>
      <c r="M828" s="39"/>
      <c r="N828" s="39"/>
      <c r="O828" s="39"/>
      <c r="P828" s="39"/>
      <c r="Q828" s="39">
        <v>1.33</v>
      </c>
      <c r="R828" s="39"/>
      <c r="S828" s="39"/>
      <c r="T828" s="39"/>
      <c r="U828" s="39"/>
      <c r="V828" s="39"/>
      <c r="W828" s="39"/>
      <c r="X828" s="49" t="s">
        <v>213</v>
      </c>
      <c r="Y828" s="50">
        <v>1279.2</v>
      </c>
      <c r="Z828" s="51">
        <v>1300</v>
      </c>
      <c r="AA828" s="52">
        <f t="shared" si="17"/>
        <v>1.01626016260163</v>
      </c>
      <c r="AB828" s="12">
        <v>1300</v>
      </c>
      <c r="AC828" s="12">
        <v>0</v>
      </c>
      <c r="AD828" s="43"/>
      <c r="AE828" s="43"/>
      <c r="AF828" s="43"/>
      <c r="AG828" s="43"/>
      <c r="AH828" s="43"/>
      <c r="AI828" s="43"/>
      <c r="AJ828" s="43"/>
      <c r="AK828" s="43"/>
      <c r="AL828" s="43"/>
      <c r="AM828" s="43"/>
      <c r="AN828" s="43"/>
      <c r="AO828" s="43"/>
      <c r="AP828" s="43"/>
      <c r="AQ828" s="43"/>
      <c r="AR828" s="43"/>
      <c r="AS828" s="43"/>
      <c r="AT828" s="43"/>
      <c r="AU828" s="43"/>
      <c r="AV828" s="43"/>
    </row>
    <row r="829" ht="15.75" spans="1:48">
      <c r="A829" s="12">
        <v>825</v>
      </c>
      <c r="B829" s="44">
        <v>2649</v>
      </c>
      <c r="C829" s="45" t="s">
        <v>121</v>
      </c>
      <c r="D829" s="46"/>
      <c r="E829" s="47" t="s">
        <v>113</v>
      </c>
      <c r="F829" s="48">
        <v>6</v>
      </c>
      <c r="G829" s="38">
        <v>1.33</v>
      </c>
      <c r="H829" s="39"/>
      <c r="I829" s="39"/>
      <c r="J829" s="39"/>
      <c r="K829" s="39"/>
      <c r="L829" s="39"/>
      <c r="M829" s="39"/>
      <c r="N829" s="39"/>
      <c r="O829" s="39"/>
      <c r="P829" s="39"/>
      <c r="Q829" s="39">
        <v>1.33</v>
      </c>
      <c r="R829" s="39"/>
      <c r="S829" s="39"/>
      <c r="T829" s="39"/>
      <c r="U829" s="39"/>
      <c r="V829" s="39"/>
      <c r="W829" s="39"/>
      <c r="X829" s="49" t="s">
        <v>120</v>
      </c>
      <c r="Y829" s="50">
        <v>1500</v>
      </c>
      <c r="Z829" s="51">
        <v>1480</v>
      </c>
      <c r="AA829" s="52">
        <f t="shared" si="17"/>
        <v>0.986666666666667</v>
      </c>
      <c r="AB829" s="12">
        <v>1480</v>
      </c>
      <c r="AC829" s="12">
        <v>0</v>
      </c>
      <c r="AD829" s="43"/>
      <c r="AE829" s="43"/>
      <c r="AF829" s="43"/>
      <c r="AG829" s="43"/>
      <c r="AH829" s="43"/>
      <c r="AI829" s="43"/>
      <c r="AJ829" s="43"/>
      <c r="AK829" s="43"/>
      <c r="AL829" s="43"/>
      <c r="AM829" s="43"/>
      <c r="AN829" s="43"/>
      <c r="AO829" s="43"/>
      <c r="AP829" s="43"/>
      <c r="AQ829" s="43"/>
      <c r="AR829" s="43"/>
      <c r="AS829" s="43"/>
      <c r="AT829" s="43"/>
      <c r="AU829" s="43"/>
      <c r="AV829" s="43"/>
    </row>
    <row r="830" ht="15.75" spans="1:48">
      <c r="A830" s="12">
        <v>826</v>
      </c>
      <c r="B830" s="44">
        <v>2649</v>
      </c>
      <c r="C830" s="45" t="s">
        <v>121</v>
      </c>
      <c r="D830" s="46"/>
      <c r="E830" s="47" t="s">
        <v>113</v>
      </c>
      <c r="F830" s="48">
        <v>2.66</v>
      </c>
      <c r="G830" s="38">
        <v>0</v>
      </c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49" t="s">
        <v>259</v>
      </c>
      <c r="Y830" s="50">
        <v>0</v>
      </c>
      <c r="Z830" s="51"/>
      <c r="AA830" s="52">
        <f>IFERROR(Z830/Y830,0)</f>
        <v>0</v>
      </c>
      <c r="AB830" s="12">
        <v>0</v>
      </c>
      <c r="AC830" s="12">
        <v>0</v>
      </c>
      <c r="AD830" s="43"/>
      <c r="AE830" s="43"/>
      <c r="AF830" s="43"/>
      <c r="AG830" s="43"/>
      <c r="AH830" s="43"/>
      <c r="AI830" s="43"/>
      <c r="AJ830" s="43"/>
      <c r="AK830" s="43"/>
      <c r="AL830" s="43"/>
      <c r="AM830" s="43"/>
      <c r="AN830" s="43"/>
      <c r="AO830" s="43"/>
      <c r="AP830" s="43"/>
      <c r="AQ830" s="43"/>
      <c r="AR830" s="43"/>
      <c r="AS830" s="43"/>
      <c r="AT830" s="43"/>
      <c r="AU830" s="43"/>
      <c r="AV830" s="43"/>
    </row>
    <row r="831" ht="15.75" spans="1:48">
      <c r="A831" s="12">
        <v>827</v>
      </c>
      <c r="B831" s="44">
        <v>3959</v>
      </c>
      <c r="C831" s="45" t="s">
        <v>123</v>
      </c>
      <c r="D831" s="46"/>
      <c r="E831" s="47" t="s">
        <v>113</v>
      </c>
      <c r="F831" s="48">
        <v>10.66</v>
      </c>
      <c r="G831" s="38">
        <v>1.33</v>
      </c>
      <c r="H831" s="39"/>
      <c r="I831" s="39"/>
      <c r="J831" s="39"/>
      <c r="K831" s="39"/>
      <c r="L831" s="39"/>
      <c r="M831" s="39"/>
      <c r="N831" s="39"/>
      <c r="O831" s="39"/>
      <c r="P831" s="39"/>
      <c r="Q831" s="39">
        <v>1.33</v>
      </c>
      <c r="R831" s="39"/>
      <c r="S831" s="39"/>
      <c r="T831" s="39"/>
      <c r="U831" s="39"/>
      <c r="V831" s="39"/>
      <c r="W831" s="39"/>
      <c r="X831" s="49" t="s">
        <v>213</v>
      </c>
      <c r="Y831" s="50">
        <v>1279.2</v>
      </c>
      <c r="Z831" s="51">
        <v>1300</v>
      </c>
      <c r="AA831" s="52">
        <f t="shared" ref="AA831:AA842" si="18">IFERROR(Z831/Y831,0)</f>
        <v>1.01626016260163</v>
      </c>
      <c r="AB831" s="12">
        <v>1300</v>
      </c>
      <c r="AC831" s="12">
        <v>0</v>
      </c>
      <c r="AD831" s="43"/>
      <c r="AE831" s="43"/>
      <c r="AF831" s="43"/>
      <c r="AG831" s="43"/>
      <c r="AH831" s="43"/>
      <c r="AI831" s="43"/>
      <c r="AJ831" s="43"/>
      <c r="AK831" s="43"/>
      <c r="AL831" s="43"/>
      <c r="AM831" s="43"/>
      <c r="AN831" s="43"/>
      <c r="AO831" s="43"/>
      <c r="AP831" s="43"/>
      <c r="AQ831" s="43"/>
      <c r="AR831" s="43"/>
      <c r="AS831" s="43"/>
      <c r="AT831" s="43"/>
      <c r="AU831" s="43"/>
      <c r="AV831" s="43"/>
    </row>
    <row r="832" ht="15.75" spans="1:48">
      <c r="A832" s="12">
        <v>828</v>
      </c>
      <c r="B832" s="44">
        <v>4456</v>
      </c>
      <c r="C832" s="45" t="s">
        <v>119</v>
      </c>
      <c r="D832" s="46"/>
      <c r="E832" s="47" t="s">
        <v>113</v>
      </c>
      <c r="F832" s="48">
        <v>10.66</v>
      </c>
      <c r="G832" s="38">
        <v>1.33</v>
      </c>
      <c r="H832" s="39"/>
      <c r="I832" s="39"/>
      <c r="J832" s="39"/>
      <c r="K832" s="39"/>
      <c r="L832" s="39"/>
      <c r="M832" s="39"/>
      <c r="N832" s="39"/>
      <c r="O832" s="39"/>
      <c r="P832" s="39"/>
      <c r="Q832" s="39">
        <v>1.33</v>
      </c>
      <c r="R832" s="39"/>
      <c r="S832" s="39"/>
      <c r="T832" s="39"/>
      <c r="U832" s="39"/>
      <c r="V832" s="39"/>
      <c r="W832" s="39"/>
      <c r="X832" s="49" t="s">
        <v>120</v>
      </c>
      <c r="Y832" s="50">
        <v>2665</v>
      </c>
      <c r="Z832" s="51">
        <v>2550</v>
      </c>
      <c r="AA832" s="52">
        <f t="shared" si="18"/>
        <v>0.956848030018762</v>
      </c>
      <c r="AB832" s="12">
        <v>2550</v>
      </c>
      <c r="AC832" s="12">
        <v>0</v>
      </c>
      <c r="AD832" s="43"/>
      <c r="AE832" s="43"/>
      <c r="AF832" s="43"/>
      <c r="AG832" s="43"/>
      <c r="AH832" s="43"/>
      <c r="AI832" s="43"/>
      <c r="AJ832" s="43"/>
      <c r="AK832" s="43"/>
      <c r="AL832" s="43"/>
      <c r="AM832" s="43"/>
      <c r="AN832" s="43"/>
      <c r="AO832" s="43"/>
      <c r="AP832" s="43"/>
      <c r="AQ832" s="43"/>
      <c r="AR832" s="43"/>
      <c r="AS832" s="43"/>
      <c r="AT832" s="43"/>
      <c r="AU832" s="43"/>
      <c r="AV832" s="43"/>
    </row>
    <row r="833" ht="15.75" spans="1:48">
      <c r="A833" s="12">
        <v>829</v>
      </c>
      <c r="B833" s="44">
        <v>4418</v>
      </c>
      <c r="C833" s="45" t="s">
        <v>125</v>
      </c>
      <c r="D833" s="46">
        <v>11</v>
      </c>
      <c r="E833" s="47" t="s">
        <v>113</v>
      </c>
      <c r="F833" s="48">
        <v>10.5</v>
      </c>
      <c r="G833" s="38">
        <v>1.5</v>
      </c>
      <c r="H833" s="39"/>
      <c r="I833" s="39"/>
      <c r="J833" s="39"/>
      <c r="K833" s="39"/>
      <c r="L833" s="39"/>
      <c r="M833" s="39"/>
      <c r="N833" s="39"/>
      <c r="O833" s="39"/>
      <c r="P833" s="39"/>
      <c r="Q833" s="39">
        <v>1.33</v>
      </c>
      <c r="R833" s="39"/>
      <c r="S833" s="39"/>
      <c r="T833" s="39"/>
      <c r="U833" s="39">
        <v>0.17</v>
      </c>
      <c r="V833" s="39"/>
      <c r="W833" s="39"/>
      <c r="X833" s="49" t="s">
        <v>239</v>
      </c>
      <c r="Y833" s="50">
        <v>5355</v>
      </c>
      <c r="Z833" s="51">
        <v>5265</v>
      </c>
      <c r="AA833" s="52">
        <f t="shared" si="18"/>
        <v>0.983193277310924</v>
      </c>
      <c r="AB833" s="12">
        <v>5265</v>
      </c>
      <c r="AC833" s="12">
        <v>0</v>
      </c>
      <c r="AD833" s="43"/>
      <c r="AE833" s="43"/>
      <c r="AF833" s="43"/>
      <c r="AG833" s="43"/>
      <c r="AH833" s="43"/>
      <c r="AI833" s="43"/>
      <c r="AJ833" s="43"/>
      <c r="AK833" s="43"/>
      <c r="AL833" s="43"/>
      <c r="AM833" s="43"/>
      <c r="AN833" s="43"/>
      <c r="AO833" s="43"/>
      <c r="AP833" s="43"/>
      <c r="AQ833" s="43"/>
      <c r="AR833" s="43"/>
      <c r="AS833" s="43"/>
      <c r="AT833" s="43"/>
      <c r="AU833" s="43"/>
      <c r="AV833" s="43"/>
    </row>
    <row r="834" ht="15.75" spans="1:48">
      <c r="A834" s="12">
        <v>830</v>
      </c>
      <c r="B834" s="44">
        <v>656</v>
      </c>
      <c r="C834" s="45" t="s">
        <v>195</v>
      </c>
      <c r="D834" s="46">
        <v>1</v>
      </c>
      <c r="E834" s="47" t="s">
        <v>113</v>
      </c>
      <c r="F834" s="48">
        <v>10.33</v>
      </c>
      <c r="G834" s="38">
        <v>1.67</v>
      </c>
      <c r="H834" s="39"/>
      <c r="I834" s="39"/>
      <c r="J834" s="39"/>
      <c r="K834" s="39">
        <v>0.17</v>
      </c>
      <c r="L834" s="39"/>
      <c r="M834" s="39"/>
      <c r="N834" s="39"/>
      <c r="O834" s="39"/>
      <c r="P834" s="39"/>
      <c r="Q834" s="39">
        <v>1.33</v>
      </c>
      <c r="R834" s="39"/>
      <c r="S834" s="39"/>
      <c r="T834" s="39"/>
      <c r="U834" s="39">
        <v>0.17</v>
      </c>
      <c r="V834" s="39"/>
      <c r="W834" s="39"/>
      <c r="X834" s="49" t="s">
        <v>199</v>
      </c>
      <c r="Y834" s="50">
        <v>3615.5</v>
      </c>
      <c r="Z834" s="51">
        <v>3600</v>
      </c>
      <c r="AA834" s="52">
        <f t="shared" si="18"/>
        <v>0.995712902779698</v>
      </c>
      <c r="AB834" s="12">
        <v>3600</v>
      </c>
      <c r="AC834" s="12">
        <v>0</v>
      </c>
      <c r="AD834" s="43"/>
      <c r="AE834" s="43"/>
      <c r="AF834" s="43"/>
      <c r="AG834" s="43"/>
      <c r="AH834" s="43"/>
      <c r="AI834" s="43"/>
      <c r="AJ834" s="43"/>
      <c r="AK834" s="43"/>
      <c r="AL834" s="43"/>
      <c r="AM834" s="43"/>
      <c r="AN834" s="43"/>
      <c r="AO834" s="43"/>
      <c r="AP834" s="43"/>
      <c r="AQ834" s="43"/>
      <c r="AR834" s="43"/>
      <c r="AS834" s="43"/>
      <c r="AT834" s="43"/>
      <c r="AU834" s="43"/>
      <c r="AV834" s="43"/>
    </row>
    <row r="835" ht="15.75" spans="1:48">
      <c r="A835" s="12">
        <v>831</v>
      </c>
      <c r="B835" s="44">
        <v>655</v>
      </c>
      <c r="C835" s="45" t="s">
        <v>198</v>
      </c>
      <c r="D835" s="46">
        <v>1</v>
      </c>
      <c r="E835" s="47" t="s">
        <v>113</v>
      </c>
      <c r="F835" s="48">
        <v>0.66</v>
      </c>
      <c r="G835" s="38">
        <v>0</v>
      </c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49" t="s">
        <v>199</v>
      </c>
      <c r="Y835" s="50">
        <v>231</v>
      </c>
      <c r="Z835" s="51">
        <v>240</v>
      </c>
      <c r="AA835" s="52">
        <f t="shared" si="18"/>
        <v>1.03896103896104</v>
      </c>
      <c r="AB835" s="12">
        <v>240</v>
      </c>
      <c r="AC835" s="12">
        <v>0</v>
      </c>
      <c r="AD835" s="43"/>
      <c r="AE835" s="43"/>
      <c r="AF835" s="43"/>
      <c r="AG835" s="43"/>
      <c r="AH835" s="43"/>
      <c r="AI835" s="43"/>
      <c r="AJ835" s="43"/>
      <c r="AK835" s="43"/>
      <c r="AL835" s="43"/>
      <c r="AM835" s="43"/>
      <c r="AN835" s="43"/>
      <c r="AO835" s="43"/>
      <c r="AP835" s="43"/>
      <c r="AQ835" s="43"/>
      <c r="AR835" s="43"/>
      <c r="AS835" s="43"/>
      <c r="AT835" s="43"/>
      <c r="AU835" s="43"/>
      <c r="AV835" s="43"/>
    </row>
    <row r="836" ht="15.75" spans="1:48">
      <c r="A836" s="12">
        <v>832</v>
      </c>
      <c r="B836" s="44">
        <v>655</v>
      </c>
      <c r="C836" s="45" t="s">
        <v>198</v>
      </c>
      <c r="D836" s="46"/>
      <c r="E836" s="47" t="s">
        <v>113</v>
      </c>
      <c r="F836" s="48">
        <v>9.83</v>
      </c>
      <c r="G836" s="38">
        <v>1.5</v>
      </c>
      <c r="H836" s="39"/>
      <c r="I836" s="39"/>
      <c r="J836" s="39"/>
      <c r="K836" s="39"/>
      <c r="L836" s="39"/>
      <c r="M836" s="39"/>
      <c r="N836" s="39"/>
      <c r="O836" s="39"/>
      <c r="P836" s="39"/>
      <c r="Q836" s="39">
        <v>1.33</v>
      </c>
      <c r="R836" s="39"/>
      <c r="S836" s="39"/>
      <c r="T836" s="39"/>
      <c r="U836" s="39">
        <v>0.17</v>
      </c>
      <c r="V836" s="39"/>
      <c r="W836" s="39"/>
      <c r="X836" s="49">
        <v>8014</v>
      </c>
      <c r="Y836" s="50">
        <v>5406.5</v>
      </c>
      <c r="Z836" s="51">
        <v>5400</v>
      </c>
      <c r="AA836" s="52">
        <f t="shared" si="18"/>
        <v>0.99879774345695</v>
      </c>
      <c r="AB836" s="12">
        <v>5400</v>
      </c>
      <c r="AC836" s="12">
        <v>0</v>
      </c>
      <c r="AD836" s="43"/>
      <c r="AE836" s="43"/>
      <c r="AF836" s="43"/>
      <c r="AG836" s="43"/>
      <c r="AH836" s="43"/>
      <c r="AI836" s="43"/>
      <c r="AJ836" s="43"/>
      <c r="AK836" s="43"/>
      <c r="AL836" s="43"/>
      <c r="AM836" s="43"/>
      <c r="AN836" s="43"/>
      <c r="AO836" s="43"/>
      <c r="AP836" s="43"/>
      <c r="AQ836" s="43"/>
      <c r="AR836" s="43"/>
      <c r="AS836" s="43"/>
      <c r="AT836" s="43"/>
      <c r="AU836" s="43"/>
      <c r="AV836" s="43"/>
    </row>
    <row r="837" ht="15.75" spans="1:48">
      <c r="A837" s="12">
        <v>833</v>
      </c>
      <c r="B837" s="44">
        <v>2649</v>
      </c>
      <c r="C837" s="45" t="s">
        <v>121</v>
      </c>
      <c r="D837" s="46"/>
      <c r="E837" s="47" t="s">
        <v>113</v>
      </c>
      <c r="F837" s="48">
        <v>2</v>
      </c>
      <c r="G837" s="38">
        <v>0</v>
      </c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49" t="s">
        <v>260</v>
      </c>
      <c r="Y837" s="50">
        <v>2600</v>
      </c>
      <c r="Z837" s="51">
        <v>2700</v>
      </c>
      <c r="AA837" s="52">
        <f t="shared" si="18"/>
        <v>1.03846153846154</v>
      </c>
      <c r="AB837" s="12">
        <v>2700</v>
      </c>
      <c r="AC837" s="12">
        <v>0</v>
      </c>
      <c r="AD837" s="43"/>
      <c r="AE837" s="43"/>
      <c r="AF837" s="43"/>
      <c r="AG837" s="43"/>
      <c r="AH837" s="43"/>
      <c r="AI837" s="43"/>
      <c r="AJ837" s="43"/>
      <c r="AK837" s="43"/>
      <c r="AL837" s="43"/>
      <c r="AM837" s="43"/>
      <c r="AN837" s="43"/>
      <c r="AO837" s="43"/>
      <c r="AP837" s="43"/>
      <c r="AQ837" s="43"/>
      <c r="AR837" s="43"/>
      <c r="AS837" s="43"/>
      <c r="AT837" s="43"/>
      <c r="AU837" s="43"/>
      <c r="AV837" s="43"/>
    </row>
    <row r="838" ht="15.75" spans="1:48">
      <c r="A838" s="12">
        <v>834</v>
      </c>
      <c r="B838" s="44">
        <v>4185</v>
      </c>
      <c r="C838" s="45" t="s">
        <v>72</v>
      </c>
      <c r="D838" s="46" t="s">
        <v>76</v>
      </c>
      <c r="E838" s="47" t="s">
        <v>50</v>
      </c>
      <c r="F838" s="48">
        <v>10</v>
      </c>
      <c r="G838" s="38">
        <v>2</v>
      </c>
      <c r="H838" s="39"/>
      <c r="I838" s="39"/>
      <c r="J838" s="39"/>
      <c r="K838" s="39">
        <v>0.5</v>
      </c>
      <c r="L838" s="39"/>
      <c r="M838" s="39"/>
      <c r="N838" s="39"/>
      <c r="O838" s="39"/>
      <c r="P838" s="39"/>
      <c r="Q838" s="39">
        <v>1.17</v>
      </c>
      <c r="R838" s="39"/>
      <c r="S838" s="39"/>
      <c r="T838" s="39"/>
      <c r="U838" s="39">
        <v>0.33</v>
      </c>
      <c r="V838" s="39"/>
      <c r="W838" s="39"/>
      <c r="X838" s="49" t="s">
        <v>77</v>
      </c>
      <c r="Y838" s="50">
        <v>60000</v>
      </c>
      <c r="Z838" s="51">
        <v>55360</v>
      </c>
      <c r="AA838" s="52">
        <f t="shared" si="18"/>
        <v>0.922666666666667</v>
      </c>
      <c r="AB838" s="12">
        <v>55248</v>
      </c>
      <c r="AC838" s="12">
        <v>112</v>
      </c>
      <c r="AD838" s="43"/>
      <c r="AE838" s="43"/>
      <c r="AF838" s="43"/>
      <c r="AG838" s="19">
        <v>112</v>
      </c>
      <c r="AH838" s="43"/>
      <c r="AI838" s="43"/>
      <c r="AJ838" s="43"/>
      <c r="AK838" s="43"/>
      <c r="AL838" s="43"/>
      <c r="AM838" s="43"/>
      <c r="AN838" s="43"/>
      <c r="AO838" s="43"/>
      <c r="AP838" s="43"/>
      <c r="AQ838" s="43"/>
      <c r="AR838" s="43"/>
      <c r="AS838" s="43"/>
      <c r="AT838" s="43"/>
      <c r="AU838" s="43"/>
      <c r="AV838" s="43"/>
    </row>
    <row r="839" ht="15.75" spans="1:48">
      <c r="A839" s="12">
        <v>835</v>
      </c>
      <c r="B839" s="44">
        <v>4185</v>
      </c>
      <c r="C839" s="45" t="s">
        <v>72</v>
      </c>
      <c r="D839" s="46" t="s">
        <v>207</v>
      </c>
      <c r="E839" s="47" t="s">
        <v>50</v>
      </c>
      <c r="F839" s="48">
        <v>9.83</v>
      </c>
      <c r="G839" s="38">
        <v>2.17</v>
      </c>
      <c r="H839" s="39"/>
      <c r="I839" s="39"/>
      <c r="J839" s="39"/>
      <c r="K839" s="39">
        <v>0.67</v>
      </c>
      <c r="L839" s="39"/>
      <c r="M839" s="39"/>
      <c r="N839" s="39"/>
      <c r="O839" s="39"/>
      <c r="P839" s="39"/>
      <c r="Q839" s="39">
        <v>1.17</v>
      </c>
      <c r="R839" s="39"/>
      <c r="S839" s="39"/>
      <c r="T839" s="39"/>
      <c r="U839" s="39">
        <v>0.33</v>
      </c>
      <c r="V839" s="39"/>
      <c r="W839" s="39"/>
      <c r="X839" s="49" t="s">
        <v>79</v>
      </c>
      <c r="Y839" s="50">
        <v>65467.8</v>
      </c>
      <c r="Z839" s="51">
        <v>56800</v>
      </c>
      <c r="AA839" s="52">
        <f t="shared" si="18"/>
        <v>0.867602088354886</v>
      </c>
      <c r="AB839" s="12">
        <v>56704</v>
      </c>
      <c r="AC839" s="12">
        <v>96</v>
      </c>
      <c r="AD839" s="43"/>
      <c r="AE839" s="43"/>
      <c r="AF839" s="43"/>
      <c r="AG839" s="19">
        <v>96</v>
      </c>
      <c r="AH839" s="43"/>
      <c r="AI839" s="43"/>
      <c r="AJ839" s="43"/>
      <c r="AK839" s="43"/>
      <c r="AL839" s="43"/>
      <c r="AM839" s="43"/>
      <c r="AN839" s="43"/>
      <c r="AO839" s="43"/>
      <c r="AP839" s="43"/>
      <c r="AQ839" s="43"/>
      <c r="AR839" s="43"/>
      <c r="AS839" s="43"/>
      <c r="AT839" s="43"/>
      <c r="AU839" s="43"/>
      <c r="AV839" s="43"/>
    </row>
    <row r="840" ht="15.75" spans="1:48">
      <c r="A840" s="12">
        <v>836</v>
      </c>
      <c r="B840" s="44">
        <v>4185</v>
      </c>
      <c r="C840" s="45" t="s">
        <v>72</v>
      </c>
      <c r="D840" s="46" t="s">
        <v>78</v>
      </c>
      <c r="E840" s="47" t="s">
        <v>50</v>
      </c>
      <c r="F840" s="48">
        <v>9.83</v>
      </c>
      <c r="G840" s="38">
        <v>2.17</v>
      </c>
      <c r="H840" s="39"/>
      <c r="I840" s="39"/>
      <c r="J840" s="39"/>
      <c r="K840" s="39">
        <v>0.67</v>
      </c>
      <c r="L840" s="39"/>
      <c r="M840" s="39"/>
      <c r="N840" s="39"/>
      <c r="O840" s="39"/>
      <c r="P840" s="39"/>
      <c r="Q840" s="39">
        <v>1.17</v>
      </c>
      <c r="R840" s="39"/>
      <c r="S840" s="39"/>
      <c r="T840" s="39"/>
      <c r="U840" s="39">
        <v>0.33</v>
      </c>
      <c r="V840" s="39"/>
      <c r="W840" s="39"/>
      <c r="X840" s="49" t="s">
        <v>79</v>
      </c>
      <c r="Y840" s="50">
        <v>65467.8</v>
      </c>
      <c r="Z840" s="51">
        <v>57232</v>
      </c>
      <c r="AA840" s="52">
        <f t="shared" si="18"/>
        <v>0.874200752125472</v>
      </c>
      <c r="AB840" s="12">
        <v>57168</v>
      </c>
      <c r="AC840" s="12">
        <v>64</v>
      </c>
      <c r="AD840" s="43"/>
      <c r="AE840" s="43"/>
      <c r="AF840" s="43"/>
      <c r="AG840" s="19">
        <v>64</v>
      </c>
      <c r="AH840" s="43"/>
      <c r="AI840" s="43"/>
      <c r="AJ840" s="43"/>
      <c r="AK840" s="43"/>
      <c r="AL840" s="43"/>
      <c r="AM840" s="43"/>
      <c r="AN840" s="43"/>
      <c r="AO840" s="43"/>
      <c r="AP840" s="43"/>
      <c r="AQ840" s="43"/>
      <c r="AR840" s="43"/>
      <c r="AS840" s="43"/>
      <c r="AT840" s="43"/>
      <c r="AU840" s="43"/>
      <c r="AV840" s="43"/>
    </row>
    <row r="841" ht="15.75" spans="1:48">
      <c r="A841" s="12">
        <v>837</v>
      </c>
      <c r="B841" s="44">
        <v>3268</v>
      </c>
      <c r="C841" s="45" t="s">
        <v>80</v>
      </c>
      <c r="D841" s="46" t="s">
        <v>73</v>
      </c>
      <c r="E841" s="47" t="s">
        <v>50</v>
      </c>
      <c r="F841" s="48">
        <v>3.5</v>
      </c>
      <c r="G841" s="38">
        <v>1.84</v>
      </c>
      <c r="H841" s="39"/>
      <c r="I841" s="39"/>
      <c r="J841" s="39"/>
      <c r="K841" s="39"/>
      <c r="L841" s="39"/>
      <c r="M841" s="39"/>
      <c r="N841" s="39"/>
      <c r="O841" s="39"/>
      <c r="P841" s="39"/>
      <c r="Q841" s="39">
        <v>1.17</v>
      </c>
      <c r="R841" s="39"/>
      <c r="S841" s="39"/>
      <c r="T841" s="39">
        <v>0.5</v>
      </c>
      <c r="U841" s="39">
        <v>0.17</v>
      </c>
      <c r="V841" s="39"/>
      <c r="W841" s="39"/>
      <c r="X841" s="49" t="s">
        <v>251</v>
      </c>
      <c r="Y841" s="50">
        <v>17500</v>
      </c>
      <c r="Z841" s="51">
        <v>17208</v>
      </c>
      <c r="AA841" s="52">
        <f t="shared" si="18"/>
        <v>0.983314285714286</v>
      </c>
      <c r="AB841" s="12">
        <v>17208</v>
      </c>
      <c r="AC841" s="12">
        <v>0</v>
      </c>
      <c r="AD841" s="43"/>
      <c r="AE841" s="43"/>
      <c r="AF841" s="43"/>
      <c r="AG841" s="43"/>
      <c r="AH841" s="43"/>
      <c r="AI841" s="43"/>
      <c r="AJ841" s="43"/>
      <c r="AK841" s="43"/>
      <c r="AL841" s="43"/>
      <c r="AM841" s="43"/>
      <c r="AN841" s="43"/>
      <c r="AO841" s="43"/>
      <c r="AP841" s="43"/>
      <c r="AQ841" s="43"/>
      <c r="AR841" s="43"/>
      <c r="AS841" s="43"/>
      <c r="AT841" s="43"/>
      <c r="AU841" s="43"/>
      <c r="AV841" s="43"/>
    </row>
    <row r="842" ht="15.75" spans="1:48">
      <c r="A842" s="12">
        <v>838</v>
      </c>
      <c r="B842" s="44">
        <v>3268</v>
      </c>
      <c r="C842" s="45" t="s">
        <v>80</v>
      </c>
      <c r="D842" s="46" t="s">
        <v>73</v>
      </c>
      <c r="E842" s="47" t="s">
        <v>50</v>
      </c>
      <c r="F842" s="48">
        <v>4.5</v>
      </c>
      <c r="G842" s="38">
        <v>0.5</v>
      </c>
      <c r="H842" s="39"/>
      <c r="I842" s="39"/>
      <c r="J842" s="39"/>
      <c r="K842" s="39">
        <v>0.5</v>
      </c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49" t="s">
        <v>74</v>
      </c>
      <c r="Y842" s="50">
        <v>7312.5</v>
      </c>
      <c r="Z842" s="51">
        <v>7472</v>
      </c>
      <c r="AA842" s="52">
        <f t="shared" si="18"/>
        <v>1.02181196581197</v>
      </c>
      <c r="AB842" s="12">
        <v>7456</v>
      </c>
      <c r="AC842" s="12">
        <v>16</v>
      </c>
      <c r="AD842" s="43"/>
      <c r="AE842" s="43"/>
      <c r="AF842" s="43"/>
      <c r="AG842" s="19">
        <v>16</v>
      </c>
      <c r="AH842" s="43"/>
      <c r="AI842" s="43"/>
      <c r="AJ842" s="43"/>
      <c r="AK842" s="43"/>
      <c r="AL842" s="43"/>
      <c r="AM842" s="43"/>
      <c r="AN842" s="43"/>
      <c r="AO842" s="43"/>
      <c r="AP842" s="43"/>
      <c r="AQ842" s="43"/>
      <c r="AR842" s="43"/>
      <c r="AS842" s="43"/>
      <c r="AT842" s="43"/>
      <c r="AU842" s="43"/>
      <c r="AV842" s="43"/>
    </row>
    <row r="843" ht="15.75" spans="1:48">
      <c r="A843" s="12">
        <v>839</v>
      </c>
      <c r="B843" s="44">
        <v>2959</v>
      </c>
      <c r="C843" s="45" t="s">
        <v>86</v>
      </c>
      <c r="D843" s="46"/>
      <c r="E843" s="47" t="s">
        <v>50</v>
      </c>
      <c r="F843" s="48">
        <v>10.83</v>
      </c>
      <c r="G843" s="38">
        <v>1.17</v>
      </c>
      <c r="H843" s="39"/>
      <c r="I843" s="39"/>
      <c r="J843" s="39"/>
      <c r="K843" s="39"/>
      <c r="L843" s="39"/>
      <c r="M843" s="39"/>
      <c r="N843" s="39"/>
      <c r="O843" s="39"/>
      <c r="P843" s="39"/>
      <c r="Q843" s="39">
        <v>1.17</v>
      </c>
      <c r="R843" s="39"/>
      <c r="S843" s="39"/>
      <c r="T843" s="39"/>
      <c r="U843" s="39"/>
      <c r="V843" s="39"/>
      <c r="W843" s="39"/>
      <c r="X843" s="49" t="s">
        <v>140</v>
      </c>
      <c r="Y843" s="50">
        <v>0</v>
      </c>
      <c r="Z843" s="51"/>
      <c r="AA843" s="52">
        <f>IFERROR(Z843/Y843,0)</f>
        <v>0</v>
      </c>
      <c r="AB843" s="12">
        <v>0</v>
      </c>
      <c r="AC843" s="12">
        <v>0</v>
      </c>
      <c r="AD843" s="43"/>
      <c r="AE843" s="43"/>
      <c r="AF843" s="43"/>
      <c r="AG843" s="43"/>
      <c r="AH843" s="43"/>
      <c r="AI843" s="43"/>
      <c r="AJ843" s="43"/>
      <c r="AK843" s="43"/>
      <c r="AL843" s="43"/>
      <c r="AM843" s="43"/>
      <c r="AN843" s="43"/>
      <c r="AO843" s="43"/>
      <c r="AP843" s="43"/>
      <c r="AQ843" s="43"/>
      <c r="AR843" s="43"/>
      <c r="AS843" s="43"/>
      <c r="AT843" s="43"/>
      <c r="AU843" s="43"/>
      <c r="AV843" s="43"/>
    </row>
    <row r="844" ht="15.75" spans="1:48">
      <c r="A844" s="12">
        <v>840</v>
      </c>
      <c r="B844" s="44">
        <v>3268</v>
      </c>
      <c r="C844" s="45" t="s">
        <v>80</v>
      </c>
      <c r="D844" s="46" t="s">
        <v>73</v>
      </c>
      <c r="E844" s="47" t="s">
        <v>50</v>
      </c>
      <c r="F844" s="48">
        <v>1.5</v>
      </c>
      <c r="G844" s="38">
        <v>0.17</v>
      </c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>
        <v>0.17</v>
      </c>
      <c r="V844" s="39"/>
      <c r="W844" s="39"/>
      <c r="X844" s="49" t="s">
        <v>261</v>
      </c>
      <c r="Y844" s="50">
        <v>2437.5</v>
      </c>
      <c r="Z844" s="51">
        <v>2400</v>
      </c>
      <c r="AA844" s="52">
        <f t="shared" ref="AA844:AA881" si="19">IFERROR(Z844/Y844,0)</f>
        <v>0.984615384615385</v>
      </c>
      <c r="AB844" s="12">
        <v>2400</v>
      </c>
      <c r="AC844" s="12">
        <v>0</v>
      </c>
      <c r="AD844" s="43"/>
      <c r="AE844" s="43"/>
      <c r="AF844" s="43"/>
      <c r="AG844" s="43"/>
      <c r="AH844" s="43"/>
      <c r="AI844" s="43"/>
      <c r="AJ844" s="43"/>
      <c r="AK844" s="43"/>
      <c r="AL844" s="43"/>
      <c r="AM844" s="43"/>
      <c r="AN844" s="43"/>
      <c r="AO844" s="43"/>
      <c r="AP844" s="43"/>
      <c r="AQ844" s="43"/>
      <c r="AR844" s="43"/>
      <c r="AS844" s="43"/>
      <c r="AT844" s="43"/>
      <c r="AU844" s="43"/>
      <c r="AV844" s="43"/>
    </row>
    <row r="845" ht="15.75" spans="1:48">
      <c r="A845" s="12">
        <v>841</v>
      </c>
      <c r="B845" s="44">
        <v>4173</v>
      </c>
      <c r="C845" s="45" t="s">
        <v>75</v>
      </c>
      <c r="D845" s="46" t="s">
        <v>81</v>
      </c>
      <c r="E845" s="47" t="s">
        <v>50</v>
      </c>
      <c r="F845" s="48">
        <v>10.33</v>
      </c>
      <c r="G845" s="38">
        <v>1.67</v>
      </c>
      <c r="H845" s="39"/>
      <c r="I845" s="39"/>
      <c r="J845" s="39"/>
      <c r="K845" s="39">
        <v>0.33</v>
      </c>
      <c r="L845" s="39"/>
      <c r="M845" s="39"/>
      <c r="N845" s="39"/>
      <c r="O845" s="39"/>
      <c r="P845" s="39"/>
      <c r="Q845" s="39">
        <v>1.17</v>
      </c>
      <c r="R845" s="39"/>
      <c r="S845" s="39"/>
      <c r="T845" s="39"/>
      <c r="U845" s="39">
        <v>0.17</v>
      </c>
      <c r="V845" s="39"/>
      <c r="W845" s="39"/>
      <c r="X845" s="49" t="s">
        <v>201</v>
      </c>
      <c r="Y845" s="50">
        <v>16786.25</v>
      </c>
      <c r="Z845" s="51">
        <v>16388</v>
      </c>
      <c r="AA845" s="52">
        <f t="shared" si="19"/>
        <v>0.976275225258768</v>
      </c>
      <c r="AB845" s="12">
        <v>16388</v>
      </c>
      <c r="AC845" s="12">
        <v>0</v>
      </c>
      <c r="AD845" s="43"/>
      <c r="AE845" s="43"/>
      <c r="AF845" s="43"/>
      <c r="AG845" s="43"/>
      <c r="AH845" s="43"/>
      <c r="AI845" s="43"/>
      <c r="AJ845" s="43"/>
      <c r="AK845" s="43"/>
      <c r="AL845" s="43"/>
      <c r="AM845" s="43"/>
      <c r="AN845" s="43"/>
      <c r="AO845" s="43"/>
      <c r="AP845" s="43"/>
      <c r="AQ845" s="43"/>
      <c r="AR845" s="43"/>
      <c r="AS845" s="43"/>
      <c r="AT845" s="43"/>
      <c r="AU845" s="43"/>
      <c r="AV845" s="43"/>
    </row>
    <row r="846" ht="15.75" spans="1:48">
      <c r="A846" s="12">
        <v>842</v>
      </c>
      <c r="B846" s="44">
        <v>4478</v>
      </c>
      <c r="C846" s="45" t="s">
        <v>128</v>
      </c>
      <c r="D846" s="46" t="s">
        <v>129</v>
      </c>
      <c r="E846" s="47" t="s">
        <v>209</v>
      </c>
      <c r="F846" s="48">
        <v>10.67</v>
      </c>
      <c r="G846" s="38">
        <v>1.34</v>
      </c>
      <c r="H846" s="39"/>
      <c r="I846" s="39"/>
      <c r="J846" s="39"/>
      <c r="K846" s="39"/>
      <c r="L846" s="39"/>
      <c r="M846" s="39"/>
      <c r="N846" s="39"/>
      <c r="O846" s="39"/>
      <c r="P846" s="39"/>
      <c r="Q846" s="39">
        <v>1.17</v>
      </c>
      <c r="R846" s="39"/>
      <c r="S846" s="39"/>
      <c r="T846" s="39"/>
      <c r="U846" s="39">
        <v>0.17</v>
      </c>
      <c r="V846" s="39"/>
      <c r="W846" s="39"/>
      <c r="X846" s="49" t="s">
        <v>242</v>
      </c>
      <c r="Y846" s="50">
        <v>20486.4</v>
      </c>
      <c r="Z846" s="51">
        <v>17868</v>
      </c>
      <c r="AA846" s="52">
        <f t="shared" si="19"/>
        <v>0.872188378631678</v>
      </c>
      <c r="AB846" s="12">
        <v>17848</v>
      </c>
      <c r="AC846" s="12">
        <v>20</v>
      </c>
      <c r="AD846" s="43"/>
      <c r="AE846" s="43"/>
      <c r="AF846" s="43"/>
      <c r="AG846" s="19">
        <v>20</v>
      </c>
      <c r="AH846" s="43"/>
      <c r="AI846" s="43"/>
      <c r="AJ846" s="43"/>
      <c r="AK846" s="43"/>
      <c r="AL846" s="43"/>
      <c r="AM846" s="43"/>
      <c r="AN846" s="43"/>
      <c r="AO846" s="43"/>
      <c r="AP846" s="43"/>
      <c r="AQ846" s="43"/>
      <c r="AR846" s="43"/>
      <c r="AS846" s="43"/>
      <c r="AT846" s="43"/>
      <c r="AU846" s="43"/>
      <c r="AV846" s="43"/>
    </row>
    <row r="847" ht="15.75" spans="1:48">
      <c r="A847" s="12">
        <v>843</v>
      </c>
      <c r="B847" s="44">
        <v>4344</v>
      </c>
      <c r="C847" s="45" t="s">
        <v>85</v>
      </c>
      <c r="D847" s="46" t="s">
        <v>138</v>
      </c>
      <c r="E847" s="47" t="s">
        <v>50</v>
      </c>
      <c r="F847" s="48">
        <v>3.83</v>
      </c>
      <c r="G847" s="38">
        <v>1.84</v>
      </c>
      <c r="H847" s="39"/>
      <c r="I847" s="39"/>
      <c r="J847" s="39">
        <v>0.5</v>
      </c>
      <c r="K847" s="39"/>
      <c r="L847" s="39"/>
      <c r="M847" s="39"/>
      <c r="N847" s="39"/>
      <c r="O847" s="39"/>
      <c r="P847" s="39"/>
      <c r="Q847" s="39">
        <v>1.17</v>
      </c>
      <c r="R847" s="39"/>
      <c r="S847" s="39"/>
      <c r="T847" s="39"/>
      <c r="U847" s="39">
        <v>0.17</v>
      </c>
      <c r="V847" s="39"/>
      <c r="W847" s="39"/>
      <c r="X847" s="49" t="s">
        <v>82</v>
      </c>
      <c r="Y847" s="50">
        <v>6223.75</v>
      </c>
      <c r="Z847" s="51">
        <v>6040</v>
      </c>
      <c r="AA847" s="52">
        <f t="shared" si="19"/>
        <v>0.970475999196626</v>
      </c>
      <c r="AB847" s="12">
        <v>6040</v>
      </c>
      <c r="AC847" s="12">
        <v>0</v>
      </c>
      <c r="AD847" s="43"/>
      <c r="AE847" s="43"/>
      <c r="AF847" s="43"/>
      <c r="AG847" s="43"/>
      <c r="AH847" s="43"/>
      <c r="AI847" s="43"/>
      <c r="AJ847" s="43"/>
      <c r="AK847" s="43"/>
      <c r="AL847" s="43"/>
      <c r="AM847" s="43"/>
      <c r="AN847" s="43"/>
      <c r="AO847" s="43"/>
      <c r="AP847" s="43"/>
      <c r="AQ847" s="43"/>
      <c r="AR847" s="43"/>
      <c r="AS847" s="43"/>
      <c r="AT847" s="43"/>
      <c r="AU847" s="43"/>
      <c r="AV847" s="43"/>
    </row>
    <row r="848" ht="15.75" spans="1:48">
      <c r="A848" s="12">
        <v>844</v>
      </c>
      <c r="B848" s="44">
        <v>4344</v>
      </c>
      <c r="C848" s="45" t="s">
        <v>85</v>
      </c>
      <c r="D848" s="46" t="s">
        <v>138</v>
      </c>
      <c r="E848" s="47" t="s">
        <v>50</v>
      </c>
      <c r="F848" s="48">
        <v>6</v>
      </c>
      <c r="G848" s="38">
        <v>0.34</v>
      </c>
      <c r="H848" s="39"/>
      <c r="I848" s="39"/>
      <c r="J848" s="39">
        <v>0.17</v>
      </c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>
        <v>0.17</v>
      </c>
      <c r="V848" s="39"/>
      <c r="W848" s="39"/>
      <c r="X848" s="49" t="s">
        <v>262</v>
      </c>
      <c r="Y848" s="50">
        <v>9150</v>
      </c>
      <c r="Z848" s="51">
        <v>7400</v>
      </c>
      <c r="AA848" s="52">
        <f t="shared" si="19"/>
        <v>0.808743169398907</v>
      </c>
      <c r="AB848" s="12">
        <v>7400</v>
      </c>
      <c r="AC848" s="12">
        <v>0</v>
      </c>
      <c r="AD848" s="43"/>
      <c r="AE848" s="43"/>
      <c r="AF848" s="43"/>
      <c r="AG848" s="43"/>
      <c r="AH848" s="43"/>
      <c r="AI848" s="43"/>
      <c r="AJ848" s="43"/>
      <c r="AK848" s="43"/>
      <c r="AL848" s="43"/>
      <c r="AM848" s="43"/>
      <c r="AN848" s="43"/>
      <c r="AO848" s="43"/>
      <c r="AP848" s="43"/>
      <c r="AQ848" s="43"/>
      <c r="AR848" s="43"/>
      <c r="AS848" s="43"/>
      <c r="AT848" s="43"/>
      <c r="AU848" s="43"/>
      <c r="AV848" s="43"/>
    </row>
    <row r="849" ht="15.75" spans="1:48">
      <c r="A849" s="12">
        <v>845</v>
      </c>
      <c r="B849" s="44">
        <v>959</v>
      </c>
      <c r="C849" s="45" t="s">
        <v>168</v>
      </c>
      <c r="D849" s="46">
        <v>14</v>
      </c>
      <c r="E849" s="47" t="s">
        <v>93</v>
      </c>
      <c r="F849" s="48">
        <v>4.2</v>
      </c>
      <c r="G849" s="38">
        <v>0.17</v>
      </c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>
        <v>0.17</v>
      </c>
      <c r="V849" s="39"/>
      <c r="W849" s="39"/>
      <c r="X849" s="49">
        <v>8484</v>
      </c>
      <c r="Y849" s="50">
        <v>1814.4</v>
      </c>
      <c r="Z849" s="51">
        <v>1650</v>
      </c>
      <c r="AA849" s="52">
        <f t="shared" si="19"/>
        <v>0.909391534391534</v>
      </c>
      <c r="AB849" s="12">
        <v>1650</v>
      </c>
      <c r="AC849" s="12">
        <v>0</v>
      </c>
      <c r="AD849" s="43"/>
      <c r="AE849" s="43"/>
      <c r="AF849" s="43"/>
      <c r="AG849" s="43"/>
      <c r="AH849" s="43"/>
      <c r="AI849" s="43"/>
      <c r="AJ849" s="43"/>
      <c r="AK849" s="43"/>
      <c r="AL849" s="43"/>
      <c r="AM849" s="43"/>
      <c r="AN849" s="43"/>
      <c r="AO849" s="43"/>
      <c r="AP849" s="43"/>
      <c r="AQ849" s="43"/>
      <c r="AR849" s="43"/>
      <c r="AS849" s="43"/>
      <c r="AT849" s="43"/>
      <c r="AU849" s="43"/>
      <c r="AV849" s="43"/>
    </row>
    <row r="850" ht="15.75" spans="1:48">
      <c r="A850" s="12">
        <v>846</v>
      </c>
      <c r="B850" s="44">
        <v>4310</v>
      </c>
      <c r="C850" s="45" t="s">
        <v>99</v>
      </c>
      <c r="D850" s="46">
        <v>5</v>
      </c>
      <c r="E850" s="47" t="s">
        <v>50</v>
      </c>
      <c r="F850" s="48">
        <v>6.5</v>
      </c>
      <c r="G850" s="38">
        <v>2.01</v>
      </c>
      <c r="H850" s="39"/>
      <c r="I850" s="39"/>
      <c r="J850" s="39"/>
      <c r="K850" s="39"/>
      <c r="L850" s="39"/>
      <c r="M850" s="39"/>
      <c r="N850" s="39"/>
      <c r="O850" s="39"/>
      <c r="P850" s="39"/>
      <c r="Q850" s="39">
        <v>1.17</v>
      </c>
      <c r="R850" s="39"/>
      <c r="S850" s="39"/>
      <c r="T850" s="39">
        <v>0.67</v>
      </c>
      <c r="U850" s="39">
        <v>0.17</v>
      </c>
      <c r="V850" s="39"/>
      <c r="W850" s="39"/>
      <c r="X850" s="49">
        <v>5770</v>
      </c>
      <c r="Y850" s="50">
        <v>3932.5</v>
      </c>
      <c r="Z850" s="51">
        <v>4017</v>
      </c>
      <c r="AA850" s="52">
        <f t="shared" si="19"/>
        <v>1.02148760330579</v>
      </c>
      <c r="AB850" s="12">
        <v>3840</v>
      </c>
      <c r="AC850" s="12">
        <v>177</v>
      </c>
      <c r="AD850" s="19">
        <v>177</v>
      </c>
      <c r="AE850" s="43"/>
      <c r="AF850" s="43"/>
      <c r="AG850" s="43"/>
      <c r="AH850" s="43"/>
      <c r="AI850" s="43"/>
      <c r="AJ850" s="43"/>
      <c r="AK850" s="43"/>
      <c r="AL850" s="43"/>
      <c r="AM850" s="43"/>
      <c r="AN850" s="43"/>
      <c r="AO850" s="43"/>
      <c r="AP850" s="43"/>
      <c r="AQ850" s="43"/>
      <c r="AR850" s="43"/>
      <c r="AS850" s="43"/>
      <c r="AT850" s="43"/>
      <c r="AU850" s="43"/>
      <c r="AV850" s="43"/>
    </row>
    <row r="851" ht="15.75" spans="1:48">
      <c r="A851" s="12">
        <v>847</v>
      </c>
      <c r="B851" s="44">
        <v>4412</v>
      </c>
      <c r="C851" s="45" t="s">
        <v>177</v>
      </c>
      <c r="D851" s="46">
        <v>16</v>
      </c>
      <c r="E851" s="47" t="s">
        <v>50</v>
      </c>
      <c r="F851" s="48">
        <v>4.17</v>
      </c>
      <c r="G851" s="38">
        <v>1.5</v>
      </c>
      <c r="H851" s="39"/>
      <c r="I851" s="39"/>
      <c r="J851" s="39"/>
      <c r="K851" s="39"/>
      <c r="L851" s="39"/>
      <c r="M851" s="39"/>
      <c r="N851" s="39"/>
      <c r="O851" s="39"/>
      <c r="P851" s="39"/>
      <c r="Q851" s="39">
        <v>0.83</v>
      </c>
      <c r="R851" s="39"/>
      <c r="S851" s="39">
        <v>0.33</v>
      </c>
      <c r="T851" s="39">
        <v>0.17</v>
      </c>
      <c r="U851" s="39">
        <v>0.17</v>
      </c>
      <c r="V851" s="39"/>
      <c r="W851" s="39"/>
      <c r="X851" s="49">
        <v>7630</v>
      </c>
      <c r="Y851" s="50">
        <v>750.6</v>
      </c>
      <c r="Z851" s="51">
        <v>720</v>
      </c>
      <c r="AA851" s="52">
        <f t="shared" si="19"/>
        <v>0.959232613908873</v>
      </c>
      <c r="AB851" s="12">
        <v>692</v>
      </c>
      <c r="AC851" s="12">
        <v>28</v>
      </c>
      <c r="AD851" s="19">
        <v>28</v>
      </c>
      <c r="AE851" s="43"/>
      <c r="AF851" s="43"/>
      <c r="AG851" s="43"/>
      <c r="AH851" s="43"/>
      <c r="AI851" s="43"/>
      <c r="AJ851" s="43"/>
      <c r="AK851" s="43"/>
      <c r="AL851" s="43"/>
      <c r="AM851" s="43"/>
      <c r="AN851" s="43"/>
      <c r="AO851" s="43"/>
      <c r="AP851" s="43"/>
      <c r="AQ851" s="43"/>
      <c r="AR851" s="43"/>
      <c r="AS851" s="43"/>
      <c r="AT851" s="43"/>
      <c r="AU851" s="43"/>
      <c r="AV851" s="43"/>
    </row>
    <row r="852" ht="15.75" spans="1:48">
      <c r="A852" s="12">
        <v>848</v>
      </c>
      <c r="B852" s="44">
        <v>3277</v>
      </c>
      <c r="C852" s="45" t="s">
        <v>106</v>
      </c>
      <c r="D852" s="46">
        <v>20</v>
      </c>
      <c r="E852" s="47" t="s">
        <v>50</v>
      </c>
      <c r="F852" s="48">
        <v>3</v>
      </c>
      <c r="G852" s="38">
        <v>9</v>
      </c>
      <c r="H852" s="39"/>
      <c r="I852" s="39"/>
      <c r="J852" s="39"/>
      <c r="K852" s="39"/>
      <c r="L852" s="39"/>
      <c r="M852" s="39"/>
      <c r="N852" s="39"/>
      <c r="O852" s="39"/>
      <c r="P852" s="39"/>
      <c r="Q852" s="39">
        <v>1.17</v>
      </c>
      <c r="R852" s="39"/>
      <c r="S852" s="39">
        <v>7.83</v>
      </c>
      <c r="T852" s="39"/>
      <c r="U852" s="39"/>
      <c r="V852" s="39"/>
      <c r="W852" s="39"/>
      <c r="X852" s="49">
        <v>8052</v>
      </c>
      <c r="Y852" s="50">
        <v>108</v>
      </c>
      <c r="Z852" s="51">
        <v>97</v>
      </c>
      <c r="AA852" s="52">
        <f t="shared" si="19"/>
        <v>0.898148148148148</v>
      </c>
      <c r="AB852" s="12">
        <v>97</v>
      </c>
      <c r="AC852" s="12">
        <v>0</v>
      </c>
      <c r="AD852" s="43"/>
      <c r="AE852" s="43"/>
      <c r="AF852" s="43"/>
      <c r="AG852" s="43"/>
      <c r="AH852" s="43"/>
      <c r="AI852" s="43"/>
      <c r="AJ852" s="43"/>
      <c r="AK852" s="43"/>
      <c r="AL852" s="43"/>
      <c r="AM852" s="43"/>
      <c r="AN852" s="43"/>
      <c r="AO852" s="43"/>
      <c r="AP852" s="43"/>
      <c r="AQ852" s="43"/>
      <c r="AR852" s="43"/>
      <c r="AS852" s="43"/>
      <c r="AT852" s="43"/>
      <c r="AU852" s="43"/>
      <c r="AV852" s="43"/>
    </row>
    <row r="853" ht="15.75" spans="1:48">
      <c r="A853" s="12">
        <v>849</v>
      </c>
      <c r="B853" s="44" t="s">
        <v>185</v>
      </c>
      <c r="C853" s="45" t="s">
        <v>179</v>
      </c>
      <c r="D853" s="46">
        <v>2</v>
      </c>
      <c r="E853" s="47" t="s">
        <v>50</v>
      </c>
      <c r="F853" s="48">
        <v>1</v>
      </c>
      <c r="G853" s="38">
        <v>0</v>
      </c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49">
        <v>1080</v>
      </c>
      <c r="Y853" s="50">
        <v>660</v>
      </c>
      <c r="Z853" s="51">
        <v>581</v>
      </c>
      <c r="AA853" s="52">
        <f t="shared" si="19"/>
        <v>0.88030303030303</v>
      </c>
      <c r="AB853" s="12">
        <v>581</v>
      </c>
      <c r="AC853" s="12">
        <v>0</v>
      </c>
      <c r="AD853" s="43"/>
      <c r="AE853" s="43"/>
      <c r="AF853" s="43"/>
      <c r="AG853" s="43"/>
      <c r="AH853" s="43"/>
      <c r="AI853" s="43"/>
      <c r="AJ853" s="43"/>
      <c r="AK853" s="43"/>
      <c r="AL853" s="43"/>
      <c r="AM853" s="43"/>
      <c r="AN853" s="43"/>
      <c r="AO853" s="43"/>
      <c r="AP853" s="43"/>
      <c r="AQ853" s="43"/>
      <c r="AR853" s="43"/>
      <c r="AS853" s="43"/>
      <c r="AT853" s="43"/>
      <c r="AU853" s="43"/>
      <c r="AV853" s="43"/>
    </row>
    <row r="854" ht="15.75" spans="1:48">
      <c r="A854" s="12">
        <v>850</v>
      </c>
      <c r="B854" s="57">
        <v>4360</v>
      </c>
      <c r="C854" s="58" t="s">
        <v>97</v>
      </c>
      <c r="D854" s="59">
        <v>15</v>
      </c>
      <c r="E854" s="47" t="s">
        <v>50</v>
      </c>
      <c r="F854" s="48">
        <v>7</v>
      </c>
      <c r="G854" s="38">
        <v>3</v>
      </c>
      <c r="H854" s="39"/>
      <c r="I854" s="39"/>
      <c r="J854" s="39"/>
      <c r="K854" s="39">
        <v>0.33</v>
      </c>
      <c r="L854" s="39"/>
      <c r="M854" s="39"/>
      <c r="N854" s="39"/>
      <c r="O854" s="39"/>
      <c r="P854" s="39"/>
      <c r="Q854" s="39">
        <v>1.17</v>
      </c>
      <c r="R854" s="39"/>
      <c r="S854" s="39"/>
      <c r="T854" s="39">
        <v>1.33</v>
      </c>
      <c r="U854" s="39">
        <v>0.17</v>
      </c>
      <c r="V854" s="39"/>
      <c r="W854" s="39"/>
      <c r="X854" s="49">
        <v>3880</v>
      </c>
      <c r="Y854" s="50">
        <v>2800</v>
      </c>
      <c r="Z854" s="51">
        <v>2280</v>
      </c>
      <c r="AA854" s="52">
        <f t="shared" si="19"/>
        <v>0.814285714285714</v>
      </c>
      <c r="AB854" s="12">
        <v>2049</v>
      </c>
      <c r="AC854" s="12">
        <v>231</v>
      </c>
      <c r="AD854" s="19">
        <v>231</v>
      </c>
      <c r="AE854" s="43"/>
      <c r="AF854" s="43"/>
      <c r="AG854" s="43"/>
      <c r="AH854" s="43"/>
      <c r="AI854" s="43"/>
      <c r="AJ854" s="43"/>
      <c r="AK854" s="43"/>
      <c r="AL854" s="43"/>
      <c r="AM854" s="43"/>
      <c r="AN854" s="43"/>
      <c r="AO854" s="43"/>
      <c r="AP854" s="43"/>
      <c r="AQ854" s="43"/>
      <c r="AR854" s="43"/>
      <c r="AS854" s="43"/>
      <c r="AT854" s="43"/>
      <c r="AU854" s="43"/>
      <c r="AV854" s="43"/>
    </row>
    <row r="855" ht="15.75" spans="1:48">
      <c r="A855" s="12">
        <v>851</v>
      </c>
      <c r="B855" s="44">
        <v>4490</v>
      </c>
      <c r="C855" s="45" t="s">
        <v>91</v>
      </c>
      <c r="D855" s="46">
        <v>6</v>
      </c>
      <c r="E855" s="47" t="s">
        <v>50</v>
      </c>
      <c r="F855" s="48">
        <v>7.32</v>
      </c>
      <c r="G855" s="38">
        <v>2.51</v>
      </c>
      <c r="H855" s="39"/>
      <c r="I855" s="39"/>
      <c r="J855" s="39"/>
      <c r="K855" s="39">
        <v>0.67</v>
      </c>
      <c r="L855" s="39"/>
      <c r="M855" s="39"/>
      <c r="N855" s="39"/>
      <c r="O855" s="39"/>
      <c r="P855" s="39"/>
      <c r="Q855" s="39">
        <v>1.17</v>
      </c>
      <c r="R855" s="39"/>
      <c r="S855" s="39"/>
      <c r="T855" s="39">
        <v>0.5</v>
      </c>
      <c r="U855" s="39">
        <v>0.17</v>
      </c>
      <c r="V855" s="39"/>
      <c r="W855" s="39"/>
      <c r="X855" s="49">
        <v>8235</v>
      </c>
      <c r="Y855" s="50">
        <v>4831.2</v>
      </c>
      <c r="Z855" s="51">
        <v>5060</v>
      </c>
      <c r="AA855" s="52">
        <f t="shared" si="19"/>
        <v>1.04735883424408</v>
      </c>
      <c r="AB855" s="12">
        <v>4980</v>
      </c>
      <c r="AC855" s="12">
        <v>80</v>
      </c>
      <c r="AD855" s="19">
        <v>80</v>
      </c>
      <c r="AE855" s="43"/>
      <c r="AF855" s="43"/>
      <c r="AG855" s="43"/>
      <c r="AH855" s="43"/>
      <c r="AI855" s="43"/>
      <c r="AJ855" s="43"/>
      <c r="AK855" s="43"/>
      <c r="AL855" s="43"/>
      <c r="AM855" s="43"/>
      <c r="AN855" s="43"/>
      <c r="AO855" s="43"/>
      <c r="AP855" s="43"/>
      <c r="AQ855" s="43"/>
      <c r="AR855" s="43"/>
      <c r="AS855" s="43"/>
      <c r="AT855" s="43"/>
      <c r="AU855" s="43"/>
      <c r="AV855" s="43"/>
    </row>
    <row r="856" ht="15.75" spans="1:48">
      <c r="A856" s="12">
        <v>852</v>
      </c>
      <c r="B856" s="44">
        <v>669</v>
      </c>
      <c r="C856" s="45" t="s">
        <v>94</v>
      </c>
      <c r="D856" s="46">
        <v>21</v>
      </c>
      <c r="E856" s="47" t="s">
        <v>50</v>
      </c>
      <c r="F856" s="48">
        <v>9.66</v>
      </c>
      <c r="G856" s="38">
        <v>1.01</v>
      </c>
      <c r="H856" s="39"/>
      <c r="I856" s="39"/>
      <c r="J856" s="39"/>
      <c r="K856" s="39"/>
      <c r="L856" s="39"/>
      <c r="M856" s="39"/>
      <c r="N856" s="39"/>
      <c r="O856" s="39"/>
      <c r="P856" s="39"/>
      <c r="Q856" s="39">
        <v>0.84</v>
      </c>
      <c r="R856" s="39"/>
      <c r="S856" s="39"/>
      <c r="T856" s="39"/>
      <c r="U856" s="39">
        <v>0.17</v>
      </c>
      <c r="V856" s="39"/>
      <c r="W856" s="39"/>
      <c r="X856" s="49" t="s">
        <v>222</v>
      </c>
      <c r="Y856" s="50">
        <v>14007</v>
      </c>
      <c r="Z856" s="51">
        <v>13032</v>
      </c>
      <c r="AA856" s="52">
        <f t="shared" si="19"/>
        <v>0.930391946883701</v>
      </c>
      <c r="AB856" s="12">
        <v>13032</v>
      </c>
      <c r="AC856" s="12">
        <v>0</v>
      </c>
      <c r="AD856" s="43"/>
      <c r="AE856" s="43"/>
      <c r="AF856" s="43"/>
      <c r="AG856" s="43"/>
      <c r="AH856" s="43"/>
      <c r="AI856" s="43"/>
      <c r="AJ856" s="43"/>
      <c r="AK856" s="43"/>
      <c r="AL856" s="43"/>
      <c r="AM856" s="43"/>
      <c r="AN856" s="43"/>
      <c r="AO856" s="43"/>
      <c r="AP856" s="43"/>
      <c r="AQ856" s="43"/>
      <c r="AR856" s="43"/>
      <c r="AS856" s="43"/>
      <c r="AT856" s="43"/>
      <c r="AU856" s="43"/>
      <c r="AV856" s="43"/>
    </row>
    <row r="857" ht="15.75" spans="1:48">
      <c r="A857" s="12">
        <v>853</v>
      </c>
      <c r="B857" s="44">
        <v>4489</v>
      </c>
      <c r="C857" s="45" t="s">
        <v>88</v>
      </c>
      <c r="D857" s="46">
        <v>8</v>
      </c>
      <c r="E857" s="47" t="s">
        <v>50</v>
      </c>
      <c r="F857" s="48">
        <v>9</v>
      </c>
      <c r="G857" s="38">
        <v>2</v>
      </c>
      <c r="H857" s="39"/>
      <c r="I857" s="39"/>
      <c r="J857" s="39"/>
      <c r="K857" s="39">
        <v>0.33</v>
      </c>
      <c r="L857" s="39"/>
      <c r="M857" s="39"/>
      <c r="N857" s="39"/>
      <c r="O857" s="39"/>
      <c r="P857" s="39"/>
      <c r="Q857" s="39">
        <v>1.17</v>
      </c>
      <c r="R857" s="39"/>
      <c r="S857" s="39"/>
      <c r="T857" s="39">
        <v>0.33</v>
      </c>
      <c r="U857" s="39">
        <v>0.17</v>
      </c>
      <c r="V857" s="39"/>
      <c r="W857" s="39"/>
      <c r="X857" s="49">
        <v>2801</v>
      </c>
      <c r="Y857" s="50">
        <v>5445</v>
      </c>
      <c r="Z857" s="51">
        <v>5951</v>
      </c>
      <c r="AA857" s="52">
        <f t="shared" si="19"/>
        <v>1.09292929292929</v>
      </c>
      <c r="AB857" s="12">
        <v>5640</v>
      </c>
      <c r="AC857" s="12">
        <v>311</v>
      </c>
      <c r="AD857" s="19">
        <v>311</v>
      </c>
      <c r="AE857" s="43"/>
      <c r="AF857" s="43"/>
      <c r="AG857" s="43"/>
      <c r="AH857" s="43"/>
      <c r="AI857" s="43"/>
      <c r="AJ857" s="43"/>
      <c r="AK857" s="43"/>
      <c r="AL857" s="43"/>
      <c r="AM857" s="43"/>
      <c r="AN857" s="43"/>
      <c r="AO857" s="43"/>
      <c r="AP857" s="43"/>
      <c r="AQ857" s="43"/>
      <c r="AR857" s="43"/>
      <c r="AS857" s="43"/>
      <c r="AT857" s="43"/>
      <c r="AU857" s="43"/>
      <c r="AV857" s="43"/>
    </row>
    <row r="858" ht="15.75" spans="1:48">
      <c r="A858" s="12">
        <v>854</v>
      </c>
      <c r="B858" s="44">
        <v>676</v>
      </c>
      <c r="C858" s="45" t="s">
        <v>171</v>
      </c>
      <c r="D858" s="46"/>
      <c r="E858" s="47" t="s">
        <v>50</v>
      </c>
      <c r="F858" s="48">
        <v>6</v>
      </c>
      <c r="G858" s="38">
        <v>1.17</v>
      </c>
      <c r="H858" s="39"/>
      <c r="I858" s="39"/>
      <c r="J858" s="39"/>
      <c r="K858" s="39"/>
      <c r="L858" s="39"/>
      <c r="M858" s="39"/>
      <c r="N858" s="39"/>
      <c r="O858" s="39"/>
      <c r="P858" s="39"/>
      <c r="Q858" s="39">
        <v>1.17</v>
      </c>
      <c r="R858" s="39"/>
      <c r="S858" s="39"/>
      <c r="T858" s="39"/>
      <c r="U858" s="39"/>
      <c r="V858" s="39"/>
      <c r="W858" s="39"/>
      <c r="X858" s="49" t="s">
        <v>98</v>
      </c>
      <c r="Y858" s="50">
        <v>2820</v>
      </c>
      <c r="Z858" s="51">
        <v>2700</v>
      </c>
      <c r="AA858" s="52">
        <f t="shared" si="19"/>
        <v>0.957446808510638</v>
      </c>
      <c r="AB858" s="12">
        <v>2700</v>
      </c>
      <c r="AC858" s="12">
        <v>0</v>
      </c>
      <c r="AD858" s="43"/>
      <c r="AE858" s="43"/>
      <c r="AF858" s="43"/>
      <c r="AG858" s="43"/>
      <c r="AH858" s="43"/>
      <c r="AI858" s="43"/>
      <c r="AJ858" s="43"/>
      <c r="AK858" s="43"/>
      <c r="AL858" s="43"/>
      <c r="AM858" s="43"/>
      <c r="AN858" s="43"/>
      <c r="AO858" s="43"/>
      <c r="AP858" s="43"/>
      <c r="AQ858" s="43"/>
      <c r="AR858" s="43"/>
      <c r="AS858" s="43"/>
      <c r="AT858" s="43"/>
      <c r="AU858" s="43"/>
      <c r="AV858" s="43"/>
    </row>
    <row r="859" ht="15.75" spans="1:48">
      <c r="A859" s="12">
        <v>855</v>
      </c>
      <c r="B859" s="44">
        <v>676</v>
      </c>
      <c r="C859" s="45" t="s">
        <v>171</v>
      </c>
      <c r="D859" s="46"/>
      <c r="E859" s="47" t="s">
        <v>50</v>
      </c>
      <c r="F859" s="48">
        <v>2</v>
      </c>
      <c r="G859" s="38">
        <v>0</v>
      </c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49" t="s">
        <v>90</v>
      </c>
      <c r="Y859" s="50">
        <v>940</v>
      </c>
      <c r="Z859" s="51">
        <v>900</v>
      </c>
      <c r="AA859" s="52">
        <f t="shared" si="19"/>
        <v>0.957446808510638</v>
      </c>
      <c r="AB859" s="12">
        <v>900</v>
      </c>
      <c r="AC859" s="12">
        <v>0</v>
      </c>
      <c r="AD859" s="43"/>
      <c r="AE859" s="43"/>
      <c r="AF859" s="43"/>
      <c r="AG859" s="43"/>
      <c r="AH859" s="43"/>
      <c r="AI859" s="43"/>
      <c r="AJ859" s="43"/>
      <c r="AK859" s="43"/>
      <c r="AL859" s="43"/>
      <c r="AM859" s="43"/>
      <c r="AN859" s="43"/>
      <c r="AO859" s="43"/>
      <c r="AP859" s="43"/>
      <c r="AQ859" s="43"/>
      <c r="AR859" s="43"/>
      <c r="AS859" s="43"/>
      <c r="AT859" s="43"/>
      <c r="AU859" s="43"/>
      <c r="AV859" s="43"/>
    </row>
    <row r="860" ht="15.75" spans="1:48">
      <c r="A860" s="12">
        <v>856</v>
      </c>
      <c r="B860" s="44">
        <v>4382</v>
      </c>
      <c r="C860" s="45" t="s">
        <v>173</v>
      </c>
      <c r="D860" s="46"/>
      <c r="E860" s="47" t="s">
        <v>50</v>
      </c>
      <c r="F860" s="48">
        <v>7.5</v>
      </c>
      <c r="G860" s="38">
        <v>1.17</v>
      </c>
      <c r="H860" s="39"/>
      <c r="I860" s="39"/>
      <c r="J860" s="39"/>
      <c r="K860" s="39"/>
      <c r="L860" s="39"/>
      <c r="M860" s="39"/>
      <c r="N860" s="39"/>
      <c r="O860" s="39"/>
      <c r="P860" s="39"/>
      <c r="Q860" s="39">
        <v>1.17</v>
      </c>
      <c r="R860" s="39"/>
      <c r="S860" s="39"/>
      <c r="T860" s="39"/>
      <c r="U860" s="39"/>
      <c r="V860" s="39"/>
      <c r="W860" s="39"/>
      <c r="X860" s="49" t="s">
        <v>98</v>
      </c>
      <c r="Y860" s="50">
        <v>3525</v>
      </c>
      <c r="Z860" s="51">
        <v>3240</v>
      </c>
      <c r="AA860" s="52">
        <f t="shared" si="19"/>
        <v>0.919148936170213</v>
      </c>
      <c r="AB860" s="12">
        <v>3240</v>
      </c>
      <c r="AC860" s="12">
        <v>0</v>
      </c>
      <c r="AD860" s="43"/>
      <c r="AE860" s="43"/>
      <c r="AF860" s="43"/>
      <c r="AG860" s="43"/>
      <c r="AH860" s="43"/>
      <c r="AI860" s="43"/>
      <c r="AJ860" s="43"/>
      <c r="AK860" s="43"/>
      <c r="AL860" s="43"/>
      <c r="AM860" s="43"/>
      <c r="AN860" s="43"/>
      <c r="AO860" s="43"/>
      <c r="AP860" s="43"/>
      <c r="AQ860" s="43"/>
      <c r="AR860" s="43"/>
      <c r="AS860" s="43"/>
      <c r="AT860" s="43"/>
      <c r="AU860" s="43"/>
      <c r="AV860" s="43"/>
    </row>
    <row r="861" ht="15.75" spans="1:48">
      <c r="A861" s="12">
        <v>857</v>
      </c>
      <c r="B861" s="44">
        <v>4382</v>
      </c>
      <c r="C861" s="45" t="s">
        <v>173</v>
      </c>
      <c r="D861" s="46"/>
      <c r="E861" s="47" t="s">
        <v>50</v>
      </c>
      <c r="F861" s="48">
        <v>3.33</v>
      </c>
      <c r="G861" s="38">
        <v>0</v>
      </c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49" t="s">
        <v>96</v>
      </c>
      <c r="Y861" s="50">
        <v>4828.5</v>
      </c>
      <c r="Z861" s="51">
        <v>4000</v>
      </c>
      <c r="AA861" s="52">
        <f t="shared" si="19"/>
        <v>0.82841462151807</v>
      </c>
      <c r="AB861" s="12">
        <v>4000</v>
      </c>
      <c r="AC861" s="12">
        <v>0</v>
      </c>
      <c r="AD861" s="43"/>
      <c r="AE861" s="43"/>
      <c r="AF861" s="43"/>
      <c r="AG861" s="43"/>
      <c r="AH861" s="43"/>
      <c r="AI861" s="43"/>
      <c r="AJ861" s="43"/>
      <c r="AK861" s="43"/>
      <c r="AL861" s="43"/>
      <c r="AM861" s="43"/>
      <c r="AN861" s="43"/>
      <c r="AO861" s="43"/>
      <c r="AP861" s="43"/>
      <c r="AQ861" s="43"/>
      <c r="AR861" s="43"/>
      <c r="AS861" s="43"/>
      <c r="AT861" s="43"/>
      <c r="AU861" s="43"/>
      <c r="AV861" s="43"/>
    </row>
    <row r="862" ht="15.75" spans="1:48">
      <c r="A862" s="12">
        <v>858</v>
      </c>
      <c r="B862" s="44" t="s">
        <v>185</v>
      </c>
      <c r="C862" s="45" t="s">
        <v>179</v>
      </c>
      <c r="D862" s="46">
        <v>7</v>
      </c>
      <c r="E862" s="47" t="s">
        <v>50</v>
      </c>
      <c r="F862" s="48">
        <v>7.5</v>
      </c>
      <c r="G862" s="38">
        <v>1.34</v>
      </c>
      <c r="H862" s="39"/>
      <c r="I862" s="39"/>
      <c r="J862" s="39"/>
      <c r="K862" s="39"/>
      <c r="L862" s="39"/>
      <c r="M862" s="39"/>
      <c r="N862" s="39"/>
      <c r="O862" s="39"/>
      <c r="P862" s="39"/>
      <c r="Q862" s="39">
        <v>1.17</v>
      </c>
      <c r="R862" s="39"/>
      <c r="S862" s="39"/>
      <c r="T862" s="39"/>
      <c r="U862" s="39">
        <v>0.17</v>
      </c>
      <c r="V862" s="39"/>
      <c r="W862" s="39"/>
      <c r="X862" s="49" t="s">
        <v>95</v>
      </c>
      <c r="Y862" s="50">
        <v>10500</v>
      </c>
      <c r="Z862" s="51">
        <v>9100</v>
      </c>
      <c r="AA862" s="52">
        <f t="shared" si="19"/>
        <v>0.866666666666667</v>
      </c>
      <c r="AB862" s="12">
        <v>9100</v>
      </c>
      <c r="AC862" s="12">
        <v>0</v>
      </c>
      <c r="AD862" s="43"/>
      <c r="AE862" s="43"/>
      <c r="AF862" s="43"/>
      <c r="AG862" s="43"/>
      <c r="AH862" s="43"/>
      <c r="AI862" s="43"/>
      <c r="AJ862" s="43"/>
      <c r="AK862" s="43"/>
      <c r="AL862" s="43"/>
      <c r="AM862" s="43"/>
      <c r="AN862" s="43"/>
      <c r="AO862" s="43"/>
      <c r="AP862" s="43"/>
      <c r="AQ862" s="43"/>
      <c r="AR862" s="43"/>
      <c r="AS862" s="43"/>
      <c r="AT862" s="43"/>
      <c r="AU862" s="43"/>
      <c r="AV862" s="43"/>
    </row>
    <row r="863" ht="15.75" spans="1:48">
      <c r="A863" s="12">
        <v>859</v>
      </c>
      <c r="B863" s="44" t="s">
        <v>185</v>
      </c>
      <c r="C863" s="45" t="s">
        <v>179</v>
      </c>
      <c r="D863" s="46">
        <v>17</v>
      </c>
      <c r="E863" s="47" t="s">
        <v>50</v>
      </c>
      <c r="F863" s="48">
        <v>1.17</v>
      </c>
      <c r="G863" s="38">
        <v>0</v>
      </c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49" t="s">
        <v>96</v>
      </c>
      <c r="Y863" s="50">
        <v>1696.5</v>
      </c>
      <c r="Z863" s="51">
        <v>1500</v>
      </c>
      <c r="AA863" s="52">
        <f t="shared" si="19"/>
        <v>0.884173297966401</v>
      </c>
      <c r="AB863" s="12">
        <v>1500</v>
      </c>
      <c r="AC863" s="12">
        <v>0</v>
      </c>
      <c r="AD863" s="43"/>
      <c r="AE863" s="43"/>
      <c r="AF863" s="43"/>
      <c r="AG863" s="43"/>
      <c r="AH863" s="43"/>
      <c r="AI863" s="43"/>
      <c r="AJ863" s="43"/>
      <c r="AK863" s="43"/>
      <c r="AL863" s="43"/>
      <c r="AM863" s="43"/>
      <c r="AN863" s="43"/>
      <c r="AO863" s="43"/>
      <c r="AP863" s="43"/>
      <c r="AQ863" s="43"/>
      <c r="AR863" s="43"/>
      <c r="AS863" s="43"/>
      <c r="AT863" s="43"/>
      <c r="AU863" s="43"/>
      <c r="AV863" s="43"/>
    </row>
    <row r="864" ht="15.75" spans="1:48">
      <c r="A864" s="12">
        <v>860</v>
      </c>
      <c r="B864" s="44" t="s">
        <v>254</v>
      </c>
      <c r="C864" s="45" t="s">
        <v>255</v>
      </c>
      <c r="D864" s="46">
        <v>18</v>
      </c>
      <c r="E864" s="47" t="s">
        <v>93</v>
      </c>
      <c r="F864" s="48">
        <v>7.17</v>
      </c>
      <c r="G864" s="38">
        <v>0.83</v>
      </c>
      <c r="H864" s="39"/>
      <c r="I864" s="39"/>
      <c r="J864" s="39"/>
      <c r="K864" s="39"/>
      <c r="L864" s="39"/>
      <c r="M864" s="39"/>
      <c r="N864" s="39"/>
      <c r="O864" s="39"/>
      <c r="P864" s="39"/>
      <c r="Q864" s="39">
        <v>0.83</v>
      </c>
      <c r="R864" s="39"/>
      <c r="S864" s="39"/>
      <c r="T864" s="39"/>
      <c r="U864" s="39"/>
      <c r="V864" s="39"/>
      <c r="W864" s="39"/>
      <c r="X864" s="49">
        <v>9477</v>
      </c>
      <c r="Y864" s="50">
        <v>3470.28</v>
      </c>
      <c r="Z864" s="51">
        <v>3208</v>
      </c>
      <c r="AA864" s="52">
        <f t="shared" si="19"/>
        <v>0.924421084177646</v>
      </c>
      <c r="AB864" s="12">
        <v>3208</v>
      </c>
      <c r="AC864" s="12">
        <v>0</v>
      </c>
      <c r="AD864" s="43"/>
      <c r="AE864" s="43"/>
      <c r="AF864" s="43"/>
      <c r="AG864" s="43"/>
      <c r="AH864" s="43"/>
      <c r="AI864" s="43"/>
      <c r="AJ864" s="43"/>
      <c r="AK864" s="43"/>
      <c r="AL864" s="43"/>
      <c r="AM864" s="43"/>
      <c r="AN864" s="43"/>
      <c r="AO864" s="43"/>
      <c r="AP864" s="43"/>
      <c r="AQ864" s="43"/>
      <c r="AR864" s="43"/>
      <c r="AS864" s="43"/>
      <c r="AT864" s="43"/>
      <c r="AU864" s="43"/>
      <c r="AV864" s="43"/>
    </row>
    <row r="865" ht="15.75" spans="1:48">
      <c r="A865" s="12">
        <v>861</v>
      </c>
      <c r="B865" s="44" t="s">
        <v>252</v>
      </c>
      <c r="C865" s="45" t="s">
        <v>253</v>
      </c>
      <c r="D865" s="46">
        <v>2</v>
      </c>
      <c r="E865" s="47" t="s">
        <v>50</v>
      </c>
      <c r="F865" s="48">
        <v>3.83</v>
      </c>
      <c r="G865" s="38">
        <v>1.5</v>
      </c>
      <c r="H865" s="39"/>
      <c r="I865" s="39"/>
      <c r="J865" s="39"/>
      <c r="K865" s="39"/>
      <c r="L865" s="39"/>
      <c r="M865" s="39"/>
      <c r="N865" s="39"/>
      <c r="O865" s="39"/>
      <c r="P865" s="39"/>
      <c r="Q865" s="39">
        <v>0.83</v>
      </c>
      <c r="R865" s="39"/>
      <c r="S865" s="39"/>
      <c r="T865" s="39">
        <v>0.5</v>
      </c>
      <c r="U865" s="39">
        <v>0.17</v>
      </c>
      <c r="V865" s="39"/>
      <c r="W865" s="39"/>
      <c r="X865" s="49">
        <v>1080</v>
      </c>
      <c r="Y865" s="50">
        <v>1769.46</v>
      </c>
      <c r="Z865" s="51">
        <v>1650</v>
      </c>
      <c r="AA865" s="52">
        <f t="shared" si="19"/>
        <v>0.93248787765759</v>
      </c>
      <c r="AB865" s="12">
        <v>1555</v>
      </c>
      <c r="AC865" s="12">
        <v>95</v>
      </c>
      <c r="AD865" s="19">
        <v>95</v>
      </c>
      <c r="AE865" s="43"/>
      <c r="AF865" s="43"/>
      <c r="AG865" s="43"/>
      <c r="AH865" s="43"/>
      <c r="AI865" s="43"/>
      <c r="AJ865" s="43"/>
      <c r="AK865" s="43"/>
      <c r="AL865" s="43"/>
      <c r="AM865" s="43"/>
      <c r="AN865" s="43"/>
      <c r="AO865" s="43"/>
      <c r="AP865" s="43"/>
      <c r="AQ865" s="43"/>
      <c r="AR865" s="43"/>
      <c r="AS865" s="43"/>
      <c r="AT865" s="43"/>
      <c r="AU865" s="43"/>
      <c r="AV865" s="43"/>
    </row>
    <row r="866" ht="15.75" spans="1:48">
      <c r="A866" s="12">
        <v>862</v>
      </c>
      <c r="B866" s="44" t="s">
        <v>252</v>
      </c>
      <c r="C866" s="45" t="s">
        <v>253</v>
      </c>
      <c r="D866" s="46"/>
      <c r="E866" s="47" t="s">
        <v>93</v>
      </c>
      <c r="F866" s="48">
        <v>2.67</v>
      </c>
      <c r="G866" s="38">
        <v>0</v>
      </c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49" t="s">
        <v>105</v>
      </c>
      <c r="Y866" s="50">
        <v>1762.2</v>
      </c>
      <c r="Z866" s="51">
        <v>1650</v>
      </c>
      <c r="AA866" s="52">
        <f t="shared" si="19"/>
        <v>0.936329588014981</v>
      </c>
      <c r="AB866" s="12">
        <v>1650</v>
      </c>
      <c r="AC866" s="12">
        <v>0</v>
      </c>
      <c r="AD866" s="43"/>
      <c r="AE866" s="43"/>
      <c r="AF866" s="43"/>
      <c r="AG866" s="43"/>
      <c r="AH866" s="43"/>
      <c r="AI866" s="43"/>
      <c r="AJ866" s="43"/>
      <c r="AK866" s="43"/>
      <c r="AL866" s="43"/>
      <c r="AM866" s="43"/>
      <c r="AN866" s="43"/>
      <c r="AO866" s="43"/>
      <c r="AP866" s="43"/>
      <c r="AQ866" s="43"/>
      <c r="AR866" s="43"/>
      <c r="AS866" s="43"/>
      <c r="AT866" s="43"/>
      <c r="AU866" s="43"/>
      <c r="AV866" s="43"/>
    </row>
    <row r="867" ht="15.75" spans="1:48">
      <c r="A867" s="12">
        <v>863</v>
      </c>
      <c r="B867" s="44">
        <v>849</v>
      </c>
      <c r="C867" s="45" t="s">
        <v>108</v>
      </c>
      <c r="D867" s="46"/>
      <c r="E867" s="47" t="s">
        <v>50</v>
      </c>
      <c r="F867" s="48">
        <v>7.17</v>
      </c>
      <c r="G867" s="38">
        <v>0.83</v>
      </c>
      <c r="H867" s="39"/>
      <c r="I867" s="39"/>
      <c r="J867" s="39"/>
      <c r="K867" s="39"/>
      <c r="L867" s="39"/>
      <c r="M867" s="39"/>
      <c r="N867" s="39"/>
      <c r="O867" s="39"/>
      <c r="P867" s="39"/>
      <c r="Q867" s="39">
        <v>0.83</v>
      </c>
      <c r="R867" s="39"/>
      <c r="S867" s="39"/>
      <c r="T867" s="39"/>
      <c r="U867" s="39"/>
      <c r="V867" s="39"/>
      <c r="W867" s="39"/>
      <c r="X867" s="49" t="s">
        <v>105</v>
      </c>
      <c r="Y867" s="50">
        <v>4732.2</v>
      </c>
      <c r="Z867" s="51">
        <v>3600</v>
      </c>
      <c r="AA867" s="52">
        <f t="shared" si="19"/>
        <v>0.760745530620008</v>
      </c>
      <c r="AB867" s="12">
        <v>3600</v>
      </c>
      <c r="AC867" s="12">
        <v>0</v>
      </c>
      <c r="AD867" s="43"/>
      <c r="AE867" s="43"/>
      <c r="AF867" s="43"/>
      <c r="AG867" s="43"/>
      <c r="AH867" s="43"/>
      <c r="AI867" s="43"/>
      <c r="AJ867" s="43"/>
      <c r="AK867" s="43"/>
      <c r="AL867" s="43"/>
      <c r="AM867" s="43"/>
      <c r="AN867" s="43"/>
      <c r="AO867" s="43"/>
      <c r="AP867" s="43"/>
      <c r="AQ867" s="43"/>
      <c r="AR867" s="43"/>
      <c r="AS867" s="43"/>
      <c r="AT867" s="43"/>
      <c r="AU867" s="43"/>
      <c r="AV867" s="43"/>
    </row>
    <row r="868" ht="15.75" spans="1:48">
      <c r="A868" s="12">
        <v>864</v>
      </c>
      <c r="B868" s="44">
        <v>959</v>
      </c>
      <c r="C868" s="45" t="s">
        <v>168</v>
      </c>
      <c r="D868" s="46"/>
      <c r="E868" s="47" t="s">
        <v>50</v>
      </c>
      <c r="F868" s="48">
        <v>2.8</v>
      </c>
      <c r="G868" s="38">
        <v>0.83</v>
      </c>
      <c r="H868" s="39"/>
      <c r="I868" s="39"/>
      <c r="J868" s="39"/>
      <c r="K868" s="39"/>
      <c r="L868" s="39"/>
      <c r="M868" s="39"/>
      <c r="N868" s="39"/>
      <c r="O868" s="39"/>
      <c r="P868" s="39"/>
      <c r="Q868" s="39">
        <v>0.83</v>
      </c>
      <c r="R868" s="39"/>
      <c r="S868" s="39"/>
      <c r="T868" s="39"/>
      <c r="U868" s="39"/>
      <c r="V868" s="39"/>
      <c r="W868" s="39"/>
      <c r="X868" s="49" t="s">
        <v>105</v>
      </c>
      <c r="Y868" s="50">
        <v>1848</v>
      </c>
      <c r="Z868" s="51">
        <v>1650</v>
      </c>
      <c r="AA868" s="52">
        <f t="shared" si="19"/>
        <v>0.892857142857143</v>
      </c>
      <c r="AB868" s="12">
        <v>1650</v>
      </c>
      <c r="AC868" s="12">
        <v>0</v>
      </c>
      <c r="AD868" s="43"/>
      <c r="AE868" s="43"/>
      <c r="AF868" s="43"/>
      <c r="AG868" s="43"/>
      <c r="AH868" s="43"/>
      <c r="AI868" s="43"/>
      <c r="AJ868" s="43"/>
      <c r="AK868" s="43"/>
      <c r="AL868" s="43"/>
      <c r="AM868" s="43"/>
      <c r="AN868" s="43"/>
      <c r="AO868" s="43"/>
      <c r="AP868" s="43"/>
      <c r="AQ868" s="43"/>
      <c r="AR868" s="43"/>
      <c r="AS868" s="43"/>
      <c r="AT868" s="43"/>
      <c r="AU868" s="43"/>
      <c r="AV868" s="43"/>
    </row>
    <row r="869" ht="15.75" spans="1:48">
      <c r="A869" s="12">
        <v>865</v>
      </c>
      <c r="B869" s="44">
        <v>4412</v>
      </c>
      <c r="C869" s="45" t="s">
        <v>177</v>
      </c>
      <c r="D869" s="46"/>
      <c r="E869" s="47" t="s">
        <v>50</v>
      </c>
      <c r="F869" s="48">
        <v>2.33</v>
      </c>
      <c r="G869" s="38">
        <v>0</v>
      </c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49" t="s">
        <v>212</v>
      </c>
      <c r="Y869" s="50">
        <v>699</v>
      </c>
      <c r="Z869" s="51">
        <v>720</v>
      </c>
      <c r="AA869" s="52">
        <f t="shared" si="19"/>
        <v>1.03004291845494</v>
      </c>
      <c r="AB869" s="12">
        <v>720</v>
      </c>
      <c r="AC869" s="12">
        <v>0</v>
      </c>
      <c r="AD869" s="43"/>
      <c r="AE869" s="43"/>
      <c r="AF869" s="43"/>
      <c r="AG869" s="43"/>
      <c r="AH869" s="43"/>
      <c r="AI869" s="43"/>
      <c r="AJ869" s="43"/>
      <c r="AK869" s="43"/>
      <c r="AL869" s="43"/>
      <c r="AM869" s="43"/>
      <c r="AN869" s="43"/>
      <c r="AO869" s="43"/>
      <c r="AP869" s="43"/>
      <c r="AQ869" s="43"/>
      <c r="AR869" s="43"/>
      <c r="AS869" s="43"/>
      <c r="AT869" s="43"/>
      <c r="AU869" s="43"/>
      <c r="AV869" s="43"/>
    </row>
    <row r="870" ht="15.75" spans="1:48">
      <c r="A870" s="12">
        <v>866</v>
      </c>
      <c r="B870" s="44">
        <v>850</v>
      </c>
      <c r="C870" s="45" t="s">
        <v>109</v>
      </c>
      <c r="D870" s="46"/>
      <c r="E870" s="47" t="s">
        <v>50</v>
      </c>
      <c r="F870" s="48">
        <v>7.17</v>
      </c>
      <c r="G870" s="38">
        <v>0.83</v>
      </c>
      <c r="H870" s="39"/>
      <c r="I870" s="39"/>
      <c r="J870" s="39"/>
      <c r="K870" s="39"/>
      <c r="L870" s="39"/>
      <c r="M870" s="39"/>
      <c r="N870" s="39"/>
      <c r="O870" s="39"/>
      <c r="P870" s="39"/>
      <c r="Q870" s="39">
        <v>0.83</v>
      </c>
      <c r="R870" s="39"/>
      <c r="S870" s="39"/>
      <c r="T870" s="39"/>
      <c r="U870" s="39"/>
      <c r="V870" s="39"/>
      <c r="W870" s="39"/>
      <c r="X870" s="49" t="s">
        <v>103</v>
      </c>
      <c r="Y870" s="50">
        <v>6022.8</v>
      </c>
      <c r="Z870" s="51">
        <v>5160</v>
      </c>
      <c r="AA870" s="52">
        <f t="shared" si="19"/>
        <v>0.856744371388723</v>
      </c>
      <c r="AB870" s="12">
        <v>5160</v>
      </c>
      <c r="AC870" s="12">
        <v>0</v>
      </c>
      <c r="AD870" s="43"/>
      <c r="AE870" s="43"/>
      <c r="AF870" s="43"/>
      <c r="AG870" s="43"/>
      <c r="AH870" s="43"/>
      <c r="AI870" s="43"/>
      <c r="AJ870" s="43"/>
      <c r="AK870" s="43"/>
      <c r="AL870" s="43"/>
      <c r="AM870" s="43"/>
      <c r="AN870" s="43"/>
      <c r="AO870" s="43"/>
      <c r="AP870" s="43"/>
      <c r="AQ870" s="43"/>
      <c r="AR870" s="43"/>
      <c r="AS870" s="43"/>
      <c r="AT870" s="43"/>
      <c r="AU870" s="43"/>
      <c r="AV870" s="43"/>
    </row>
    <row r="871" ht="15.75" spans="1:48">
      <c r="A871" s="12">
        <v>867</v>
      </c>
      <c r="B871" s="44">
        <v>4310</v>
      </c>
      <c r="C871" s="45" t="s">
        <v>99</v>
      </c>
      <c r="D871" s="46"/>
      <c r="E871" s="47" t="s">
        <v>50</v>
      </c>
      <c r="F871" s="48">
        <v>3.5</v>
      </c>
      <c r="G871" s="38">
        <v>0</v>
      </c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49" t="s">
        <v>103</v>
      </c>
      <c r="Y871" s="50">
        <v>2940</v>
      </c>
      <c r="Z871" s="51">
        <v>3000</v>
      </c>
      <c r="AA871" s="52">
        <f t="shared" si="19"/>
        <v>1.02040816326531</v>
      </c>
      <c r="AB871" s="12">
        <v>3000</v>
      </c>
      <c r="AC871" s="12">
        <v>0</v>
      </c>
      <c r="AD871" s="43"/>
      <c r="AE871" s="43"/>
      <c r="AF871" s="43"/>
      <c r="AG871" s="43"/>
      <c r="AH871" s="43"/>
      <c r="AI871" s="43"/>
      <c r="AJ871" s="43"/>
      <c r="AK871" s="43"/>
      <c r="AL871" s="43"/>
      <c r="AM871" s="43"/>
      <c r="AN871" s="43"/>
      <c r="AO871" s="43"/>
      <c r="AP871" s="43"/>
      <c r="AQ871" s="43"/>
      <c r="AR871" s="43"/>
      <c r="AS871" s="43"/>
      <c r="AT871" s="43"/>
      <c r="AU871" s="43"/>
      <c r="AV871" s="43"/>
    </row>
    <row r="872" ht="15.75" spans="1:48">
      <c r="A872" s="12">
        <v>868</v>
      </c>
      <c r="B872" s="44" t="s">
        <v>181</v>
      </c>
      <c r="C872" s="45" t="s">
        <v>182</v>
      </c>
      <c r="D872" s="46"/>
      <c r="E872" s="47" t="s">
        <v>244</v>
      </c>
      <c r="F872" s="48">
        <v>7.17</v>
      </c>
      <c r="G872" s="38">
        <v>0.83</v>
      </c>
      <c r="H872" s="39"/>
      <c r="I872" s="39"/>
      <c r="J872" s="39"/>
      <c r="K872" s="39"/>
      <c r="L872" s="39"/>
      <c r="M872" s="39"/>
      <c r="N872" s="39"/>
      <c r="O872" s="39"/>
      <c r="P872" s="39"/>
      <c r="Q872" s="39">
        <v>0.83</v>
      </c>
      <c r="R872" s="39"/>
      <c r="S872" s="39"/>
      <c r="T872" s="39"/>
      <c r="U872" s="39"/>
      <c r="V872" s="39"/>
      <c r="W872" s="39"/>
      <c r="X872" s="49" t="s">
        <v>103</v>
      </c>
      <c r="Y872" s="50">
        <v>5420.52</v>
      </c>
      <c r="Z872" s="51">
        <v>4528</v>
      </c>
      <c r="AA872" s="52">
        <f t="shared" si="19"/>
        <v>0.835344210518548</v>
      </c>
      <c r="AB872" s="12">
        <v>4528</v>
      </c>
      <c r="AC872" s="12">
        <v>0</v>
      </c>
      <c r="AD872" s="43"/>
      <c r="AE872" s="43"/>
      <c r="AF872" s="43"/>
      <c r="AG872" s="43"/>
      <c r="AH872" s="43"/>
      <c r="AI872" s="43"/>
      <c r="AJ872" s="43"/>
      <c r="AK872" s="43"/>
      <c r="AL872" s="43"/>
      <c r="AM872" s="43"/>
      <c r="AN872" s="43"/>
      <c r="AO872" s="43"/>
      <c r="AP872" s="43"/>
      <c r="AQ872" s="43"/>
      <c r="AR872" s="43"/>
      <c r="AS872" s="43"/>
      <c r="AT872" s="43"/>
      <c r="AU872" s="43"/>
      <c r="AV872" s="43"/>
    </row>
    <row r="873" ht="15.75" spans="1:48">
      <c r="A873" s="12">
        <v>869</v>
      </c>
      <c r="B873" s="44" t="s">
        <v>185</v>
      </c>
      <c r="C873" s="45" t="s">
        <v>179</v>
      </c>
      <c r="D873" s="46"/>
      <c r="E873" s="47" t="s">
        <v>50</v>
      </c>
      <c r="F873" s="48">
        <v>1</v>
      </c>
      <c r="G873" s="38">
        <v>0</v>
      </c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49" t="s">
        <v>105</v>
      </c>
      <c r="Y873" s="50">
        <v>660</v>
      </c>
      <c r="Z873" s="51">
        <v>581</v>
      </c>
      <c r="AA873" s="52">
        <f t="shared" si="19"/>
        <v>0.88030303030303</v>
      </c>
      <c r="AB873" s="12">
        <v>581</v>
      </c>
      <c r="AC873" s="12">
        <v>0</v>
      </c>
      <c r="AD873" s="43"/>
      <c r="AE873" s="43"/>
      <c r="AF873" s="43"/>
      <c r="AG873" s="43"/>
      <c r="AH873" s="43"/>
      <c r="AI873" s="43"/>
      <c r="AJ873" s="43"/>
      <c r="AK873" s="43"/>
      <c r="AL873" s="43"/>
      <c r="AM873" s="43"/>
      <c r="AN873" s="43"/>
      <c r="AO873" s="43"/>
      <c r="AP873" s="43"/>
      <c r="AQ873" s="43"/>
      <c r="AR873" s="43"/>
      <c r="AS873" s="43"/>
      <c r="AT873" s="43"/>
      <c r="AU873" s="43"/>
      <c r="AV873" s="43"/>
    </row>
    <row r="874" ht="15.75" spans="1:48">
      <c r="A874" s="12">
        <v>870</v>
      </c>
      <c r="B874" s="44">
        <v>4360</v>
      </c>
      <c r="C874" s="45" t="s">
        <v>97</v>
      </c>
      <c r="D874" s="46"/>
      <c r="E874" s="47" t="s">
        <v>50</v>
      </c>
      <c r="F874" s="48">
        <v>2</v>
      </c>
      <c r="G874" s="38">
        <v>0</v>
      </c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49" t="s">
        <v>103</v>
      </c>
      <c r="Y874" s="50">
        <v>1680</v>
      </c>
      <c r="Z874" s="51">
        <v>1680</v>
      </c>
      <c r="AA874" s="52">
        <f t="shared" si="19"/>
        <v>1</v>
      </c>
      <c r="AB874" s="12">
        <v>1680</v>
      </c>
      <c r="AC874" s="12">
        <v>0</v>
      </c>
      <c r="AD874" s="43"/>
      <c r="AE874" s="43"/>
      <c r="AF874" s="43"/>
      <c r="AG874" s="43"/>
      <c r="AH874" s="43"/>
      <c r="AI874" s="43"/>
      <c r="AJ874" s="43"/>
      <c r="AK874" s="43"/>
      <c r="AL874" s="43"/>
      <c r="AM874" s="43"/>
      <c r="AN874" s="43"/>
      <c r="AO874" s="43"/>
      <c r="AP874" s="43"/>
      <c r="AQ874" s="43"/>
      <c r="AR874" s="43"/>
      <c r="AS874" s="43"/>
      <c r="AT874" s="43"/>
      <c r="AU874" s="43"/>
      <c r="AV874" s="43"/>
    </row>
    <row r="875" ht="15.75" spans="1:48">
      <c r="A875" s="12">
        <v>871</v>
      </c>
      <c r="B875" s="57">
        <v>761</v>
      </c>
      <c r="C875" s="58" t="s">
        <v>89</v>
      </c>
      <c r="D875" s="59"/>
      <c r="E875" s="47" t="s">
        <v>50</v>
      </c>
      <c r="F875" s="48">
        <v>3.1</v>
      </c>
      <c r="G875" s="38">
        <v>0</v>
      </c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49" t="s">
        <v>101</v>
      </c>
      <c r="Y875" s="50">
        <v>5952</v>
      </c>
      <c r="Z875" s="51">
        <v>5940</v>
      </c>
      <c r="AA875" s="52">
        <f t="shared" si="19"/>
        <v>0.997983870967742</v>
      </c>
      <c r="AB875" s="12">
        <v>5940</v>
      </c>
      <c r="AC875" s="12">
        <v>0</v>
      </c>
      <c r="AD875" s="43"/>
      <c r="AE875" s="43"/>
      <c r="AF875" s="43"/>
      <c r="AG875" s="43"/>
      <c r="AH875" s="43"/>
      <c r="AI875" s="43"/>
      <c r="AJ875" s="43"/>
      <c r="AK875" s="43"/>
      <c r="AL875" s="43"/>
      <c r="AM875" s="43"/>
      <c r="AN875" s="43"/>
      <c r="AO875" s="43"/>
      <c r="AP875" s="43"/>
      <c r="AQ875" s="43"/>
      <c r="AR875" s="43"/>
      <c r="AS875" s="43"/>
      <c r="AT875" s="43"/>
      <c r="AU875" s="43"/>
      <c r="AV875" s="43"/>
    </row>
    <row r="876" ht="15.75" spans="1:48">
      <c r="A876" s="12">
        <v>872</v>
      </c>
      <c r="B876" s="44">
        <v>761</v>
      </c>
      <c r="C876" s="45" t="s">
        <v>89</v>
      </c>
      <c r="D876" s="46"/>
      <c r="E876" s="47" t="s">
        <v>50</v>
      </c>
      <c r="F876" s="48">
        <v>1.67</v>
      </c>
      <c r="G876" s="38">
        <v>1.84</v>
      </c>
      <c r="H876" s="39"/>
      <c r="I876" s="39"/>
      <c r="J876" s="39"/>
      <c r="K876" s="39"/>
      <c r="L876" s="39"/>
      <c r="M876" s="39"/>
      <c r="N876" s="39"/>
      <c r="O876" s="39"/>
      <c r="P876" s="39"/>
      <c r="Q876" s="39">
        <v>1.17</v>
      </c>
      <c r="R876" s="39"/>
      <c r="S876" s="39">
        <v>0.5</v>
      </c>
      <c r="T876" s="39"/>
      <c r="U876" s="39">
        <v>0.17</v>
      </c>
      <c r="V876" s="39"/>
      <c r="W876" s="39"/>
      <c r="X876" s="49" t="s">
        <v>100</v>
      </c>
      <c r="Y876" s="50">
        <v>3206.4</v>
      </c>
      <c r="Z876" s="51">
        <v>3060</v>
      </c>
      <c r="AA876" s="52">
        <f t="shared" si="19"/>
        <v>0.954341317365269</v>
      </c>
      <c r="AB876" s="12">
        <v>3060</v>
      </c>
      <c r="AC876" s="12">
        <v>0</v>
      </c>
      <c r="AD876" s="43"/>
      <c r="AE876" s="43"/>
      <c r="AF876" s="43"/>
      <c r="AG876" s="43"/>
      <c r="AH876" s="43"/>
      <c r="AI876" s="43"/>
      <c r="AJ876" s="43"/>
      <c r="AK876" s="43"/>
      <c r="AL876" s="43"/>
      <c r="AM876" s="43"/>
      <c r="AN876" s="43"/>
      <c r="AO876" s="43"/>
      <c r="AP876" s="43"/>
      <c r="AQ876" s="43"/>
      <c r="AR876" s="43"/>
      <c r="AS876" s="43"/>
      <c r="AT876" s="43"/>
      <c r="AU876" s="43"/>
      <c r="AV876" s="43"/>
    </row>
    <row r="877" ht="15.75" spans="1:48">
      <c r="A877" s="12">
        <v>873</v>
      </c>
      <c r="B877" s="44">
        <v>761</v>
      </c>
      <c r="C877" s="45" t="s">
        <v>89</v>
      </c>
      <c r="D877" s="46"/>
      <c r="E877" s="47" t="s">
        <v>50</v>
      </c>
      <c r="F877" s="48">
        <v>3.7</v>
      </c>
      <c r="G877" s="38">
        <v>0</v>
      </c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49" t="s">
        <v>229</v>
      </c>
      <c r="Y877" s="50">
        <v>13764</v>
      </c>
      <c r="Z877" s="51">
        <v>13500</v>
      </c>
      <c r="AA877" s="52">
        <f t="shared" si="19"/>
        <v>0.980819529206626</v>
      </c>
      <c r="AB877" s="12">
        <v>13500</v>
      </c>
      <c r="AC877" s="12">
        <v>0</v>
      </c>
      <c r="AD877" s="43"/>
      <c r="AE877" s="43"/>
      <c r="AF877" s="43"/>
      <c r="AG877" s="43"/>
      <c r="AH877" s="43"/>
      <c r="AI877" s="43"/>
      <c r="AJ877" s="43"/>
      <c r="AK877" s="43"/>
      <c r="AL877" s="43"/>
      <c r="AM877" s="43"/>
      <c r="AN877" s="43"/>
      <c r="AO877" s="43"/>
      <c r="AP877" s="43"/>
      <c r="AQ877" s="43"/>
      <c r="AR877" s="43"/>
      <c r="AS877" s="43"/>
      <c r="AT877" s="43"/>
      <c r="AU877" s="43"/>
      <c r="AV877" s="43"/>
    </row>
    <row r="878" ht="15.75" spans="1:48">
      <c r="A878" s="12">
        <v>874</v>
      </c>
      <c r="B878" s="44">
        <v>761</v>
      </c>
      <c r="C878" s="45" t="s">
        <v>89</v>
      </c>
      <c r="D878" s="46"/>
      <c r="E878" s="47" t="s">
        <v>50</v>
      </c>
      <c r="F878" s="48">
        <v>1.7</v>
      </c>
      <c r="G878" s="38">
        <v>0</v>
      </c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49" t="s">
        <v>152</v>
      </c>
      <c r="Y878" s="50">
        <v>7395</v>
      </c>
      <c r="Z878" s="51">
        <v>7000</v>
      </c>
      <c r="AA878" s="52">
        <f t="shared" si="19"/>
        <v>0.94658553076403</v>
      </c>
      <c r="AB878" s="12">
        <v>7000</v>
      </c>
      <c r="AC878" s="12">
        <v>0</v>
      </c>
      <c r="AD878" s="43"/>
      <c r="AE878" s="43"/>
      <c r="AF878" s="43"/>
      <c r="AG878" s="43"/>
      <c r="AH878" s="43"/>
      <c r="AI878" s="43"/>
      <c r="AJ878" s="43"/>
      <c r="AK878" s="43"/>
      <c r="AL878" s="43"/>
      <c r="AM878" s="43"/>
      <c r="AN878" s="43"/>
      <c r="AO878" s="43"/>
      <c r="AP878" s="43"/>
      <c r="AQ878" s="43"/>
      <c r="AR878" s="43"/>
      <c r="AS878" s="43"/>
      <c r="AT878" s="43"/>
      <c r="AU878" s="43"/>
      <c r="AV878" s="43"/>
    </row>
    <row r="879" ht="15.75" spans="1:48">
      <c r="A879" s="12">
        <v>875</v>
      </c>
      <c r="B879" s="44">
        <v>4490</v>
      </c>
      <c r="C879" s="45" t="s">
        <v>91</v>
      </c>
      <c r="D879" s="46"/>
      <c r="E879" s="47" t="s">
        <v>50</v>
      </c>
      <c r="F879" s="48">
        <v>1.9</v>
      </c>
      <c r="G879" s="38">
        <v>0</v>
      </c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49" t="s">
        <v>105</v>
      </c>
      <c r="Y879" s="50">
        <v>1254</v>
      </c>
      <c r="Z879" s="51">
        <v>1380</v>
      </c>
      <c r="AA879" s="52">
        <f t="shared" si="19"/>
        <v>1.10047846889952</v>
      </c>
      <c r="AB879" s="12">
        <v>1380</v>
      </c>
      <c r="AC879" s="12">
        <v>0</v>
      </c>
      <c r="AD879" s="43"/>
      <c r="AE879" s="43"/>
      <c r="AF879" s="43"/>
      <c r="AG879" s="43"/>
      <c r="AH879" s="43"/>
      <c r="AI879" s="43"/>
      <c r="AJ879" s="43"/>
      <c r="AK879" s="43"/>
      <c r="AL879" s="43"/>
      <c r="AM879" s="43"/>
      <c r="AN879" s="43"/>
      <c r="AO879" s="43"/>
      <c r="AP879" s="43"/>
      <c r="AQ879" s="43"/>
      <c r="AR879" s="43"/>
      <c r="AS879" s="43"/>
      <c r="AT879" s="43"/>
      <c r="AU879" s="43"/>
      <c r="AV879" s="43"/>
    </row>
    <row r="880" ht="15.75" spans="1:48">
      <c r="A880" s="12">
        <v>876</v>
      </c>
      <c r="B880" s="44">
        <v>4490</v>
      </c>
      <c r="C880" s="45" t="s">
        <v>91</v>
      </c>
      <c r="D880" s="46"/>
      <c r="E880" s="47" t="s">
        <v>50</v>
      </c>
      <c r="F880" s="48">
        <v>0.27</v>
      </c>
      <c r="G880" s="38">
        <v>0</v>
      </c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49" t="s">
        <v>103</v>
      </c>
      <c r="Y880" s="50">
        <v>226.8</v>
      </c>
      <c r="Z880" s="51">
        <v>240</v>
      </c>
      <c r="AA880" s="52">
        <f t="shared" si="19"/>
        <v>1.05820105820106</v>
      </c>
      <c r="AB880" s="12">
        <v>240</v>
      </c>
      <c r="AC880" s="12">
        <v>0</v>
      </c>
      <c r="AD880" s="43"/>
      <c r="AE880" s="43"/>
      <c r="AF880" s="43"/>
      <c r="AG880" s="43"/>
      <c r="AH880" s="43"/>
      <c r="AI880" s="43"/>
      <c r="AJ880" s="43"/>
      <c r="AK880" s="43"/>
      <c r="AL880" s="43"/>
      <c r="AM880" s="43"/>
      <c r="AN880" s="43"/>
      <c r="AO880" s="43"/>
      <c r="AP880" s="43"/>
      <c r="AQ880" s="43"/>
      <c r="AR880" s="43"/>
      <c r="AS880" s="43"/>
      <c r="AT880" s="43"/>
      <c r="AU880" s="43"/>
      <c r="AV880" s="43"/>
    </row>
    <row r="881" ht="15.75" spans="1:48">
      <c r="A881" s="12">
        <v>877</v>
      </c>
      <c r="B881" s="44">
        <v>669</v>
      </c>
      <c r="C881" s="45" t="s">
        <v>94</v>
      </c>
      <c r="D881" s="46"/>
      <c r="E881" s="47" t="s">
        <v>50</v>
      </c>
      <c r="F881" s="48">
        <v>1.33</v>
      </c>
      <c r="G881" s="38">
        <v>0</v>
      </c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49" t="s">
        <v>104</v>
      </c>
      <c r="Y881" s="50">
        <v>19950</v>
      </c>
      <c r="Z881" s="51">
        <v>20000</v>
      </c>
      <c r="AA881" s="52">
        <f t="shared" si="19"/>
        <v>1.00250626566416</v>
      </c>
      <c r="AB881" s="12">
        <v>20000</v>
      </c>
      <c r="AC881" s="12">
        <v>0</v>
      </c>
      <c r="AD881" s="43"/>
      <c r="AE881" s="43"/>
      <c r="AF881" s="43"/>
      <c r="AG881" s="43"/>
      <c r="AH881" s="43"/>
      <c r="AI881" s="43"/>
      <c r="AJ881" s="43"/>
      <c r="AK881" s="43"/>
      <c r="AL881" s="43"/>
      <c r="AM881" s="43"/>
      <c r="AN881" s="43"/>
      <c r="AO881" s="43"/>
      <c r="AP881" s="43"/>
      <c r="AQ881" s="43"/>
      <c r="AR881" s="43"/>
      <c r="AS881" s="43"/>
      <c r="AT881" s="43"/>
      <c r="AU881" s="43"/>
      <c r="AV881" s="43"/>
    </row>
    <row r="882" ht="15.75" spans="1:48">
      <c r="A882" s="12">
        <v>878</v>
      </c>
      <c r="B882" s="44">
        <v>676</v>
      </c>
      <c r="C882" s="45" t="s">
        <v>171</v>
      </c>
      <c r="D882" s="46"/>
      <c r="E882" s="47" t="s">
        <v>50</v>
      </c>
      <c r="F882" s="48">
        <v>2.83</v>
      </c>
      <c r="G882" s="38">
        <v>0</v>
      </c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49" t="s">
        <v>263</v>
      </c>
      <c r="Y882" s="50">
        <v>0</v>
      </c>
      <c r="Z882" s="51"/>
      <c r="AA882" s="52">
        <f>IFERROR(Z882/Y882,0)</f>
        <v>0</v>
      </c>
      <c r="AB882" s="12">
        <v>0</v>
      </c>
      <c r="AC882" s="12">
        <v>0</v>
      </c>
      <c r="AD882" s="43"/>
      <c r="AE882" s="43"/>
      <c r="AF882" s="43"/>
      <c r="AG882" s="43"/>
      <c r="AH882" s="43"/>
      <c r="AI882" s="43"/>
      <c r="AJ882" s="43"/>
      <c r="AK882" s="43"/>
      <c r="AL882" s="43"/>
      <c r="AM882" s="43"/>
      <c r="AN882" s="43"/>
      <c r="AO882" s="43"/>
      <c r="AP882" s="43"/>
      <c r="AQ882" s="43"/>
      <c r="AR882" s="43"/>
      <c r="AS882" s="43"/>
      <c r="AT882" s="43"/>
      <c r="AU882" s="43"/>
      <c r="AV882" s="43"/>
    </row>
    <row r="883" ht="15.75" spans="1:48">
      <c r="A883" s="12">
        <v>879</v>
      </c>
      <c r="B883" s="44" t="s">
        <v>230</v>
      </c>
      <c r="C883" s="45" t="s">
        <v>231</v>
      </c>
      <c r="D883" s="46"/>
      <c r="E883" s="47" t="s">
        <v>50</v>
      </c>
      <c r="F883" s="48">
        <v>3</v>
      </c>
      <c r="G883" s="38">
        <v>0</v>
      </c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49" t="s">
        <v>103</v>
      </c>
      <c r="Y883" s="50">
        <v>2520</v>
      </c>
      <c r="Z883" s="51">
        <v>2160</v>
      </c>
      <c r="AA883" s="52">
        <f>IFERROR(Z883/Y883,0)</f>
        <v>0.857142857142857</v>
      </c>
      <c r="AB883" s="12">
        <v>2160</v>
      </c>
      <c r="AC883" s="12">
        <v>0</v>
      </c>
      <c r="AD883" s="43"/>
      <c r="AE883" s="43"/>
      <c r="AF883" s="43"/>
      <c r="AG883" s="43"/>
      <c r="AH883" s="43"/>
      <c r="AI883" s="43"/>
      <c r="AJ883" s="43"/>
      <c r="AK883" s="43"/>
      <c r="AL883" s="43"/>
      <c r="AM883" s="43"/>
      <c r="AN883" s="43"/>
      <c r="AO883" s="43"/>
      <c r="AP883" s="43"/>
      <c r="AQ883" s="43"/>
      <c r="AR883" s="43"/>
      <c r="AS883" s="43"/>
      <c r="AT883" s="43"/>
      <c r="AU883" s="43"/>
      <c r="AV883" s="43"/>
    </row>
    <row r="884" ht="15.75" spans="1:48">
      <c r="A884" s="12">
        <v>880</v>
      </c>
      <c r="B884" s="44">
        <v>4489</v>
      </c>
      <c r="C884" s="45" t="s">
        <v>88</v>
      </c>
      <c r="D884" s="46"/>
      <c r="E884" s="47" t="s">
        <v>50</v>
      </c>
      <c r="F884" s="48">
        <v>1</v>
      </c>
      <c r="G884" s="38">
        <v>0</v>
      </c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49" t="s">
        <v>103</v>
      </c>
      <c r="Y884" s="50">
        <v>840</v>
      </c>
      <c r="Z884" s="51">
        <v>791</v>
      </c>
      <c r="AA884" s="52">
        <f>IFERROR(Z884/Y884,0)</f>
        <v>0.941666666666667</v>
      </c>
      <c r="AB884" s="12">
        <v>791</v>
      </c>
      <c r="AC884" s="12">
        <v>0</v>
      </c>
      <c r="AD884" s="43"/>
      <c r="AE884" s="43"/>
      <c r="AF884" s="43"/>
      <c r="AG884" s="43"/>
      <c r="AH884" s="43"/>
      <c r="AI884" s="43"/>
      <c r="AJ884" s="43"/>
      <c r="AK884" s="43"/>
      <c r="AL884" s="43"/>
      <c r="AM884" s="43"/>
      <c r="AN884" s="43"/>
      <c r="AO884" s="43"/>
      <c r="AP884" s="43"/>
      <c r="AQ884" s="43"/>
      <c r="AR884" s="43"/>
      <c r="AS884" s="43"/>
      <c r="AT884" s="43"/>
      <c r="AU884" s="43"/>
      <c r="AV884" s="43"/>
    </row>
    <row r="885" ht="15.75" spans="1:48">
      <c r="A885" s="12">
        <v>881</v>
      </c>
      <c r="B885" s="44">
        <v>3353</v>
      </c>
      <c r="C885" s="45" t="s">
        <v>48</v>
      </c>
      <c r="D885" s="46"/>
      <c r="E885" s="47"/>
      <c r="F885" s="48">
        <v>5.33</v>
      </c>
      <c r="G885" s="38">
        <v>0</v>
      </c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49" t="s">
        <v>122</v>
      </c>
      <c r="Y885" s="50">
        <v>0</v>
      </c>
      <c r="Z885" s="51"/>
      <c r="AA885" s="52">
        <f t="shared" ref="AA885:AA916" si="20">IFERROR(Z885/Y885,0)</f>
        <v>0</v>
      </c>
      <c r="AB885" s="12">
        <v>0</v>
      </c>
      <c r="AC885" s="12">
        <v>0</v>
      </c>
      <c r="AD885" s="43"/>
      <c r="AE885" s="43"/>
      <c r="AF885" s="43"/>
      <c r="AG885" s="43"/>
      <c r="AH885" s="43"/>
      <c r="AI885" s="43"/>
      <c r="AJ885" s="43"/>
      <c r="AK885" s="43"/>
      <c r="AL885" s="43"/>
      <c r="AM885" s="43"/>
      <c r="AN885" s="43"/>
      <c r="AO885" s="43"/>
      <c r="AP885" s="43"/>
      <c r="AQ885" s="43"/>
      <c r="AR885" s="43"/>
      <c r="AS885" s="43"/>
      <c r="AT885" s="43"/>
      <c r="AU885" s="43"/>
      <c r="AV885" s="43"/>
    </row>
    <row r="886" ht="15.75" spans="1:48">
      <c r="A886" s="12">
        <v>882</v>
      </c>
      <c r="B886" s="44">
        <v>3111</v>
      </c>
      <c r="C886" s="45" t="s">
        <v>124</v>
      </c>
      <c r="D886" s="46" t="s">
        <v>217</v>
      </c>
      <c r="E886" s="47" t="s">
        <v>250</v>
      </c>
      <c r="F886" s="48">
        <v>10.5</v>
      </c>
      <c r="G886" s="38">
        <v>1.5</v>
      </c>
      <c r="H886" s="39"/>
      <c r="I886" s="39"/>
      <c r="J886" s="39"/>
      <c r="K886" s="39"/>
      <c r="L886" s="39"/>
      <c r="M886" s="39"/>
      <c r="N886" s="39"/>
      <c r="O886" s="39"/>
      <c r="P886" s="39"/>
      <c r="Q886" s="39">
        <v>1.33</v>
      </c>
      <c r="R886" s="39"/>
      <c r="S886" s="39"/>
      <c r="T886" s="39"/>
      <c r="U886" s="39">
        <v>0.17</v>
      </c>
      <c r="V886" s="39"/>
      <c r="W886" s="39"/>
      <c r="X886" s="49" t="s">
        <v>55</v>
      </c>
      <c r="Y886" s="50">
        <v>17750.25</v>
      </c>
      <c r="Z886" s="51">
        <v>17200</v>
      </c>
      <c r="AA886" s="52">
        <f t="shared" si="20"/>
        <v>0.969000436613569</v>
      </c>
      <c r="AB886" s="12">
        <v>17200</v>
      </c>
      <c r="AC886" s="12">
        <v>0</v>
      </c>
      <c r="AD886" s="43"/>
      <c r="AE886" s="43"/>
      <c r="AF886" s="43"/>
      <c r="AG886" s="43"/>
      <c r="AH886" s="43"/>
      <c r="AI886" s="43"/>
      <c r="AJ886" s="43"/>
      <c r="AK886" s="43"/>
      <c r="AL886" s="43"/>
      <c r="AM886" s="43"/>
      <c r="AN886" s="43"/>
      <c r="AO886" s="43"/>
      <c r="AP886" s="43"/>
      <c r="AQ886" s="43"/>
      <c r="AR886" s="43"/>
      <c r="AS886" s="43"/>
      <c r="AT886" s="43"/>
      <c r="AU886" s="43"/>
      <c r="AV886" s="43"/>
    </row>
    <row r="887" ht="15.75" spans="1:48">
      <c r="A887" s="12">
        <v>883</v>
      </c>
      <c r="B887" s="44">
        <v>2890</v>
      </c>
      <c r="C887" s="45" t="s">
        <v>111</v>
      </c>
      <c r="D887" s="46" t="s">
        <v>264</v>
      </c>
      <c r="E887" s="47" t="s">
        <v>113</v>
      </c>
      <c r="F887" s="48">
        <v>4</v>
      </c>
      <c r="G887" s="38">
        <v>0.17</v>
      </c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>
        <v>0.17</v>
      </c>
      <c r="V887" s="39"/>
      <c r="W887" s="39"/>
      <c r="X887" s="49" t="s">
        <v>114</v>
      </c>
      <c r="Y887" s="50">
        <v>3600</v>
      </c>
      <c r="Z887" s="51">
        <v>3360</v>
      </c>
      <c r="AA887" s="52">
        <f t="shared" si="20"/>
        <v>0.933333333333333</v>
      </c>
      <c r="AB887" s="12">
        <v>3354</v>
      </c>
      <c r="AC887" s="12">
        <v>6</v>
      </c>
      <c r="AD887" s="43"/>
      <c r="AE887" s="43"/>
      <c r="AF887" s="43"/>
      <c r="AG887" s="43"/>
      <c r="AH887" s="43"/>
      <c r="AI887" s="43"/>
      <c r="AJ887" s="43"/>
      <c r="AK887" s="43"/>
      <c r="AL887" s="43"/>
      <c r="AM887" s="43"/>
      <c r="AN887" s="19">
        <v>6</v>
      </c>
      <c r="AO887" s="43"/>
      <c r="AP887" s="43"/>
      <c r="AQ887" s="43"/>
      <c r="AR887" s="43"/>
      <c r="AS887" s="43"/>
      <c r="AT887" s="43"/>
      <c r="AU887" s="43"/>
      <c r="AV887" s="43"/>
    </row>
    <row r="888" ht="15.75" spans="1:48">
      <c r="A888" s="12">
        <v>884</v>
      </c>
      <c r="B888" s="44">
        <v>2890</v>
      </c>
      <c r="C888" s="45" t="s">
        <v>111</v>
      </c>
      <c r="D888" s="46"/>
      <c r="E888" s="47" t="s">
        <v>113</v>
      </c>
      <c r="F888" s="48">
        <v>6</v>
      </c>
      <c r="G888" s="38">
        <v>1.83</v>
      </c>
      <c r="H888" s="39"/>
      <c r="I888" s="39"/>
      <c r="J888" s="39"/>
      <c r="K888" s="39"/>
      <c r="L888" s="39"/>
      <c r="M888" s="39"/>
      <c r="N888" s="39"/>
      <c r="O888" s="39"/>
      <c r="P888" s="39"/>
      <c r="Q888" s="39">
        <v>1.33</v>
      </c>
      <c r="R888" s="39"/>
      <c r="S888" s="39"/>
      <c r="T888" s="39"/>
      <c r="U888" s="39">
        <v>0.5</v>
      </c>
      <c r="V888" s="39"/>
      <c r="W888" s="39"/>
      <c r="X888" s="49" t="s">
        <v>216</v>
      </c>
      <c r="Y888" s="50">
        <v>5100</v>
      </c>
      <c r="Z888" s="51">
        <v>5020</v>
      </c>
      <c r="AA888" s="52">
        <f t="shared" si="20"/>
        <v>0.984313725490196</v>
      </c>
      <c r="AB888" s="12">
        <v>5020</v>
      </c>
      <c r="AC888" s="12">
        <v>0</v>
      </c>
      <c r="AD888" s="43"/>
      <c r="AE888" s="43"/>
      <c r="AF888" s="43"/>
      <c r="AG888" s="43"/>
      <c r="AH888" s="43"/>
      <c r="AI888" s="43"/>
      <c r="AJ888" s="43"/>
      <c r="AK888" s="43"/>
      <c r="AL888" s="43"/>
      <c r="AM888" s="43"/>
      <c r="AN888" s="43"/>
      <c r="AO888" s="43"/>
      <c r="AP888" s="43"/>
      <c r="AQ888" s="43"/>
      <c r="AR888" s="43"/>
      <c r="AS888" s="43"/>
      <c r="AT888" s="43"/>
      <c r="AU888" s="43"/>
      <c r="AV888" s="43"/>
    </row>
    <row r="889" ht="15.75" spans="1:48">
      <c r="A889" s="12">
        <v>885</v>
      </c>
      <c r="B889" s="44">
        <v>4325</v>
      </c>
      <c r="C889" s="45" t="s">
        <v>118</v>
      </c>
      <c r="D889" s="46"/>
      <c r="E889" s="47" t="s">
        <v>113</v>
      </c>
      <c r="F889" s="48">
        <v>10.66</v>
      </c>
      <c r="G889" s="38">
        <v>1.33</v>
      </c>
      <c r="H889" s="39"/>
      <c r="I889" s="39"/>
      <c r="J889" s="39"/>
      <c r="K889" s="39"/>
      <c r="L889" s="39"/>
      <c r="M889" s="39"/>
      <c r="N889" s="39"/>
      <c r="O889" s="39"/>
      <c r="P889" s="39"/>
      <c r="Q889" s="39">
        <v>1.33</v>
      </c>
      <c r="R889" s="39"/>
      <c r="S889" s="39"/>
      <c r="T889" s="39"/>
      <c r="U889" s="39"/>
      <c r="V889" s="39"/>
      <c r="W889" s="39"/>
      <c r="X889" s="49" t="s">
        <v>213</v>
      </c>
      <c r="Y889" s="50">
        <v>1279.2</v>
      </c>
      <c r="Z889" s="51">
        <v>1300</v>
      </c>
      <c r="AA889" s="52">
        <f t="shared" si="20"/>
        <v>1.01626016260163</v>
      </c>
      <c r="AB889" s="12">
        <v>1300</v>
      </c>
      <c r="AC889" s="12">
        <v>0</v>
      </c>
      <c r="AD889" s="43"/>
      <c r="AE889" s="43"/>
      <c r="AF889" s="43"/>
      <c r="AG889" s="43"/>
      <c r="AH889" s="43"/>
      <c r="AI889" s="43"/>
      <c r="AJ889" s="43"/>
      <c r="AK889" s="43"/>
      <c r="AL889" s="43"/>
      <c r="AM889" s="43"/>
      <c r="AN889" s="43"/>
      <c r="AO889" s="43"/>
      <c r="AP889" s="43"/>
      <c r="AQ889" s="43"/>
      <c r="AR889" s="43"/>
      <c r="AS889" s="43"/>
      <c r="AT889" s="43"/>
      <c r="AU889" s="43"/>
      <c r="AV889" s="43"/>
    </row>
    <row r="890" ht="15.75" spans="1:48">
      <c r="A890" s="12">
        <v>886</v>
      </c>
      <c r="B890" s="44">
        <v>3959</v>
      </c>
      <c r="C890" s="45" t="s">
        <v>123</v>
      </c>
      <c r="D890" s="46"/>
      <c r="E890" s="47" t="s">
        <v>113</v>
      </c>
      <c r="F890" s="48">
        <v>10.66</v>
      </c>
      <c r="G890" s="38">
        <v>1.33</v>
      </c>
      <c r="H890" s="39"/>
      <c r="I890" s="39"/>
      <c r="J890" s="39"/>
      <c r="K890" s="39"/>
      <c r="L890" s="39"/>
      <c r="M890" s="39"/>
      <c r="N890" s="39"/>
      <c r="O890" s="39"/>
      <c r="P890" s="39"/>
      <c r="Q890" s="39">
        <v>1.33</v>
      </c>
      <c r="R890" s="39"/>
      <c r="S890" s="39"/>
      <c r="T890" s="39"/>
      <c r="U890" s="39"/>
      <c r="V890" s="39"/>
      <c r="W890" s="39"/>
      <c r="X890" s="49" t="s">
        <v>120</v>
      </c>
      <c r="Y890" s="50">
        <v>2665</v>
      </c>
      <c r="Z890" s="51">
        <v>2550</v>
      </c>
      <c r="AA890" s="52">
        <f t="shared" si="20"/>
        <v>0.956848030018762</v>
      </c>
      <c r="AB890" s="12">
        <v>2550</v>
      </c>
      <c r="AC890" s="12">
        <v>0</v>
      </c>
      <c r="AD890" s="43"/>
      <c r="AE890" s="43"/>
      <c r="AF890" s="43"/>
      <c r="AG890" s="43"/>
      <c r="AH890" s="43"/>
      <c r="AI890" s="43"/>
      <c r="AJ890" s="43"/>
      <c r="AK890" s="43"/>
      <c r="AL890" s="43"/>
      <c r="AM890" s="43"/>
      <c r="AN890" s="43"/>
      <c r="AO890" s="43"/>
      <c r="AP890" s="43"/>
      <c r="AQ890" s="43"/>
      <c r="AR890" s="43"/>
      <c r="AS890" s="43"/>
      <c r="AT890" s="43"/>
      <c r="AU890" s="43"/>
      <c r="AV890" s="43"/>
    </row>
    <row r="891" ht="15.75" spans="1:48">
      <c r="A891" s="12">
        <v>887</v>
      </c>
      <c r="B891" s="44">
        <v>4456</v>
      </c>
      <c r="C891" s="45" t="s">
        <v>119</v>
      </c>
      <c r="D891" s="46"/>
      <c r="E891" s="47" t="s">
        <v>113</v>
      </c>
      <c r="F891" s="48">
        <v>10.66</v>
      </c>
      <c r="G891" s="38">
        <v>1.33</v>
      </c>
      <c r="H891" s="39"/>
      <c r="I891" s="39"/>
      <c r="J891" s="39"/>
      <c r="K891" s="39"/>
      <c r="L891" s="39"/>
      <c r="M891" s="39"/>
      <c r="N891" s="39"/>
      <c r="O891" s="39"/>
      <c r="P891" s="39"/>
      <c r="Q891" s="39">
        <v>1.33</v>
      </c>
      <c r="R891" s="39"/>
      <c r="S891" s="39"/>
      <c r="T891" s="39"/>
      <c r="U891" s="39"/>
      <c r="V891" s="39"/>
      <c r="W891" s="39"/>
      <c r="X891" s="49" t="s">
        <v>120</v>
      </c>
      <c r="Y891" s="50">
        <v>2665</v>
      </c>
      <c r="Z891" s="51">
        <v>2550</v>
      </c>
      <c r="AA891" s="52">
        <f t="shared" si="20"/>
        <v>0.956848030018762</v>
      </c>
      <c r="AB891" s="12">
        <v>2550</v>
      </c>
      <c r="AC891" s="12">
        <v>0</v>
      </c>
      <c r="AD891" s="43"/>
      <c r="AE891" s="43"/>
      <c r="AF891" s="43"/>
      <c r="AG891" s="43"/>
      <c r="AH891" s="43"/>
      <c r="AI891" s="43"/>
      <c r="AJ891" s="43"/>
      <c r="AK891" s="43"/>
      <c r="AL891" s="43"/>
      <c r="AM891" s="43"/>
      <c r="AN891" s="43"/>
      <c r="AO891" s="43"/>
      <c r="AP891" s="43"/>
      <c r="AQ891" s="43"/>
      <c r="AR891" s="43"/>
      <c r="AS891" s="43"/>
      <c r="AT891" s="43"/>
      <c r="AU891" s="43"/>
      <c r="AV891" s="43"/>
    </row>
    <row r="892" ht="15.75" spans="1:48">
      <c r="A892" s="12">
        <v>888</v>
      </c>
      <c r="B892" s="44">
        <v>655</v>
      </c>
      <c r="C892" s="45" t="s">
        <v>198</v>
      </c>
      <c r="D892" s="46">
        <v>12</v>
      </c>
      <c r="E892" s="47" t="s">
        <v>113</v>
      </c>
      <c r="F892" s="48">
        <v>10.5</v>
      </c>
      <c r="G892" s="38">
        <v>1.5</v>
      </c>
      <c r="H892" s="39"/>
      <c r="I892" s="39"/>
      <c r="J892" s="39"/>
      <c r="K892" s="39"/>
      <c r="L892" s="39"/>
      <c r="M892" s="39"/>
      <c r="N892" s="39"/>
      <c r="O892" s="39"/>
      <c r="P892" s="39"/>
      <c r="Q892" s="39">
        <v>1.33</v>
      </c>
      <c r="R892" s="39"/>
      <c r="S892" s="39"/>
      <c r="T892" s="39"/>
      <c r="U892" s="39">
        <v>0.17</v>
      </c>
      <c r="V892" s="39"/>
      <c r="W892" s="39"/>
      <c r="X892" s="49" t="s">
        <v>194</v>
      </c>
      <c r="Y892" s="50">
        <v>3517.5</v>
      </c>
      <c r="Z892" s="51">
        <v>3480</v>
      </c>
      <c r="AA892" s="52">
        <f t="shared" si="20"/>
        <v>0.989339019189765</v>
      </c>
      <c r="AB892" s="12">
        <v>3436</v>
      </c>
      <c r="AC892" s="12">
        <v>44</v>
      </c>
      <c r="AD892" s="19">
        <v>44</v>
      </c>
      <c r="AE892" s="43"/>
      <c r="AF892" s="43"/>
      <c r="AG892" s="43"/>
      <c r="AH892" s="43"/>
      <c r="AI892" s="43"/>
      <c r="AJ892" s="43"/>
      <c r="AK892" s="43"/>
      <c r="AL892" s="43"/>
      <c r="AM892" s="43"/>
      <c r="AN892" s="43"/>
      <c r="AO892" s="43"/>
      <c r="AP892" s="43"/>
      <c r="AQ892" s="43"/>
      <c r="AR892" s="43"/>
      <c r="AS892" s="43"/>
      <c r="AT892" s="43"/>
      <c r="AU892" s="43"/>
      <c r="AV892" s="43"/>
    </row>
    <row r="893" ht="15.75" spans="1:48">
      <c r="A893" s="12">
        <v>889</v>
      </c>
      <c r="B893" s="44">
        <v>4418</v>
      </c>
      <c r="C893" s="45" t="s">
        <v>125</v>
      </c>
      <c r="D893" s="46">
        <v>11</v>
      </c>
      <c r="E893" s="47" t="s">
        <v>113</v>
      </c>
      <c r="F893" s="48">
        <v>10.5</v>
      </c>
      <c r="G893" s="38">
        <v>1.5</v>
      </c>
      <c r="H893" s="39"/>
      <c r="I893" s="39"/>
      <c r="J893" s="39"/>
      <c r="K893" s="39"/>
      <c r="L893" s="39"/>
      <c r="M893" s="39"/>
      <c r="N893" s="39"/>
      <c r="O893" s="39"/>
      <c r="P893" s="39"/>
      <c r="Q893" s="39">
        <v>1.33</v>
      </c>
      <c r="R893" s="39"/>
      <c r="S893" s="39"/>
      <c r="T893" s="39"/>
      <c r="U893" s="39">
        <v>0.17</v>
      </c>
      <c r="V893" s="39"/>
      <c r="W893" s="39"/>
      <c r="X893" s="49" t="s">
        <v>239</v>
      </c>
      <c r="Y893" s="50">
        <v>5355</v>
      </c>
      <c r="Z893" s="51">
        <v>5265</v>
      </c>
      <c r="AA893" s="52">
        <f t="shared" si="20"/>
        <v>0.983193277310924</v>
      </c>
      <c r="AB893" s="12">
        <v>5265</v>
      </c>
      <c r="AC893" s="12">
        <v>0</v>
      </c>
      <c r="AD893" s="43"/>
      <c r="AE893" s="43"/>
      <c r="AF893" s="43"/>
      <c r="AG893" s="43"/>
      <c r="AH893" s="43"/>
      <c r="AI893" s="43"/>
      <c r="AJ893" s="43"/>
      <c r="AK893" s="43"/>
      <c r="AL893" s="43"/>
      <c r="AM893" s="43"/>
      <c r="AN893" s="43"/>
      <c r="AO893" s="43"/>
      <c r="AP893" s="43"/>
      <c r="AQ893" s="43"/>
      <c r="AR893" s="43"/>
      <c r="AS893" s="43"/>
      <c r="AT893" s="43"/>
      <c r="AU893" s="43"/>
      <c r="AV893" s="43"/>
    </row>
    <row r="894" ht="15.75" spans="1:48">
      <c r="A894" s="12">
        <v>890</v>
      </c>
      <c r="B894" s="44">
        <v>656</v>
      </c>
      <c r="C894" s="45" t="s">
        <v>195</v>
      </c>
      <c r="D894" s="46">
        <v>1</v>
      </c>
      <c r="E894" s="47" t="s">
        <v>113</v>
      </c>
      <c r="F894" s="48">
        <v>10.33</v>
      </c>
      <c r="G894" s="38">
        <v>1.67</v>
      </c>
      <c r="H894" s="39"/>
      <c r="I894" s="39"/>
      <c r="J894" s="39"/>
      <c r="K894" s="39">
        <v>0.17</v>
      </c>
      <c r="L894" s="39"/>
      <c r="M894" s="39"/>
      <c r="N894" s="39"/>
      <c r="O894" s="39"/>
      <c r="P894" s="39"/>
      <c r="Q894" s="39">
        <v>1.33</v>
      </c>
      <c r="R894" s="39"/>
      <c r="S894" s="39"/>
      <c r="T894" s="39"/>
      <c r="U894" s="39">
        <v>0.17</v>
      </c>
      <c r="V894" s="39"/>
      <c r="W894" s="39"/>
      <c r="X894" s="49" t="s">
        <v>199</v>
      </c>
      <c r="Y894" s="50">
        <v>3615.5</v>
      </c>
      <c r="Z894" s="51">
        <v>3600</v>
      </c>
      <c r="AA894" s="52">
        <f t="shared" si="20"/>
        <v>0.995712902779698</v>
      </c>
      <c r="AB894" s="12">
        <v>3600</v>
      </c>
      <c r="AC894" s="12">
        <v>0</v>
      </c>
      <c r="AD894" s="43"/>
      <c r="AE894" s="43"/>
      <c r="AF894" s="43"/>
      <c r="AG894" s="43"/>
      <c r="AH894" s="43"/>
      <c r="AI894" s="43"/>
      <c r="AJ894" s="43"/>
      <c r="AK894" s="43"/>
      <c r="AL894" s="43"/>
      <c r="AM894" s="43"/>
      <c r="AN894" s="43"/>
      <c r="AO894" s="43"/>
      <c r="AP894" s="43"/>
      <c r="AQ894" s="43"/>
      <c r="AR894" s="43"/>
      <c r="AS894" s="43"/>
      <c r="AT894" s="43"/>
      <c r="AU894" s="43"/>
      <c r="AV894" s="43"/>
    </row>
    <row r="895" ht="15.75" spans="1:48">
      <c r="A895" s="12">
        <v>891</v>
      </c>
      <c r="B895" s="44">
        <v>2649</v>
      </c>
      <c r="C895" s="45" t="s">
        <v>121</v>
      </c>
      <c r="D895" s="46"/>
      <c r="E895" s="47" t="s">
        <v>113</v>
      </c>
      <c r="F895" s="48">
        <v>5</v>
      </c>
      <c r="G895" s="38">
        <v>0</v>
      </c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49" t="s">
        <v>213</v>
      </c>
      <c r="Y895" s="50">
        <v>600</v>
      </c>
      <c r="Z895" s="51">
        <v>630</v>
      </c>
      <c r="AA895" s="52">
        <f t="shared" si="20"/>
        <v>1.05</v>
      </c>
      <c r="AB895" s="12">
        <v>630</v>
      </c>
      <c r="AC895" s="12">
        <v>0</v>
      </c>
      <c r="AD895" s="43"/>
      <c r="AE895" s="43"/>
      <c r="AF895" s="43"/>
      <c r="AG895" s="43"/>
      <c r="AH895" s="43"/>
      <c r="AI895" s="43"/>
      <c r="AJ895" s="43"/>
      <c r="AK895" s="43"/>
      <c r="AL895" s="43"/>
      <c r="AM895" s="43"/>
      <c r="AN895" s="43"/>
      <c r="AO895" s="43"/>
      <c r="AP895" s="43"/>
      <c r="AQ895" s="43"/>
      <c r="AR895" s="43"/>
      <c r="AS895" s="43"/>
      <c r="AT895" s="43"/>
      <c r="AU895" s="43"/>
      <c r="AV895" s="43"/>
    </row>
    <row r="896" ht="15.75" spans="1:48">
      <c r="A896" s="12">
        <v>892</v>
      </c>
      <c r="B896" s="44">
        <v>2649</v>
      </c>
      <c r="C896" s="45" t="s">
        <v>121</v>
      </c>
      <c r="D896" s="46"/>
      <c r="E896" s="47" t="s">
        <v>113</v>
      </c>
      <c r="F896" s="48">
        <v>2.66</v>
      </c>
      <c r="G896" s="38">
        <v>1.33</v>
      </c>
      <c r="H896" s="39"/>
      <c r="I896" s="39"/>
      <c r="J896" s="39"/>
      <c r="K896" s="39"/>
      <c r="L896" s="39"/>
      <c r="M896" s="39"/>
      <c r="N896" s="39"/>
      <c r="O896" s="39"/>
      <c r="P896" s="39"/>
      <c r="Q896" s="39">
        <v>1.33</v>
      </c>
      <c r="R896" s="39"/>
      <c r="S896" s="39"/>
      <c r="T896" s="39"/>
      <c r="U896" s="39"/>
      <c r="V896" s="39"/>
      <c r="W896" s="39"/>
      <c r="X896" s="49" t="s">
        <v>122</v>
      </c>
      <c r="Y896" s="50">
        <v>0</v>
      </c>
      <c r="Z896" s="51"/>
      <c r="AA896" s="52">
        <f t="shared" si="20"/>
        <v>0</v>
      </c>
      <c r="AB896" s="12">
        <v>0</v>
      </c>
      <c r="AC896" s="12">
        <v>0</v>
      </c>
      <c r="AD896" s="43"/>
      <c r="AE896" s="43"/>
      <c r="AF896" s="43"/>
      <c r="AG896" s="43"/>
      <c r="AH896" s="43"/>
      <c r="AI896" s="43"/>
      <c r="AJ896" s="43"/>
      <c r="AK896" s="43"/>
      <c r="AL896" s="43"/>
      <c r="AM896" s="43"/>
      <c r="AN896" s="43"/>
      <c r="AO896" s="43"/>
      <c r="AP896" s="43"/>
      <c r="AQ896" s="43"/>
      <c r="AR896" s="43"/>
      <c r="AS896" s="43"/>
      <c r="AT896" s="43"/>
      <c r="AU896" s="43"/>
      <c r="AV896" s="43"/>
    </row>
    <row r="897" ht="15.75" spans="1:48">
      <c r="A897" s="12">
        <v>893</v>
      </c>
      <c r="B897" s="44">
        <v>2649</v>
      </c>
      <c r="C897" s="45" t="s">
        <v>121</v>
      </c>
      <c r="D897" s="46"/>
      <c r="E897" s="47" t="s">
        <v>113</v>
      </c>
      <c r="F897" s="48">
        <v>3</v>
      </c>
      <c r="G897" s="38">
        <v>0</v>
      </c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49" t="s">
        <v>265</v>
      </c>
      <c r="Y897" s="50">
        <v>3900</v>
      </c>
      <c r="Z897" s="51">
        <v>4050</v>
      </c>
      <c r="AA897" s="52">
        <f t="shared" si="20"/>
        <v>1.03846153846154</v>
      </c>
      <c r="AB897" s="12">
        <v>4050</v>
      </c>
      <c r="AC897" s="12">
        <v>0</v>
      </c>
      <c r="AD897" s="43"/>
      <c r="AE897" s="43"/>
      <c r="AF897" s="43"/>
      <c r="AG897" s="43"/>
      <c r="AH897" s="43"/>
      <c r="AI897" s="43"/>
      <c r="AJ897" s="43"/>
      <c r="AK897" s="43"/>
      <c r="AL897" s="43"/>
      <c r="AM897" s="43"/>
      <c r="AN897" s="43"/>
      <c r="AO897" s="43"/>
      <c r="AP897" s="43"/>
      <c r="AQ897" s="43"/>
      <c r="AR897" s="43"/>
      <c r="AS897" s="43"/>
      <c r="AT897" s="43"/>
      <c r="AU897" s="43"/>
      <c r="AV897" s="43"/>
    </row>
    <row r="898" ht="15.75" spans="1:48">
      <c r="A898" s="12">
        <v>894</v>
      </c>
      <c r="B898" s="44">
        <v>2284</v>
      </c>
      <c r="C898" s="45" t="s">
        <v>59</v>
      </c>
      <c r="D898" s="46"/>
      <c r="E898" s="47" t="s">
        <v>50</v>
      </c>
      <c r="F898" s="48">
        <v>4.17</v>
      </c>
      <c r="G898" s="38">
        <v>1.17</v>
      </c>
      <c r="H898" s="39"/>
      <c r="I898" s="39"/>
      <c r="J898" s="39"/>
      <c r="K898" s="39"/>
      <c r="L898" s="39"/>
      <c r="M898" s="39"/>
      <c r="N898" s="39"/>
      <c r="O898" s="39"/>
      <c r="P898" s="39"/>
      <c r="Q898" s="39">
        <v>1.17</v>
      </c>
      <c r="R898" s="39"/>
      <c r="S898" s="39"/>
      <c r="T898" s="39"/>
      <c r="U898" s="39"/>
      <c r="V898" s="39"/>
      <c r="W898" s="39"/>
      <c r="X898" s="49" t="s">
        <v>122</v>
      </c>
      <c r="Y898" s="50">
        <v>0</v>
      </c>
      <c r="Z898" s="51"/>
      <c r="AA898" s="52">
        <f t="shared" si="20"/>
        <v>0</v>
      </c>
      <c r="AB898" s="12">
        <v>0</v>
      </c>
      <c r="AC898" s="12">
        <v>0</v>
      </c>
      <c r="AD898" s="43"/>
      <c r="AE898" s="43"/>
      <c r="AF898" s="43"/>
      <c r="AG898" s="43"/>
      <c r="AH898" s="43"/>
      <c r="AI898" s="43"/>
      <c r="AJ898" s="43"/>
      <c r="AK898" s="43"/>
      <c r="AL898" s="43"/>
      <c r="AM898" s="43"/>
      <c r="AN898" s="43"/>
      <c r="AO898" s="43"/>
      <c r="AP898" s="43"/>
      <c r="AQ898" s="43"/>
      <c r="AR898" s="43"/>
      <c r="AS898" s="43"/>
      <c r="AT898" s="43"/>
      <c r="AU898" s="43"/>
      <c r="AV898" s="43"/>
    </row>
    <row r="899" ht="15.75" spans="1:48">
      <c r="A899" s="12">
        <v>895</v>
      </c>
      <c r="B899" s="44">
        <v>2284</v>
      </c>
      <c r="C899" s="45" t="s">
        <v>59</v>
      </c>
      <c r="D899" s="46"/>
      <c r="E899" s="47" t="s">
        <v>50</v>
      </c>
      <c r="F899" s="48">
        <v>6.5</v>
      </c>
      <c r="G899" s="38">
        <v>0</v>
      </c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49" t="s">
        <v>266</v>
      </c>
      <c r="Y899" s="50">
        <v>0</v>
      </c>
      <c r="Z899" s="51"/>
      <c r="AA899" s="52">
        <f t="shared" si="20"/>
        <v>0</v>
      </c>
      <c r="AB899" s="12">
        <v>0</v>
      </c>
      <c r="AC899" s="12">
        <v>0</v>
      </c>
      <c r="AD899" s="43"/>
      <c r="AE899" s="43"/>
      <c r="AF899" s="43"/>
      <c r="AG899" s="43"/>
      <c r="AH899" s="43"/>
      <c r="AI899" s="43"/>
      <c r="AJ899" s="43"/>
      <c r="AK899" s="43"/>
      <c r="AL899" s="43"/>
      <c r="AM899" s="43"/>
      <c r="AN899" s="43"/>
      <c r="AO899" s="43"/>
      <c r="AP899" s="43"/>
      <c r="AQ899" s="43"/>
      <c r="AR899" s="43"/>
      <c r="AS899" s="43"/>
      <c r="AT899" s="43"/>
      <c r="AU899" s="43"/>
      <c r="AV899" s="43"/>
    </row>
    <row r="900" ht="15.75" spans="1:48">
      <c r="A900" s="12">
        <v>896</v>
      </c>
      <c r="B900" s="44">
        <v>3353</v>
      </c>
      <c r="C900" s="45" t="s">
        <v>48</v>
      </c>
      <c r="D900" s="46">
        <v>4</v>
      </c>
      <c r="E900" s="47" t="s">
        <v>50</v>
      </c>
      <c r="F900" s="48">
        <v>5.5</v>
      </c>
      <c r="G900" s="38">
        <v>1.17</v>
      </c>
      <c r="H900" s="39"/>
      <c r="I900" s="39"/>
      <c r="J900" s="39"/>
      <c r="K900" s="39"/>
      <c r="L900" s="39"/>
      <c r="M900" s="39"/>
      <c r="N900" s="39"/>
      <c r="O900" s="39"/>
      <c r="P900" s="39"/>
      <c r="Q900" s="39">
        <v>1.17</v>
      </c>
      <c r="R900" s="39"/>
      <c r="S900" s="39"/>
      <c r="T900" s="39"/>
      <c r="U900" s="39"/>
      <c r="V900" s="39"/>
      <c r="W900" s="39"/>
      <c r="X900" s="49">
        <v>9116</v>
      </c>
      <c r="Y900" s="50">
        <v>1650</v>
      </c>
      <c r="Z900" s="51">
        <v>1680</v>
      </c>
      <c r="AA900" s="52">
        <f t="shared" si="20"/>
        <v>1.01818181818182</v>
      </c>
      <c r="AB900" s="12">
        <v>1680</v>
      </c>
      <c r="AC900" s="12">
        <v>0</v>
      </c>
      <c r="AD900" s="43"/>
      <c r="AE900" s="43"/>
      <c r="AF900" s="43"/>
      <c r="AG900" s="43"/>
      <c r="AH900" s="43"/>
      <c r="AI900" s="43"/>
      <c r="AJ900" s="43"/>
      <c r="AK900" s="43"/>
      <c r="AL900" s="43"/>
      <c r="AM900" s="43"/>
      <c r="AN900" s="43"/>
      <c r="AO900" s="43"/>
      <c r="AP900" s="43"/>
      <c r="AQ900" s="43"/>
      <c r="AR900" s="43"/>
      <c r="AS900" s="43"/>
      <c r="AT900" s="43"/>
      <c r="AU900" s="43"/>
      <c r="AV900" s="43"/>
    </row>
    <row r="901" ht="15.75" spans="1:48">
      <c r="A901" s="12">
        <v>897</v>
      </c>
      <c r="B901" s="44">
        <v>3352</v>
      </c>
      <c r="C901" s="45" t="s">
        <v>66</v>
      </c>
      <c r="D901" s="46"/>
      <c r="E901" s="47" t="s">
        <v>50</v>
      </c>
      <c r="F901" s="48">
        <v>10.83</v>
      </c>
      <c r="G901" s="38">
        <v>1.17</v>
      </c>
      <c r="H901" s="39"/>
      <c r="I901" s="39"/>
      <c r="J901" s="39"/>
      <c r="K901" s="39"/>
      <c r="L901" s="39"/>
      <c r="M901" s="39"/>
      <c r="N901" s="39"/>
      <c r="O901" s="39"/>
      <c r="P901" s="39"/>
      <c r="Q901" s="39">
        <v>1.17</v>
      </c>
      <c r="R901" s="39"/>
      <c r="S901" s="39"/>
      <c r="T901" s="39"/>
      <c r="U901" s="39"/>
      <c r="V901" s="39"/>
      <c r="W901" s="39"/>
      <c r="X901" s="49" t="s">
        <v>120</v>
      </c>
      <c r="Y901" s="50">
        <v>2707.5</v>
      </c>
      <c r="Z901" s="51">
        <v>2600</v>
      </c>
      <c r="AA901" s="52">
        <f t="shared" si="20"/>
        <v>0.960295475530933</v>
      </c>
      <c r="AB901" s="12">
        <v>2600</v>
      </c>
      <c r="AC901" s="12">
        <v>0</v>
      </c>
      <c r="AD901" s="43"/>
      <c r="AE901" s="43"/>
      <c r="AF901" s="43"/>
      <c r="AG901" s="43"/>
      <c r="AH901" s="43"/>
      <c r="AI901" s="43"/>
      <c r="AJ901" s="43"/>
      <c r="AK901" s="43"/>
      <c r="AL901" s="43"/>
      <c r="AM901" s="43"/>
      <c r="AN901" s="43"/>
      <c r="AO901" s="43"/>
      <c r="AP901" s="43"/>
      <c r="AQ901" s="43"/>
      <c r="AR901" s="43"/>
      <c r="AS901" s="43"/>
      <c r="AT901" s="43"/>
      <c r="AU901" s="43"/>
      <c r="AV901" s="43"/>
    </row>
    <row r="902" ht="15.75" spans="1:48">
      <c r="A902" s="12">
        <v>898</v>
      </c>
      <c r="B902" s="44">
        <v>698</v>
      </c>
      <c r="C902" s="45" t="s">
        <v>68</v>
      </c>
      <c r="D902" s="46">
        <v>11</v>
      </c>
      <c r="E902" s="47" t="s">
        <v>50</v>
      </c>
      <c r="F902" s="48">
        <v>10.66</v>
      </c>
      <c r="G902" s="38">
        <v>1.34</v>
      </c>
      <c r="H902" s="39"/>
      <c r="I902" s="39"/>
      <c r="J902" s="39"/>
      <c r="K902" s="39"/>
      <c r="L902" s="39"/>
      <c r="M902" s="39"/>
      <c r="N902" s="39"/>
      <c r="O902" s="39"/>
      <c r="P902" s="39"/>
      <c r="Q902" s="39">
        <v>1.17</v>
      </c>
      <c r="R902" s="39"/>
      <c r="S902" s="39"/>
      <c r="T902" s="39"/>
      <c r="U902" s="39">
        <v>0.17</v>
      </c>
      <c r="V902" s="39"/>
      <c r="W902" s="39"/>
      <c r="X902" s="49" t="s">
        <v>239</v>
      </c>
      <c r="Y902" s="50">
        <v>5436.6</v>
      </c>
      <c r="Z902" s="51">
        <v>5400</v>
      </c>
      <c r="AA902" s="52">
        <f t="shared" si="20"/>
        <v>0.993267851230548</v>
      </c>
      <c r="AB902" s="12">
        <v>5400</v>
      </c>
      <c r="AC902" s="12">
        <v>0</v>
      </c>
      <c r="AD902" s="43"/>
      <c r="AE902" s="43"/>
      <c r="AF902" s="43"/>
      <c r="AG902" s="43"/>
      <c r="AH902" s="43"/>
      <c r="AI902" s="43"/>
      <c r="AJ902" s="43"/>
      <c r="AK902" s="43"/>
      <c r="AL902" s="43"/>
      <c r="AM902" s="43"/>
      <c r="AN902" s="43"/>
      <c r="AO902" s="43"/>
      <c r="AP902" s="43"/>
      <c r="AQ902" s="43"/>
      <c r="AR902" s="43"/>
      <c r="AS902" s="43"/>
      <c r="AT902" s="43"/>
      <c r="AU902" s="43"/>
      <c r="AV902" s="43"/>
    </row>
    <row r="903" ht="15.75" spans="1:48">
      <c r="A903" s="12">
        <v>899</v>
      </c>
      <c r="B903" s="44" t="s">
        <v>267</v>
      </c>
      <c r="C903" s="45" t="e">
        <v>#N/A</v>
      </c>
      <c r="D903" s="46">
        <v>1</v>
      </c>
      <c r="E903" s="47" t="s">
        <v>50</v>
      </c>
      <c r="F903" s="48">
        <v>10.33</v>
      </c>
      <c r="G903" s="38">
        <v>1.67</v>
      </c>
      <c r="H903" s="39"/>
      <c r="I903" s="39"/>
      <c r="J903" s="39"/>
      <c r="K903" s="39">
        <v>0.33</v>
      </c>
      <c r="L903" s="39"/>
      <c r="M903" s="39"/>
      <c r="N903" s="39"/>
      <c r="O903" s="39"/>
      <c r="P903" s="39"/>
      <c r="Q903" s="39">
        <v>1.17</v>
      </c>
      <c r="R903" s="39"/>
      <c r="S903" s="39"/>
      <c r="T903" s="39"/>
      <c r="U903" s="39">
        <v>0.17</v>
      </c>
      <c r="V903" s="39"/>
      <c r="W903" s="39"/>
      <c r="X903" s="49" t="s">
        <v>199</v>
      </c>
      <c r="Y903" s="50">
        <v>3615.5</v>
      </c>
      <c r="Z903" s="51">
        <v>3720</v>
      </c>
      <c r="AA903" s="52">
        <f t="shared" si="20"/>
        <v>1.02890333287236</v>
      </c>
      <c r="AB903" s="12">
        <v>3720</v>
      </c>
      <c r="AC903" s="12">
        <v>0</v>
      </c>
      <c r="AD903" s="43"/>
      <c r="AE903" s="43"/>
      <c r="AF903" s="43"/>
      <c r="AG903" s="43"/>
      <c r="AH903" s="43"/>
      <c r="AI903" s="43"/>
      <c r="AJ903" s="43"/>
      <c r="AK903" s="43"/>
      <c r="AL903" s="43"/>
      <c r="AM903" s="43"/>
      <c r="AN903" s="43"/>
      <c r="AO903" s="43"/>
      <c r="AP903" s="43"/>
      <c r="AQ903" s="43"/>
      <c r="AR903" s="43"/>
      <c r="AS903" s="43"/>
      <c r="AT903" s="43"/>
      <c r="AU903" s="43"/>
      <c r="AV903" s="43"/>
    </row>
    <row r="904" ht="15.75" spans="1:48">
      <c r="A904" s="12">
        <v>900</v>
      </c>
      <c r="B904" s="44">
        <v>3526</v>
      </c>
      <c r="C904" s="45" t="s">
        <v>65</v>
      </c>
      <c r="D904" s="46"/>
      <c r="E904" s="47" t="s">
        <v>50</v>
      </c>
      <c r="F904" s="48">
        <v>10.83</v>
      </c>
      <c r="G904" s="38">
        <v>1.17</v>
      </c>
      <c r="H904" s="39"/>
      <c r="I904" s="39"/>
      <c r="J904" s="39"/>
      <c r="K904" s="39"/>
      <c r="L904" s="39"/>
      <c r="M904" s="39"/>
      <c r="N904" s="39"/>
      <c r="O904" s="39"/>
      <c r="P904" s="39"/>
      <c r="Q904" s="39">
        <v>1.17</v>
      </c>
      <c r="R904" s="39"/>
      <c r="S904" s="39"/>
      <c r="T904" s="39"/>
      <c r="U904" s="39"/>
      <c r="V904" s="39"/>
      <c r="W904" s="39"/>
      <c r="X904" s="49" t="s">
        <v>246</v>
      </c>
      <c r="Y904" s="50">
        <v>3628.05</v>
      </c>
      <c r="Z904" s="51">
        <v>3400</v>
      </c>
      <c r="AA904" s="52">
        <f t="shared" si="20"/>
        <v>0.937142542136961</v>
      </c>
      <c r="AB904" s="12">
        <v>3400</v>
      </c>
      <c r="AC904" s="12">
        <v>0</v>
      </c>
      <c r="AD904" s="43"/>
      <c r="AE904" s="43"/>
      <c r="AF904" s="43"/>
      <c r="AG904" s="43"/>
      <c r="AH904" s="43"/>
      <c r="AI904" s="43"/>
      <c r="AJ904" s="43"/>
      <c r="AK904" s="43"/>
      <c r="AL904" s="43"/>
      <c r="AM904" s="43"/>
      <c r="AN904" s="43"/>
      <c r="AO904" s="43"/>
      <c r="AP904" s="43"/>
      <c r="AQ904" s="43"/>
      <c r="AR904" s="43"/>
      <c r="AS904" s="43"/>
      <c r="AT904" s="43"/>
      <c r="AU904" s="43"/>
      <c r="AV904" s="43"/>
    </row>
    <row r="905" ht="15.75" spans="1:48">
      <c r="A905" s="12">
        <v>901</v>
      </c>
      <c r="B905" s="44">
        <v>4031</v>
      </c>
      <c r="C905" s="45" t="s">
        <v>64</v>
      </c>
      <c r="D905" s="46">
        <v>10</v>
      </c>
      <c r="E905" s="47" t="s">
        <v>50</v>
      </c>
      <c r="F905" s="48">
        <v>10.66</v>
      </c>
      <c r="G905" s="38">
        <v>1.34</v>
      </c>
      <c r="H905" s="39"/>
      <c r="I905" s="39"/>
      <c r="J905" s="39"/>
      <c r="K905" s="39"/>
      <c r="L905" s="39"/>
      <c r="M905" s="39"/>
      <c r="N905" s="39"/>
      <c r="O905" s="39"/>
      <c r="P905" s="39"/>
      <c r="Q905" s="39">
        <v>1.17</v>
      </c>
      <c r="R905" s="39"/>
      <c r="S905" s="39"/>
      <c r="T905" s="39"/>
      <c r="U905" s="39">
        <v>0.17</v>
      </c>
      <c r="V905" s="39"/>
      <c r="W905" s="39"/>
      <c r="X905" s="49">
        <v>127</v>
      </c>
      <c r="Y905" s="50">
        <v>5330</v>
      </c>
      <c r="Z905" s="51">
        <v>5400</v>
      </c>
      <c r="AA905" s="52">
        <f t="shared" si="20"/>
        <v>1.01313320825516</v>
      </c>
      <c r="AB905" s="12">
        <v>5400</v>
      </c>
      <c r="AC905" s="12">
        <v>0</v>
      </c>
      <c r="AD905" s="43"/>
      <c r="AE905" s="43"/>
      <c r="AF905" s="43"/>
      <c r="AG905" s="43"/>
      <c r="AH905" s="43"/>
      <c r="AI905" s="43"/>
      <c r="AJ905" s="43"/>
      <c r="AK905" s="43"/>
      <c r="AL905" s="43"/>
      <c r="AM905" s="43"/>
      <c r="AN905" s="43"/>
      <c r="AO905" s="43"/>
      <c r="AP905" s="43"/>
      <c r="AQ905" s="43"/>
      <c r="AR905" s="43"/>
      <c r="AS905" s="43"/>
      <c r="AT905" s="43"/>
      <c r="AU905" s="43"/>
      <c r="AV905" s="43"/>
    </row>
    <row r="906" ht="15.75" spans="1:48">
      <c r="A906" s="12">
        <v>902</v>
      </c>
      <c r="B906" s="44" t="s">
        <v>268</v>
      </c>
      <c r="C906" s="45" t="e">
        <v>#N/A</v>
      </c>
      <c r="D906" s="46">
        <v>12</v>
      </c>
      <c r="E906" s="47" t="s">
        <v>50</v>
      </c>
      <c r="F906" s="48">
        <v>7</v>
      </c>
      <c r="G906" s="38">
        <v>1</v>
      </c>
      <c r="H906" s="39"/>
      <c r="I906" s="39"/>
      <c r="J906" s="39"/>
      <c r="K906" s="39">
        <v>0.17</v>
      </c>
      <c r="L906" s="39"/>
      <c r="M906" s="39"/>
      <c r="N906" s="39"/>
      <c r="O906" s="39"/>
      <c r="P906" s="39"/>
      <c r="Q906" s="39">
        <v>0.83</v>
      </c>
      <c r="R906" s="39"/>
      <c r="S906" s="39"/>
      <c r="T906" s="39"/>
      <c r="U906" s="39"/>
      <c r="V906" s="39"/>
      <c r="W906" s="39"/>
      <c r="X906" s="49" t="s">
        <v>71</v>
      </c>
      <c r="Y906" s="50">
        <v>2345</v>
      </c>
      <c r="Z906" s="51">
        <v>1860</v>
      </c>
      <c r="AA906" s="52">
        <f t="shared" si="20"/>
        <v>0.79317697228145</v>
      </c>
      <c r="AB906" s="12">
        <v>1860</v>
      </c>
      <c r="AC906" s="12">
        <v>0</v>
      </c>
      <c r="AD906" s="43"/>
      <c r="AE906" s="43"/>
      <c r="AF906" s="43"/>
      <c r="AG906" s="43"/>
      <c r="AH906" s="43"/>
      <c r="AI906" s="43"/>
      <c r="AJ906" s="43"/>
      <c r="AK906" s="43"/>
      <c r="AL906" s="43"/>
      <c r="AM906" s="43"/>
      <c r="AN906" s="43"/>
      <c r="AO906" s="43"/>
      <c r="AP906" s="43"/>
      <c r="AQ906" s="43"/>
      <c r="AR906" s="43"/>
      <c r="AS906" s="43"/>
      <c r="AT906" s="43"/>
      <c r="AU906" s="43"/>
      <c r="AV906" s="43"/>
    </row>
    <row r="907" ht="15.75" spans="1:48">
      <c r="A907" s="12">
        <v>903</v>
      </c>
      <c r="B907" s="44" t="s">
        <v>269</v>
      </c>
      <c r="C907" s="45" t="e">
        <v>#N/A</v>
      </c>
      <c r="D907" s="46">
        <v>12</v>
      </c>
      <c r="E907" s="47" t="s">
        <v>50</v>
      </c>
      <c r="F907" s="48">
        <v>7</v>
      </c>
      <c r="G907" s="38">
        <v>1</v>
      </c>
      <c r="H907" s="39"/>
      <c r="I907" s="39"/>
      <c r="J907" s="39"/>
      <c r="K907" s="39"/>
      <c r="L907" s="39"/>
      <c r="M907" s="39"/>
      <c r="N907" s="39"/>
      <c r="O907" s="39"/>
      <c r="P907" s="39"/>
      <c r="Q907" s="39">
        <v>0.83</v>
      </c>
      <c r="R907" s="39"/>
      <c r="S907" s="39"/>
      <c r="T907" s="39"/>
      <c r="U907" s="39">
        <v>0.17</v>
      </c>
      <c r="V907" s="39"/>
      <c r="W907" s="39"/>
      <c r="X907" s="49" t="s">
        <v>71</v>
      </c>
      <c r="Y907" s="50">
        <v>2345</v>
      </c>
      <c r="Z907" s="51">
        <v>1860</v>
      </c>
      <c r="AA907" s="52">
        <f t="shared" si="20"/>
        <v>0.79317697228145</v>
      </c>
      <c r="AB907" s="12">
        <v>1860</v>
      </c>
      <c r="AC907" s="12">
        <v>0</v>
      </c>
      <c r="AD907" s="43"/>
      <c r="AE907" s="43"/>
      <c r="AF907" s="43"/>
      <c r="AG907" s="43"/>
      <c r="AH907" s="43"/>
      <c r="AI907" s="43"/>
      <c r="AJ907" s="43"/>
      <c r="AK907" s="43"/>
      <c r="AL907" s="43"/>
      <c r="AM907" s="43"/>
      <c r="AN907" s="43"/>
      <c r="AO907" s="43"/>
      <c r="AP907" s="43"/>
      <c r="AQ907" s="43"/>
      <c r="AR907" s="43"/>
      <c r="AS907" s="43"/>
      <c r="AT907" s="43"/>
      <c r="AU907" s="43"/>
      <c r="AV907" s="43"/>
    </row>
    <row r="908" ht="15.75" spans="1:48">
      <c r="A908" s="12">
        <v>904</v>
      </c>
      <c r="B908" s="44">
        <v>2284</v>
      </c>
      <c r="C908" s="45" t="s">
        <v>59</v>
      </c>
      <c r="D908" s="46">
        <v>12</v>
      </c>
      <c r="E908" s="47" t="s">
        <v>50</v>
      </c>
      <c r="F908" s="48">
        <v>0.17</v>
      </c>
      <c r="G908" s="38">
        <v>0</v>
      </c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49" t="s">
        <v>270</v>
      </c>
      <c r="Y908" s="50">
        <v>144.5</v>
      </c>
      <c r="Z908" s="51">
        <v>206</v>
      </c>
      <c r="AA908" s="52">
        <f t="shared" si="20"/>
        <v>1.42560553633218</v>
      </c>
      <c r="AB908" s="12">
        <v>187</v>
      </c>
      <c r="AC908" s="12">
        <v>19</v>
      </c>
      <c r="AD908" s="43"/>
      <c r="AE908" s="43"/>
      <c r="AF908" s="43"/>
      <c r="AG908" s="43"/>
      <c r="AH908" s="43"/>
      <c r="AI908" s="43"/>
      <c r="AJ908" s="43"/>
      <c r="AK908" s="43"/>
      <c r="AL908" s="43"/>
      <c r="AM908" s="43"/>
      <c r="AN908" s="19">
        <v>19</v>
      </c>
      <c r="AO908" s="43"/>
      <c r="AP908" s="43"/>
      <c r="AQ908" s="43"/>
      <c r="AR908" s="43"/>
      <c r="AS908" s="43"/>
      <c r="AT908" s="43"/>
      <c r="AU908" s="43"/>
      <c r="AV908" s="43"/>
    </row>
    <row r="909" ht="15.75" spans="1:48">
      <c r="A909" s="12">
        <v>905</v>
      </c>
      <c r="B909" s="44" t="s">
        <v>205</v>
      </c>
      <c r="C909" s="45" t="e">
        <v>#N/A</v>
      </c>
      <c r="D909" s="46">
        <v>13</v>
      </c>
      <c r="E909" s="47" t="s">
        <v>50</v>
      </c>
      <c r="F909" s="48">
        <v>10.33</v>
      </c>
      <c r="G909" s="38">
        <v>1.67</v>
      </c>
      <c r="H909" s="39"/>
      <c r="I909" s="39"/>
      <c r="J909" s="39"/>
      <c r="K909" s="39">
        <v>0.33</v>
      </c>
      <c r="L909" s="39"/>
      <c r="M909" s="39"/>
      <c r="N909" s="39"/>
      <c r="O909" s="39"/>
      <c r="P909" s="39"/>
      <c r="Q909" s="39">
        <v>1.17</v>
      </c>
      <c r="R909" s="39"/>
      <c r="S909" s="39"/>
      <c r="T909" s="39"/>
      <c r="U909" s="39">
        <v>0.17</v>
      </c>
      <c r="V909" s="39"/>
      <c r="W909" s="39"/>
      <c r="X909" s="49" t="s">
        <v>114</v>
      </c>
      <c r="Y909" s="50">
        <v>9297</v>
      </c>
      <c r="Z909" s="51">
        <v>6400</v>
      </c>
      <c r="AA909" s="52">
        <f t="shared" si="20"/>
        <v>0.688394105625471</v>
      </c>
      <c r="AB909" s="12">
        <v>6400</v>
      </c>
      <c r="AC909" s="12">
        <v>0</v>
      </c>
      <c r="AD909" s="43"/>
      <c r="AE909" s="43"/>
      <c r="AF909" s="43"/>
      <c r="AG909" s="43"/>
      <c r="AH909" s="43"/>
      <c r="AI909" s="43"/>
      <c r="AJ909" s="43"/>
      <c r="AK909" s="43"/>
      <c r="AL909" s="43"/>
      <c r="AM909" s="43"/>
      <c r="AN909" s="43"/>
      <c r="AO909" s="43"/>
      <c r="AP909" s="43"/>
      <c r="AQ909" s="43"/>
      <c r="AR909" s="43"/>
      <c r="AS909" s="43"/>
      <c r="AT909" s="43"/>
      <c r="AU909" s="43"/>
      <c r="AV909" s="43"/>
    </row>
    <row r="910" ht="15.75" spans="1:48">
      <c r="A910" s="12">
        <v>906</v>
      </c>
      <c r="B910" s="44">
        <v>2516</v>
      </c>
      <c r="C910" s="45" t="s">
        <v>189</v>
      </c>
      <c r="D910" s="46">
        <v>4</v>
      </c>
      <c r="E910" s="47" t="s">
        <v>250</v>
      </c>
      <c r="F910" s="48">
        <v>10</v>
      </c>
      <c r="G910" s="38">
        <v>2</v>
      </c>
      <c r="H910" s="39"/>
      <c r="I910" s="39"/>
      <c r="J910" s="39"/>
      <c r="K910" s="39">
        <v>0.33</v>
      </c>
      <c r="L910" s="39"/>
      <c r="M910" s="39"/>
      <c r="N910" s="39"/>
      <c r="O910" s="39"/>
      <c r="P910" s="39"/>
      <c r="Q910" s="39">
        <v>1.17</v>
      </c>
      <c r="R910" s="39"/>
      <c r="S910" s="39"/>
      <c r="T910" s="39"/>
      <c r="U910" s="39">
        <v>0.5</v>
      </c>
      <c r="V910" s="39"/>
      <c r="W910" s="39"/>
      <c r="X910" s="49" t="s">
        <v>55</v>
      </c>
      <c r="Y910" s="50">
        <v>16905</v>
      </c>
      <c r="Z910" s="51">
        <v>16400</v>
      </c>
      <c r="AA910" s="52">
        <f t="shared" si="20"/>
        <v>0.970127181307306</v>
      </c>
      <c r="AB910" s="12">
        <v>16400</v>
      </c>
      <c r="AC910" s="12">
        <v>0</v>
      </c>
      <c r="AD910" s="43"/>
      <c r="AE910" s="43"/>
      <c r="AF910" s="43"/>
      <c r="AG910" s="43"/>
      <c r="AH910" s="43"/>
      <c r="AI910" s="43"/>
      <c r="AJ910" s="43"/>
      <c r="AK910" s="43"/>
      <c r="AL910" s="43"/>
      <c r="AM910" s="43"/>
      <c r="AN910" s="43"/>
      <c r="AO910" s="43"/>
      <c r="AP910" s="43"/>
      <c r="AQ910" s="43"/>
      <c r="AR910" s="43"/>
      <c r="AS910" s="43"/>
      <c r="AT910" s="43"/>
      <c r="AU910" s="43"/>
      <c r="AV910" s="43"/>
    </row>
    <row r="911" ht="15.75" spans="1:48">
      <c r="A911" s="12">
        <v>907</v>
      </c>
      <c r="B911" s="44">
        <v>3187</v>
      </c>
      <c r="C911" s="45" t="s">
        <v>52</v>
      </c>
      <c r="D911" s="46" t="s">
        <v>215</v>
      </c>
      <c r="E911" s="47" t="s">
        <v>50</v>
      </c>
      <c r="F911" s="48">
        <v>10.66</v>
      </c>
      <c r="G911" s="38">
        <v>1.34</v>
      </c>
      <c r="H911" s="39"/>
      <c r="I911" s="39"/>
      <c r="J911" s="39"/>
      <c r="K911" s="39"/>
      <c r="L911" s="39"/>
      <c r="M911" s="39"/>
      <c r="N911" s="39"/>
      <c r="O911" s="39"/>
      <c r="P911" s="39"/>
      <c r="Q911" s="39">
        <v>1.17</v>
      </c>
      <c r="R911" s="39"/>
      <c r="S911" s="39"/>
      <c r="T911" s="39"/>
      <c r="U911" s="39">
        <v>0.17</v>
      </c>
      <c r="V911" s="39"/>
      <c r="W911" s="39"/>
      <c r="X911" s="49" t="s">
        <v>216</v>
      </c>
      <c r="Y911" s="50">
        <v>9061</v>
      </c>
      <c r="Z911" s="51">
        <v>8760</v>
      </c>
      <c r="AA911" s="52">
        <f t="shared" si="20"/>
        <v>0.966780708531067</v>
      </c>
      <c r="AB911" s="12">
        <v>8760</v>
      </c>
      <c r="AC911" s="12">
        <v>0</v>
      </c>
      <c r="AD911" s="43"/>
      <c r="AE911" s="43"/>
      <c r="AF911" s="43"/>
      <c r="AG911" s="43"/>
      <c r="AH911" s="43"/>
      <c r="AI911" s="43"/>
      <c r="AJ911" s="43"/>
      <c r="AK911" s="43"/>
      <c r="AL911" s="43"/>
      <c r="AM911" s="43"/>
      <c r="AN911" s="43"/>
      <c r="AO911" s="43"/>
      <c r="AP911" s="43"/>
      <c r="AQ911" s="43"/>
      <c r="AR911" s="43"/>
      <c r="AS911" s="43"/>
      <c r="AT911" s="43"/>
      <c r="AU911" s="43"/>
      <c r="AV911" s="43"/>
    </row>
    <row r="912" ht="15.75" spans="1:48">
      <c r="A912" s="12">
        <v>908</v>
      </c>
      <c r="B912" s="44">
        <v>4496</v>
      </c>
      <c r="C912" s="45" t="s">
        <v>133</v>
      </c>
      <c r="D912" s="46" t="s">
        <v>73</v>
      </c>
      <c r="E912" s="47" t="s">
        <v>113</v>
      </c>
      <c r="F912" s="48">
        <v>0.5</v>
      </c>
      <c r="G912" s="38">
        <v>0</v>
      </c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49" t="s">
        <v>261</v>
      </c>
      <c r="Y912" s="50">
        <v>812.5</v>
      </c>
      <c r="Z912" s="51">
        <v>920</v>
      </c>
      <c r="AA912" s="52">
        <f t="shared" si="20"/>
        <v>1.13230769230769</v>
      </c>
      <c r="AB912" s="12">
        <v>920</v>
      </c>
      <c r="AC912" s="12">
        <v>0</v>
      </c>
      <c r="AD912" s="43"/>
      <c r="AE912" s="43"/>
      <c r="AF912" s="43"/>
      <c r="AG912" s="43"/>
      <c r="AH912" s="43"/>
      <c r="AI912" s="43"/>
      <c r="AJ912" s="43"/>
      <c r="AK912" s="43"/>
      <c r="AL912" s="43"/>
      <c r="AM912" s="43"/>
      <c r="AN912" s="43"/>
      <c r="AO912" s="43"/>
      <c r="AP912" s="43"/>
      <c r="AQ912" s="43"/>
      <c r="AR912" s="43"/>
      <c r="AS912" s="43"/>
      <c r="AT912" s="43"/>
      <c r="AU912" s="43"/>
      <c r="AV912" s="43"/>
    </row>
    <row r="913" ht="15.75" spans="1:48">
      <c r="A913" s="12">
        <v>909</v>
      </c>
      <c r="B913" s="44">
        <v>3919</v>
      </c>
      <c r="C913" s="45" t="s">
        <v>137</v>
      </c>
      <c r="D913" s="46" t="s">
        <v>73</v>
      </c>
      <c r="E913" s="47" t="s">
        <v>113</v>
      </c>
      <c r="F913" s="48">
        <v>3.17</v>
      </c>
      <c r="G913" s="38">
        <v>1.33</v>
      </c>
      <c r="H913" s="39"/>
      <c r="I913" s="39"/>
      <c r="J913" s="39"/>
      <c r="K913" s="39"/>
      <c r="L913" s="39"/>
      <c r="M913" s="39"/>
      <c r="N913" s="39"/>
      <c r="O913" s="39"/>
      <c r="P913" s="39"/>
      <c r="Q913" s="39">
        <v>1.33</v>
      </c>
      <c r="R913" s="39"/>
      <c r="S913" s="39"/>
      <c r="T913" s="39"/>
      <c r="U913" s="39"/>
      <c r="V913" s="39"/>
      <c r="W913" s="39"/>
      <c r="X913" s="49" t="s">
        <v>261</v>
      </c>
      <c r="Y913" s="50">
        <v>5151.25</v>
      </c>
      <c r="Z913" s="51">
        <v>5000</v>
      </c>
      <c r="AA913" s="52">
        <f t="shared" si="20"/>
        <v>0.970638194612958</v>
      </c>
      <c r="AB913" s="12">
        <v>5000</v>
      </c>
      <c r="AC913" s="12">
        <v>0</v>
      </c>
      <c r="AD913" s="43"/>
      <c r="AE913" s="43"/>
      <c r="AF913" s="43"/>
      <c r="AG913" s="43"/>
      <c r="AH913" s="43"/>
      <c r="AI913" s="43"/>
      <c r="AJ913" s="43"/>
      <c r="AK913" s="43"/>
      <c r="AL913" s="43"/>
      <c r="AM913" s="43"/>
      <c r="AN913" s="43"/>
      <c r="AO913" s="43"/>
      <c r="AP913" s="43"/>
      <c r="AQ913" s="43"/>
      <c r="AR913" s="43"/>
      <c r="AS913" s="43"/>
      <c r="AT913" s="43"/>
      <c r="AU913" s="43"/>
      <c r="AV913" s="43"/>
    </row>
    <row r="914" ht="15.75" spans="1:48">
      <c r="A914" s="12">
        <v>910</v>
      </c>
      <c r="B914" s="44">
        <v>3919</v>
      </c>
      <c r="C914" s="45" t="s">
        <v>137</v>
      </c>
      <c r="D914" s="46"/>
      <c r="E914" s="47" t="s">
        <v>113</v>
      </c>
      <c r="F914" s="48">
        <v>7.5</v>
      </c>
      <c r="G914" s="38">
        <v>0</v>
      </c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49" t="s">
        <v>271</v>
      </c>
      <c r="Y914" s="50">
        <v>0</v>
      </c>
      <c r="Z914" s="51"/>
      <c r="AA914" s="52">
        <f t="shared" si="20"/>
        <v>0</v>
      </c>
      <c r="AB914" s="12">
        <v>0</v>
      </c>
      <c r="AC914" s="12">
        <v>0</v>
      </c>
      <c r="AD914" s="43"/>
      <c r="AE914" s="43"/>
      <c r="AF914" s="43"/>
      <c r="AG914" s="43"/>
      <c r="AH914" s="43"/>
      <c r="AI914" s="43"/>
      <c r="AJ914" s="43"/>
      <c r="AK914" s="43"/>
      <c r="AL914" s="43"/>
      <c r="AM914" s="43"/>
      <c r="AN914" s="43"/>
      <c r="AO914" s="43"/>
      <c r="AP914" s="43"/>
      <c r="AQ914" s="43"/>
      <c r="AR914" s="43"/>
      <c r="AS914" s="43"/>
      <c r="AT914" s="43"/>
      <c r="AU914" s="43"/>
      <c r="AV914" s="43"/>
    </row>
    <row r="915" ht="15.75" spans="1:48">
      <c r="A915" s="12">
        <v>911</v>
      </c>
      <c r="B915" s="44">
        <v>4019</v>
      </c>
      <c r="C915" s="45" t="s">
        <v>134</v>
      </c>
      <c r="D915" s="46" t="s">
        <v>76</v>
      </c>
      <c r="E915" s="47" t="s">
        <v>113</v>
      </c>
      <c r="F915" s="48">
        <v>10.17</v>
      </c>
      <c r="G915" s="38">
        <v>1.83</v>
      </c>
      <c r="H915" s="39"/>
      <c r="I915" s="39"/>
      <c r="J915" s="39"/>
      <c r="K915" s="39">
        <v>0.17</v>
      </c>
      <c r="L915" s="39"/>
      <c r="M915" s="39"/>
      <c r="N915" s="39"/>
      <c r="O915" s="39"/>
      <c r="P915" s="39"/>
      <c r="Q915" s="39">
        <v>1.33</v>
      </c>
      <c r="R915" s="39"/>
      <c r="S915" s="39"/>
      <c r="T915" s="39"/>
      <c r="U915" s="39">
        <v>0.33</v>
      </c>
      <c r="V915" s="39"/>
      <c r="W915" s="39"/>
      <c r="X915" s="49" t="s">
        <v>77</v>
      </c>
      <c r="Y915" s="50">
        <v>61020</v>
      </c>
      <c r="Z915" s="51">
        <v>57960</v>
      </c>
      <c r="AA915" s="52">
        <f t="shared" si="20"/>
        <v>0.949852507374631</v>
      </c>
      <c r="AB915" s="12">
        <v>57840</v>
      </c>
      <c r="AC915" s="12">
        <v>120</v>
      </c>
      <c r="AD915" s="43"/>
      <c r="AE915" s="43"/>
      <c r="AF915" s="43"/>
      <c r="AG915" s="19">
        <v>56</v>
      </c>
      <c r="AH915" s="43"/>
      <c r="AI915" s="43"/>
      <c r="AJ915" s="43"/>
      <c r="AK915" s="43"/>
      <c r="AL915" s="43"/>
      <c r="AM915" s="43"/>
      <c r="AN915" s="19">
        <v>64</v>
      </c>
      <c r="AO915" s="43"/>
      <c r="AP915" s="43"/>
      <c r="AQ915" s="43"/>
      <c r="AR915" s="43"/>
      <c r="AS915" s="43"/>
      <c r="AT915" s="43"/>
      <c r="AU915" s="43"/>
      <c r="AV915" s="43"/>
    </row>
    <row r="916" ht="15.75" spans="1:48">
      <c r="A916" s="12">
        <v>912</v>
      </c>
      <c r="B916" s="44">
        <v>4019</v>
      </c>
      <c r="C916" s="45" t="s">
        <v>134</v>
      </c>
      <c r="D916" s="46" t="s">
        <v>78</v>
      </c>
      <c r="E916" s="47" t="s">
        <v>113</v>
      </c>
      <c r="F916" s="48">
        <v>10.17</v>
      </c>
      <c r="G916" s="38">
        <v>1.83</v>
      </c>
      <c r="H916" s="39"/>
      <c r="I916" s="39"/>
      <c r="J916" s="39"/>
      <c r="K916" s="39">
        <v>0.17</v>
      </c>
      <c r="L916" s="39"/>
      <c r="M916" s="39"/>
      <c r="N916" s="39"/>
      <c r="O916" s="39"/>
      <c r="P916" s="39"/>
      <c r="Q916" s="39">
        <v>1.33</v>
      </c>
      <c r="R916" s="39"/>
      <c r="S916" s="39"/>
      <c r="T916" s="39"/>
      <c r="U916" s="39">
        <v>0.33</v>
      </c>
      <c r="V916" s="39"/>
      <c r="W916" s="39"/>
      <c r="X916" s="49" t="s">
        <v>79</v>
      </c>
      <c r="Y916" s="50">
        <v>67732.2</v>
      </c>
      <c r="Z916" s="51">
        <v>61168</v>
      </c>
      <c r="AA916" s="52">
        <f t="shared" si="20"/>
        <v>0.90308597683229</v>
      </c>
      <c r="AB916" s="12">
        <v>61056</v>
      </c>
      <c r="AC916" s="12">
        <v>112</v>
      </c>
      <c r="AD916" s="43"/>
      <c r="AE916" s="43"/>
      <c r="AF916" s="43"/>
      <c r="AG916" s="19">
        <v>56</v>
      </c>
      <c r="AH916" s="43"/>
      <c r="AI916" s="43"/>
      <c r="AJ916" s="43"/>
      <c r="AK916" s="43"/>
      <c r="AL916" s="43"/>
      <c r="AM916" s="43"/>
      <c r="AN916" s="19">
        <v>56</v>
      </c>
      <c r="AO916" s="43"/>
      <c r="AP916" s="43"/>
      <c r="AQ916" s="43"/>
      <c r="AR916" s="43"/>
      <c r="AS916" s="43"/>
      <c r="AT916" s="43"/>
      <c r="AU916" s="43"/>
      <c r="AV916" s="43"/>
    </row>
    <row r="917" ht="15.75" spans="1:48">
      <c r="A917" s="12">
        <v>913</v>
      </c>
      <c r="B917" s="44">
        <v>4352</v>
      </c>
      <c r="C917" s="45" t="s">
        <v>132</v>
      </c>
      <c r="D917" s="46" t="s">
        <v>81</v>
      </c>
      <c r="E917" s="47" t="s">
        <v>113</v>
      </c>
      <c r="F917" s="48">
        <v>10.5</v>
      </c>
      <c r="G917" s="38">
        <v>1.5</v>
      </c>
      <c r="H917" s="39"/>
      <c r="I917" s="39"/>
      <c r="J917" s="39"/>
      <c r="K917" s="39"/>
      <c r="L917" s="39"/>
      <c r="M917" s="39"/>
      <c r="N917" s="39"/>
      <c r="O917" s="39"/>
      <c r="P917" s="39"/>
      <c r="Q917" s="39">
        <v>1.33</v>
      </c>
      <c r="R917" s="39"/>
      <c r="S917" s="39"/>
      <c r="T917" s="39"/>
      <c r="U917" s="39">
        <v>0.17</v>
      </c>
      <c r="V917" s="39"/>
      <c r="W917" s="39"/>
      <c r="X917" s="49" t="s">
        <v>201</v>
      </c>
      <c r="Y917" s="50">
        <v>17062.5</v>
      </c>
      <c r="Z917" s="51">
        <v>17080</v>
      </c>
      <c r="AA917" s="52">
        <f t="shared" ref="AA917:AA948" si="21">IFERROR(Z917/Y917,0)</f>
        <v>1.00102564102564</v>
      </c>
      <c r="AB917" s="12">
        <v>17080</v>
      </c>
      <c r="AC917" s="12">
        <v>0</v>
      </c>
      <c r="AD917" s="43"/>
      <c r="AE917" s="43"/>
      <c r="AF917" s="43"/>
      <c r="AG917" s="43"/>
      <c r="AH917" s="43"/>
      <c r="AI917" s="43"/>
      <c r="AJ917" s="43"/>
      <c r="AK917" s="43"/>
      <c r="AL917" s="43"/>
      <c r="AM917" s="43"/>
      <c r="AN917" s="43"/>
      <c r="AO917" s="43"/>
      <c r="AP917" s="43"/>
      <c r="AQ917" s="43"/>
      <c r="AR917" s="43"/>
      <c r="AS917" s="43"/>
      <c r="AT917" s="43"/>
      <c r="AU917" s="43"/>
      <c r="AV917" s="43"/>
    </row>
    <row r="918" ht="15.75" spans="1:48">
      <c r="A918" s="12">
        <v>914</v>
      </c>
      <c r="B918" s="44">
        <v>4019</v>
      </c>
      <c r="C918" s="45" t="s">
        <v>134</v>
      </c>
      <c r="D918" s="46" t="s">
        <v>207</v>
      </c>
      <c r="E918" s="47" t="s">
        <v>113</v>
      </c>
      <c r="F918" s="48">
        <v>10.17</v>
      </c>
      <c r="G918" s="38">
        <v>1.83</v>
      </c>
      <c r="H918" s="39"/>
      <c r="I918" s="39"/>
      <c r="J918" s="39"/>
      <c r="K918" s="39">
        <v>0.17</v>
      </c>
      <c r="L918" s="39"/>
      <c r="M918" s="39"/>
      <c r="N918" s="39"/>
      <c r="O918" s="39"/>
      <c r="P918" s="39"/>
      <c r="Q918" s="39">
        <v>1.33</v>
      </c>
      <c r="R918" s="39"/>
      <c r="S918" s="39"/>
      <c r="T918" s="39"/>
      <c r="U918" s="39">
        <v>0.33</v>
      </c>
      <c r="V918" s="39"/>
      <c r="W918" s="39"/>
      <c r="X918" s="49" t="s">
        <v>79</v>
      </c>
      <c r="Y918" s="50">
        <v>67732.2</v>
      </c>
      <c r="Z918" s="51">
        <v>61320</v>
      </c>
      <c r="AA918" s="52">
        <f t="shared" si="21"/>
        <v>0.905330108869932</v>
      </c>
      <c r="AB918" s="12">
        <v>61200</v>
      </c>
      <c r="AC918" s="12">
        <v>120</v>
      </c>
      <c r="AD918" s="43"/>
      <c r="AE918" s="43"/>
      <c r="AF918" s="43"/>
      <c r="AG918" s="19">
        <v>64</v>
      </c>
      <c r="AH918" s="43"/>
      <c r="AI918" s="43"/>
      <c r="AJ918" s="43"/>
      <c r="AK918" s="43"/>
      <c r="AL918" s="43"/>
      <c r="AM918" s="43"/>
      <c r="AN918" s="19">
        <v>56</v>
      </c>
      <c r="AO918" s="43"/>
      <c r="AP918" s="43"/>
      <c r="AQ918" s="43"/>
      <c r="AR918" s="43"/>
      <c r="AS918" s="43"/>
      <c r="AT918" s="43"/>
      <c r="AU918" s="43"/>
      <c r="AV918" s="43"/>
    </row>
    <row r="919" ht="15.75" spans="1:48">
      <c r="A919" s="12">
        <v>915</v>
      </c>
      <c r="B919" s="44">
        <v>4496</v>
      </c>
      <c r="C919" s="45" t="s">
        <v>133</v>
      </c>
      <c r="D919" s="46" t="s">
        <v>138</v>
      </c>
      <c r="E919" s="47" t="s">
        <v>113</v>
      </c>
      <c r="F919" s="48">
        <v>4</v>
      </c>
      <c r="G919" s="38">
        <v>0.34</v>
      </c>
      <c r="H919" s="39"/>
      <c r="I919" s="39"/>
      <c r="J919" s="39"/>
      <c r="K919" s="39">
        <v>0.17</v>
      </c>
      <c r="L919" s="39"/>
      <c r="M919" s="39"/>
      <c r="N919" s="39"/>
      <c r="O919" s="39"/>
      <c r="P919" s="39"/>
      <c r="Q919" s="39">
        <v>0.17</v>
      </c>
      <c r="R919" s="39"/>
      <c r="S919" s="39"/>
      <c r="T919" s="39"/>
      <c r="U919" s="39"/>
      <c r="V919" s="39"/>
      <c r="W919" s="39"/>
      <c r="X919" s="49" t="s">
        <v>262</v>
      </c>
      <c r="Y919" s="50">
        <v>6100</v>
      </c>
      <c r="Z919" s="51">
        <v>6096</v>
      </c>
      <c r="AA919" s="52">
        <f t="shared" si="21"/>
        <v>0.999344262295082</v>
      </c>
      <c r="AB919" s="12">
        <v>6096</v>
      </c>
      <c r="AC919" s="12">
        <v>0</v>
      </c>
      <c r="AD919" s="43"/>
      <c r="AE919" s="43"/>
      <c r="AF919" s="43"/>
      <c r="AG919" s="43"/>
      <c r="AH919" s="43"/>
      <c r="AI919" s="43"/>
      <c r="AJ919" s="43"/>
      <c r="AK919" s="43"/>
      <c r="AL919" s="43"/>
      <c r="AM919" s="43"/>
      <c r="AN919" s="43"/>
      <c r="AO919" s="43"/>
      <c r="AP919" s="43"/>
      <c r="AQ919" s="43"/>
      <c r="AR919" s="43"/>
      <c r="AS919" s="43"/>
      <c r="AT919" s="43"/>
      <c r="AU919" s="43"/>
      <c r="AV919" s="43"/>
    </row>
    <row r="920" ht="15.75" spans="1:48">
      <c r="A920" s="12">
        <v>916</v>
      </c>
      <c r="B920" s="44">
        <v>4496</v>
      </c>
      <c r="C920" s="45" t="s">
        <v>133</v>
      </c>
      <c r="D920" s="46" t="s">
        <v>272</v>
      </c>
      <c r="E920" s="47" t="s">
        <v>113</v>
      </c>
      <c r="F920" s="48">
        <v>5.33</v>
      </c>
      <c r="G920" s="38">
        <v>1.84</v>
      </c>
      <c r="H920" s="39"/>
      <c r="I920" s="39"/>
      <c r="J920" s="39"/>
      <c r="K920" s="39">
        <v>0.5</v>
      </c>
      <c r="L920" s="39"/>
      <c r="M920" s="39"/>
      <c r="N920" s="39"/>
      <c r="O920" s="39"/>
      <c r="P920" s="39"/>
      <c r="Q920" s="39">
        <v>1.17</v>
      </c>
      <c r="R920" s="39"/>
      <c r="S920" s="39"/>
      <c r="T920" s="39"/>
      <c r="U920" s="39">
        <v>0.17</v>
      </c>
      <c r="V920" s="39"/>
      <c r="W920" s="39"/>
      <c r="X920" s="49" t="s">
        <v>242</v>
      </c>
      <c r="Y920" s="50">
        <v>12792</v>
      </c>
      <c r="Z920" s="51">
        <v>11040</v>
      </c>
      <c r="AA920" s="52">
        <f t="shared" si="21"/>
        <v>0.863039399624766</v>
      </c>
      <c r="AB920" s="12">
        <v>11040</v>
      </c>
      <c r="AC920" s="12">
        <v>0</v>
      </c>
      <c r="AD920" s="43"/>
      <c r="AE920" s="43"/>
      <c r="AF920" s="43"/>
      <c r="AG920" s="43"/>
      <c r="AH920" s="43"/>
      <c r="AI920" s="43"/>
      <c r="AJ920" s="43"/>
      <c r="AK920" s="43"/>
      <c r="AL920" s="43"/>
      <c r="AM920" s="43"/>
      <c r="AN920" s="43"/>
      <c r="AO920" s="43"/>
      <c r="AP920" s="43"/>
      <c r="AQ920" s="43"/>
      <c r="AR920" s="43"/>
      <c r="AS920" s="43"/>
      <c r="AT920" s="43"/>
      <c r="AU920" s="43"/>
      <c r="AV920" s="43"/>
    </row>
    <row r="921" ht="15.75" spans="1:48">
      <c r="A921" s="12">
        <v>917</v>
      </c>
      <c r="B921" s="44">
        <v>2865</v>
      </c>
      <c r="C921" s="45" t="s">
        <v>149</v>
      </c>
      <c r="D921" s="46">
        <v>15</v>
      </c>
      <c r="E921" s="47" t="s">
        <v>113</v>
      </c>
      <c r="F921" s="48">
        <v>6.5</v>
      </c>
      <c r="G921" s="38">
        <v>2.5</v>
      </c>
      <c r="H921" s="39"/>
      <c r="I921" s="39"/>
      <c r="J921" s="39"/>
      <c r="K921" s="39">
        <v>1</v>
      </c>
      <c r="L921" s="39"/>
      <c r="M921" s="39"/>
      <c r="N921" s="39"/>
      <c r="O921" s="39"/>
      <c r="P921" s="39"/>
      <c r="Q921" s="39">
        <v>1.33</v>
      </c>
      <c r="R921" s="39"/>
      <c r="S921" s="39"/>
      <c r="T921" s="39"/>
      <c r="U921" s="39">
        <v>0.17</v>
      </c>
      <c r="V921" s="39"/>
      <c r="W921" s="39"/>
      <c r="X921" s="49">
        <v>3880</v>
      </c>
      <c r="Y921" s="50">
        <v>2600</v>
      </c>
      <c r="Z921" s="51">
        <v>2445</v>
      </c>
      <c r="AA921" s="52">
        <f t="shared" si="21"/>
        <v>0.940384615384615</v>
      </c>
      <c r="AB921" s="12">
        <v>2265</v>
      </c>
      <c r="AC921" s="12">
        <v>180</v>
      </c>
      <c r="AD921" s="19">
        <v>180</v>
      </c>
      <c r="AE921" s="43"/>
      <c r="AF921" s="43"/>
      <c r="AG921" s="43"/>
      <c r="AH921" s="43"/>
      <c r="AI921" s="43"/>
      <c r="AJ921" s="43"/>
      <c r="AK921" s="43"/>
      <c r="AL921" s="43"/>
      <c r="AM921" s="43"/>
      <c r="AN921" s="43"/>
      <c r="AO921" s="43"/>
      <c r="AP921" s="43"/>
      <c r="AQ921" s="43"/>
      <c r="AR921" s="43"/>
      <c r="AS921" s="43"/>
      <c r="AT921" s="43"/>
      <c r="AU921" s="43"/>
      <c r="AV921" s="43"/>
    </row>
    <row r="922" ht="15.75" spans="1:48">
      <c r="A922" s="12">
        <v>918</v>
      </c>
      <c r="B922" s="44">
        <v>4110</v>
      </c>
      <c r="C922" s="45" t="s">
        <v>135</v>
      </c>
      <c r="D922" s="46">
        <v>8</v>
      </c>
      <c r="E922" s="47" t="s">
        <v>113</v>
      </c>
      <c r="F922" s="48">
        <v>9.17</v>
      </c>
      <c r="G922" s="38">
        <v>2.16</v>
      </c>
      <c r="H922" s="39"/>
      <c r="I922" s="39"/>
      <c r="J922" s="39">
        <v>0.33</v>
      </c>
      <c r="K922" s="39"/>
      <c r="L922" s="39"/>
      <c r="M922" s="39"/>
      <c r="N922" s="39"/>
      <c r="O922" s="39"/>
      <c r="P922" s="39"/>
      <c r="Q922" s="39">
        <v>1.33</v>
      </c>
      <c r="R922" s="39"/>
      <c r="S922" s="39"/>
      <c r="T922" s="39">
        <v>0.33</v>
      </c>
      <c r="U922" s="39">
        <v>0.17</v>
      </c>
      <c r="V922" s="39"/>
      <c r="W922" s="39"/>
      <c r="X922" s="49">
        <v>9968</v>
      </c>
      <c r="Y922" s="50">
        <v>5547.85</v>
      </c>
      <c r="Z922" s="51">
        <v>5550</v>
      </c>
      <c r="AA922" s="52">
        <f t="shared" si="21"/>
        <v>1.00038753751453</v>
      </c>
      <c r="AB922" s="12">
        <v>5423</v>
      </c>
      <c r="AC922" s="12">
        <v>127</v>
      </c>
      <c r="AD922" s="19">
        <v>127</v>
      </c>
      <c r="AE922" s="43"/>
      <c r="AF922" s="43"/>
      <c r="AG922" s="43"/>
      <c r="AH922" s="43"/>
      <c r="AI922" s="43"/>
      <c r="AJ922" s="43"/>
      <c r="AK922" s="43"/>
      <c r="AL922" s="43"/>
      <c r="AM922" s="43"/>
      <c r="AN922" s="43"/>
      <c r="AO922" s="43"/>
      <c r="AP922" s="43"/>
      <c r="AQ922" s="43"/>
      <c r="AR922" s="43"/>
      <c r="AS922" s="43"/>
      <c r="AT922" s="43"/>
      <c r="AU922" s="43"/>
      <c r="AV922" s="43"/>
    </row>
    <row r="923" ht="15.75" spans="1:48">
      <c r="A923" s="12">
        <v>919</v>
      </c>
      <c r="B923" s="44">
        <v>551</v>
      </c>
      <c r="C923" s="45" t="s">
        <v>146</v>
      </c>
      <c r="D923" s="46">
        <v>2</v>
      </c>
      <c r="E923" s="47" t="s">
        <v>113</v>
      </c>
      <c r="F923" s="48">
        <v>5.17</v>
      </c>
      <c r="G923" s="38">
        <v>1.67</v>
      </c>
      <c r="H923" s="39"/>
      <c r="I923" s="39"/>
      <c r="J923" s="39"/>
      <c r="K923" s="39"/>
      <c r="L923" s="39"/>
      <c r="M923" s="39"/>
      <c r="N923" s="39"/>
      <c r="O923" s="39"/>
      <c r="P923" s="39"/>
      <c r="Q923" s="39">
        <v>1.33</v>
      </c>
      <c r="R923" s="39"/>
      <c r="S923" s="39"/>
      <c r="T923" s="39">
        <v>0.17</v>
      </c>
      <c r="U923" s="39">
        <v>0.17</v>
      </c>
      <c r="V923" s="39"/>
      <c r="W923" s="39"/>
      <c r="X923" s="49">
        <v>1080</v>
      </c>
      <c r="Y923" s="50">
        <v>3412.2</v>
      </c>
      <c r="Z923" s="51">
        <v>3450</v>
      </c>
      <c r="AA923" s="52">
        <f t="shared" si="21"/>
        <v>1.01107789695797</v>
      </c>
      <c r="AB923" s="12">
        <v>3420</v>
      </c>
      <c r="AC923" s="12">
        <v>30</v>
      </c>
      <c r="AD923" s="19">
        <v>30</v>
      </c>
      <c r="AE923" s="43"/>
      <c r="AF923" s="43"/>
      <c r="AG923" s="43"/>
      <c r="AH923" s="43"/>
      <c r="AI923" s="43"/>
      <c r="AJ923" s="43"/>
      <c r="AK923" s="43"/>
      <c r="AL923" s="43"/>
      <c r="AM923" s="43"/>
      <c r="AN923" s="43"/>
      <c r="AO923" s="43"/>
      <c r="AP923" s="43"/>
      <c r="AQ923" s="43"/>
      <c r="AR923" s="43"/>
      <c r="AS923" s="43"/>
      <c r="AT923" s="43"/>
      <c r="AU923" s="43"/>
      <c r="AV923" s="43"/>
    </row>
    <row r="924" ht="15.75" spans="1:48">
      <c r="A924" s="12">
        <v>920</v>
      </c>
      <c r="B924" s="44">
        <v>4384</v>
      </c>
      <c r="C924" s="45" t="s">
        <v>145</v>
      </c>
      <c r="D924" s="46">
        <v>17</v>
      </c>
      <c r="E924" s="47" t="s">
        <v>113</v>
      </c>
      <c r="F924" s="48">
        <v>10.5</v>
      </c>
      <c r="G924" s="38">
        <v>1.5</v>
      </c>
      <c r="H924" s="39"/>
      <c r="I924" s="39"/>
      <c r="J924" s="39"/>
      <c r="K924" s="39"/>
      <c r="L924" s="39"/>
      <c r="M924" s="39"/>
      <c r="N924" s="39"/>
      <c r="O924" s="39"/>
      <c r="P924" s="39"/>
      <c r="Q924" s="39">
        <v>1.33</v>
      </c>
      <c r="R924" s="39"/>
      <c r="S924" s="39"/>
      <c r="T924" s="39"/>
      <c r="U924" s="39">
        <v>0.17</v>
      </c>
      <c r="V924" s="39"/>
      <c r="W924" s="39"/>
      <c r="X924" s="49" t="s">
        <v>96</v>
      </c>
      <c r="Y924" s="50">
        <v>15225</v>
      </c>
      <c r="Z924" s="51">
        <v>14900</v>
      </c>
      <c r="AA924" s="52">
        <f t="shared" si="21"/>
        <v>0.978653530377668</v>
      </c>
      <c r="AB924" s="12">
        <v>14900</v>
      </c>
      <c r="AC924" s="12">
        <v>0</v>
      </c>
      <c r="AD924" s="43"/>
      <c r="AE924" s="43"/>
      <c r="AF924" s="43"/>
      <c r="AG924" s="43"/>
      <c r="AH924" s="43"/>
      <c r="AI924" s="43"/>
      <c r="AJ924" s="43"/>
      <c r="AK924" s="43"/>
      <c r="AL924" s="43"/>
      <c r="AM924" s="43"/>
      <c r="AN924" s="43"/>
      <c r="AO924" s="43"/>
      <c r="AP924" s="43"/>
      <c r="AQ924" s="43"/>
      <c r="AR924" s="43"/>
      <c r="AS924" s="43"/>
      <c r="AT924" s="43"/>
      <c r="AU924" s="43"/>
      <c r="AV924" s="43"/>
    </row>
    <row r="925" ht="15.75" spans="1:48">
      <c r="A925" s="12">
        <v>921</v>
      </c>
      <c r="B925" s="44" t="s">
        <v>211</v>
      </c>
      <c r="C925" s="45" t="s">
        <v>176</v>
      </c>
      <c r="D925" s="46">
        <v>8</v>
      </c>
      <c r="E925" s="47" t="s">
        <v>113</v>
      </c>
      <c r="F925" s="48">
        <v>5</v>
      </c>
      <c r="G925" s="38">
        <v>0</v>
      </c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49">
        <v>9477</v>
      </c>
      <c r="Y925" s="50">
        <v>3025</v>
      </c>
      <c r="Z925" s="51">
        <v>3000</v>
      </c>
      <c r="AA925" s="52">
        <f t="shared" si="21"/>
        <v>0.991735537190083</v>
      </c>
      <c r="AB925" s="12">
        <v>3000</v>
      </c>
      <c r="AC925" s="12">
        <v>0</v>
      </c>
      <c r="AD925" s="43"/>
      <c r="AE925" s="43"/>
      <c r="AF925" s="43"/>
      <c r="AG925" s="43"/>
      <c r="AH925" s="43"/>
      <c r="AI925" s="43"/>
      <c r="AJ925" s="43"/>
      <c r="AK925" s="43"/>
      <c r="AL925" s="43"/>
      <c r="AM925" s="43"/>
      <c r="AN925" s="43"/>
      <c r="AO925" s="43"/>
      <c r="AP925" s="43"/>
      <c r="AQ925" s="43"/>
      <c r="AR925" s="43"/>
      <c r="AS925" s="43"/>
      <c r="AT925" s="43"/>
      <c r="AU925" s="43"/>
      <c r="AV925" s="43"/>
    </row>
    <row r="926" ht="15.75" spans="1:48">
      <c r="A926" s="12">
        <v>922</v>
      </c>
      <c r="B926" s="44">
        <v>4017</v>
      </c>
      <c r="C926" s="45" t="s">
        <v>148</v>
      </c>
      <c r="D926" s="46">
        <v>3</v>
      </c>
      <c r="E926" s="47" t="s">
        <v>113</v>
      </c>
      <c r="F926" s="48">
        <v>2.5</v>
      </c>
      <c r="G926" s="38">
        <v>0.84</v>
      </c>
      <c r="H926" s="39"/>
      <c r="I926" s="39"/>
      <c r="J926" s="39">
        <v>0.17</v>
      </c>
      <c r="K926" s="39">
        <v>0.17</v>
      </c>
      <c r="L926" s="39"/>
      <c r="M926" s="39"/>
      <c r="N926" s="39"/>
      <c r="O926" s="39"/>
      <c r="P926" s="39"/>
      <c r="Q926" s="39"/>
      <c r="R926" s="39"/>
      <c r="S926" s="39"/>
      <c r="T926" s="39">
        <v>0.5</v>
      </c>
      <c r="U926" s="39"/>
      <c r="V926" s="39"/>
      <c r="W926" s="39"/>
      <c r="X926" s="49">
        <v>2801</v>
      </c>
      <c r="Y926" s="50">
        <v>1512.5</v>
      </c>
      <c r="Z926" s="51">
        <v>1260</v>
      </c>
      <c r="AA926" s="52">
        <f t="shared" si="21"/>
        <v>0.833057851239669</v>
      </c>
      <c r="AB926" s="12">
        <v>1260</v>
      </c>
      <c r="AC926" s="12">
        <v>0</v>
      </c>
      <c r="AD926" s="43"/>
      <c r="AE926" s="43"/>
      <c r="AF926" s="43"/>
      <c r="AG926" s="43"/>
      <c r="AH926" s="43"/>
      <c r="AI926" s="43"/>
      <c r="AJ926" s="43"/>
      <c r="AK926" s="43"/>
      <c r="AL926" s="43"/>
      <c r="AM926" s="43"/>
      <c r="AN926" s="43"/>
      <c r="AO926" s="43"/>
      <c r="AP926" s="43"/>
      <c r="AQ926" s="43"/>
      <c r="AR926" s="43"/>
      <c r="AS926" s="43"/>
      <c r="AT926" s="43"/>
      <c r="AU926" s="43"/>
      <c r="AV926" s="43"/>
    </row>
    <row r="927" ht="15.75" spans="1:48">
      <c r="A927" s="12">
        <v>923</v>
      </c>
      <c r="B927" s="44">
        <v>4017</v>
      </c>
      <c r="C927" s="45" t="s">
        <v>148</v>
      </c>
      <c r="D927" s="46"/>
      <c r="E927" s="47" t="s">
        <v>113</v>
      </c>
      <c r="F927" s="48">
        <v>2</v>
      </c>
      <c r="G927" s="38">
        <v>2.67</v>
      </c>
      <c r="H927" s="39"/>
      <c r="I927" s="39"/>
      <c r="J927" s="39"/>
      <c r="K927" s="39">
        <v>0.67</v>
      </c>
      <c r="L927" s="39"/>
      <c r="M927" s="39"/>
      <c r="N927" s="39"/>
      <c r="O927" s="39"/>
      <c r="P927" s="39"/>
      <c r="Q927" s="39">
        <v>1.33</v>
      </c>
      <c r="R927" s="39"/>
      <c r="S927" s="39"/>
      <c r="T927" s="39">
        <v>0.5</v>
      </c>
      <c r="U927" s="39">
        <v>0.17</v>
      </c>
      <c r="V927" s="39"/>
      <c r="W927" s="39"/>
      <c r="X927" s="49">
        <v>8235</v>
      </c>
      <c r="Y927" s="50">
        <v>1320</v>
      </c>
      <c r="Z927" s="51">
        <v>1308</v>
      </c>
      <c r="AA927" s="52">
        <f t="shared" si="21"/>
        <v>0.990909090909091</v>
      </c>
      <c r="AB927" s="12">
        <v>1166</v>
      </c>
      <c r="AC927" s="12">
        <v>142</v>
      </c>
      <c r="AD927" s="19">
        <v>142</v>
      </c>
      <c r="AE927" s="43"/>
      <c r="AF927" s="43"/>
      <c r="AG927" s="43"/>
      <c r="AH927" s="43"/>
      <c r="AI927" s="43"/>
      <c r="AJ927" s="43"/>
      <c r="AK927" s="43"/>
      <c r="AL927" s="43"/>
      <c r="AM927" s="43"/>
      <c r="AN927" s="43"/>
      <c r="AO927" s="43"/>
      <c r="AP927" s="43"/>
      <c r="AQ927" s="43"/>
      <c r="AR927" s="43"/>
      <c r="AS927" s="43"/>
      <c r="AT927" s="43"/>
      <c r="AU927" s="43"/>
      <c r="AV927" s="43"/>
    </row>
    <row r="928" ht="15.75" spans="1:48">
      <c r="A928" s="12">
        <v>924</v>
      </c>
      <c r="B928" s="44">
        <v>947</v>
      </c>
      <c r="C928" s="45" t="s">
        <v>143</v>
      </c>
      <c r="D928" s="46">
        <v>5</v>
      </c>
      <c r="E928" s="47" t="s">
        <v>113</v>
      </c>
      <c r="F928" s="48">
        <v>2.17</v>
      </c>
      <c r="G928" s="38">
        <v>0.5</v>
      </c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>
        <v>0.33</v>
      </c>
      <c r="U928" s="39">
        <v>0.17</v>
      </c>
      <c r="V928" s="39"/>
      <c r="W928" s="39"/>
      <c r="X928" s="49">
        <v>5770</v>
      </c>
      <c r="Y928" s="50">
        <v>1312.85</v>
      </c>
      <c r="Z928" s="51">
        <v>1320</v>
      </c>
      <c r="AA928" s="52">
        <f t="shared" si="21"/>
        <v>1.00544616673649</v>
      </c>
      <c r="AB928" s="12">
        <v>1272</v>
      </c>
      <c r="AC928" s="12">
        <v>48</v>
      </c>
      <c r="AD928" s="19">
        <v>48</v>
      </c>
      <c r="AE928" s="43"/>
      <c r="AF928" s="43"/>
      <c r="AG928" s="43"/>
      <c r="AH928" s="43"/>
      <c r="AI928" s="43"/>
      <c r="AJ928" s="43"/>
      <c r="AK928" s="43"/>
      <c r="AL928" s="43"/>
      <c r="AM928" s="43"/>
      <c r="AN928" s="43"/>
      <c r="AO928" s="43"/>
      <c r="AP928" s="43"/>
      <c r="AQ928" s="43"/>
      <c r="AR928" s="43"/>
      <c r="AS928" s="43"/>
      <c r="AT928" s="43"/>
      <c r="AU928" s="43"/>
      <c r="AV928" s="43"/>
    </row>
    <row r="929" ht="15.75" spans="1:48">
      <c r="A929" s="12">
        <v>925</v>
      </c>
      <c r="B929" s="44">
        <v>947</v>
      </c>
      <c r="C929" s="45" t="s">
        <v>143</v>
      </c>
      <c r="D929" s="46">
        <v>18</v>
      </c>
      <c r="E929" s="47" t="s">
        <v>113</v>
      </c>
      <c r="F929" s="48">
        <v>7</v>
      </c>
      <c r="G929" s="38">
        <v>1.84</v>
      </c>
      <c r="H929" s="39"/>
      <c r="I929" s="39"/>
      <c r="J929" s="39">
        <v>0.17</v>
      </c>
      <c r="K929" s="39"/>
      <c r="L929" s="39"/>
      <c r="M929" s="39"/>
      <c r="N929" s="39"/>
      <c r="O929" s="39"/>
      <c r="P929" s="39"/>
      <c r="Q929" s="39">
        <v>1.33</v>
      </c>
      <c r="R929" s="39"/>
      <c r="S929" s="39"/>
      <c r="T929" s="39">
        <v>0.17</v>
      </c>
      <c r="U929" s="39">
        <v>0.17</v>
      </c>
      <c r="V929" s="39"/>
      <c r="W929" s="39"/>
      <c r="X929" s="49">
        <v>9968</v>
      </c>
      <c r="Y929" s="50">
        <v>4235</v>
      </c>
      <c r="Z929" s="51">
        <v>4200</v>
      </c>
      <c r="AA929" s="52">
        <f t="shared" si="21"/>
        <v>0.991735537190083</v>
      </c>
      <c r="AB929" s="12">
        <v>4146</v>
      </c>
      <c r="AC929" s="12">
        <v>54</v>
      </c>
      <c r="AD929" s="19">
        <v>54</v>
      </c>
      <c r="AE929" s="43"/>
      <c r="AF929" s="43"/>
      <c r="AG929" s="43"/>
      <c r="AH929" s="43"/>
      <c r="AI929" s="43"/>
      <c r="AJ929" s="43"/>
      <c r="AK929" s="43"/>
      <c r="AL929" s="43"/>
      <c r="AM929" s="43"/>
      <c r="AN929" s="43"/>
      <c r="AO929" s="43"/>
      <c r="AP929" s="43"/>
      <c r="AQ929" s="43"/>
      <c r="AR929" s="43"/>
      <c r="AS929" s="43"/>
      <c r="AT929" s="43"/>
      <c r="AU929" s="43"/>
      <c r="AV929" s="43"/>
    </row>
    <row r="930" ht="15.75" spans="1:48">
      <c r="A930" s="12">
        <v>926</v>
      </c>
      <c r="B930" s="44">
        <v>4342</v>
      </c>
      <c r="C930" s="45" t="s">
        <v>147</v>
      </c>
      <c r="D930" s="46"/>
      <c r="E930" s="47" t="s">
        <v>113</v>
      </c>
      <c r="F930" s="48">
        <v>7.5</v>
      </c>
      <c r="G930" s="38">
        <v>2.17</v>
      </c>
      <c r="H930" s="39"/>
      <c r="I930" s="39"/>
      <c r="J930" s="39"/>
      <c r="K930" s="39"/>
      <c r="L930" s="39"/>
      <c r="M930" s="39"/>
      <c r="N930" s="39"/>
      <c r="O930" s="39"/>
      <c r="P930" s="39"/>
      <c r="Q930" s="39">
        <v>1.33</v>
      </c>
      <c r="R930" s="39"/>
      <c r="S930" s="39">
        <v>0.67</v>
      </c>
      <c r="T930" s="39"/>
      <c r="U930" s="39">
        <v>0.17</v>
      </c>
      <c r="V930" s="39"/>
      <c r="W930" s="39"/>
      <c r="X930" s="49" t="s">
        <v>90</v>
      </c>
      <c r="Y930" s="50">
        <v>3525</v>
      </c>
      <c r="Z930" s="51">
        <v>3420</v>
      </c>
      <c r="AA930" s="52">
        <f t="shared" si="21"/>
        <v>0.970212765957447</v>
      </c>
      <c r="AB930" s="12">
        <v>3420</v>
      </c>
      <c r="AC930" s="12">
        <v>0</v>
      </c>
      <c r="AD930" s="43"/>
      <c r="AE930" s="43"/>
      <c r="AF930" s="43"/>
      <c r="AG930" s="43"/>
      <c r="AH930" s="43"/>
      <c r="AI930" s="43"/>
      <c r="AJ930" s="43"/>
      <c r="AK930" s="43"/>
      <c r="AL930" s="43"/>
      <c r="AM930" s="43"/>
      <c r="AN930" s="43"/>
      <c r="AO930" s="43"/>
      <c r="AP930" s="43"/>
      <c r="AQ930" s="43"/>
      <c r="AR930" s="43"/>
      <c r="AS930" s="43"/>
      <c r="AT930" s="43"/>
      <c r="AU930" s="43"/>
      <c r="AV930" s="43"/>
    </row>
    <row r="931" ht="15.75" spans="1:48">
      <c r="A931" s="12">
        <v>927</v>
      </c>
      <c r="B931" s="44">
        <v>4342</v>
      </c>
      <c r="C931" s="45" t="s">
        <v>147</v>
      </c>
      <c r="D931" s="46"/>
      <c r="E931" s="47" t="s">
        <v>113</v>
      </c>
      <c r="F931" s="48">
        <v>2.33</v>
      </c>
      <c r="G931" s="38">
        <v>0</v>
      </c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49" t="s">
        <v>98</v>
      </c>
      <c r="Y931" s="50">
        <v>1095.1</v>
      </c>
      <c r="Z931" s="51">
        <v>1080</v>
      </c>
      <c r="AA931" s="52">
        <f t="shared" si="21"/>
        <v>0.986211304903662</v>
      </c>
      <c r="AB931" s="12">
        <v>1080</v>
      </c>
      <c r="AC931" s="12">
        <v>0</v>
      </c>
      <c r="AD931" s="43"/>
      <c r="AE931" s="43"/>
      <c r="AF931" s="43"/>
      <c r="AG931" s="43"/>
      <c r="AH931" s="43"/>
      <c r="AI931" s="43"/>
      <c r="AJ931" s="43"/>
      <c r="AK931" s="43"/>
      <c r="AL931" s="43"/>
      <c r="AM931" s="43"/>
      <c r="AN931" s="43"/>
      <c r="AO931" s="43"/>
      <c r="AP931" s="43"/>
      <c r="AQ931" s="43"/>
      <c r="AR931" s="43"/>
      <c r="AS931" s="43"/>
      <c r="AT931" s="43"/>
      <c r="AU931" s="43"/>
      <c r="AV931" s="43"/>
    </row>
    <row r="932" ht="15.75" spans="1:48">
      <c r="A932" s="12">
        <v>928</v>
      </c>
      <c r="B932" s="44">
        <v>692</v>
      </c>
      <c r="C932" s="45" t="s">
        <v>142</v>
      </c>
      <c r="D932" s="46"/>
      <c r="E932" s="47" t="s">
        <v>113</v>
      </c>
      <c r="F932" s="48">
        <v>7.17</v>
      </c>
      <c r="G932" s="38">
        <v>2.83</v>
      </c>
      <c r="H932" s="39"/>
      <c r="I932" s="39"/>
      <c r="J932" s="39"/>
      <c r="K932" s="39"/>
      <c r="L932" s="39"/>
      <c r="M932" s="39"/>
      <c r="N932" s="39"/>
      <c r="O932" s="39"/>
      <c r="P932" s="39"/>
      <c r="Q932" s="39">
        <v>1.33</v>
      </c>
      <c r="R932" s="39"/>
      <c r="S932" s="39">
        <v>1.33</v>
      </c>
      <c r="T932" s="39"/>
      <c r="U932" s="39">
        <v>0.17</v>
      </c>
      <c r="V932" s="39"/>
      <c r="W932" s="39"/>
      <c r="X932" s="49" t="s">
        <v>98</v>
      </c>
      <c r="Y932" s="50">
        <v>3369.9</v>
      </c>
      <c r="Z932" s="51">
        <v>3240</v>
      </c>
      <c r="AA932" s="52">
        <f t="shared" si="21"/>
        <v>0.961452862102733</v>
      </c>
      <c r="AB932" s="12">
        <v>3240</v>
      </c>
      <c r="AC932" s="12">
        <v>0</v>
      </c>
      <c r="AD932" s="43"/>
      <c r="AE932" s="43"/>
      <c r="AF932" s="43"/>
      <c r="AG932" s="43"/>
      <c r="AH932" s="43"/>
      <c r="AI932" s="43"/>
      <c r="AJ932" s="43"/>
      <c r="AK932" s="43"/>
      <c r="AL932" s="43"/>
      <c r="AM932" s="43"/>
      <c r="AN932" s="43"/>
      <c r="AO932" s="43"/>
      <c r="AP932" s="43"/>
      <c r="AQ932" s="43"/>
      <c r="AR932" s="43"/>
      <c r="AS932" s="43"/>
      <c r="AT932" s="43"/>
      <c r="AU932" s="43"/>
      <c r="AV932" s="43"/>
    </row>
    <row r="933" ht="15.75" spans="1:48">
      <c r="A933" s="12">
        <v>929</v>
      </c>
      <c r="B933" s="44">
        <v>692</v>
      </c>
      <c r="C933" s="45" t="s">
        <v>142</v>
      </c>
      <c r="D933" s="46"/>
      <c r="E933" s="47" t="s">
        <v>113</v>
      </c>
      <c r="F933" s="48">
        <v>2</v>
      </c>
      <c r="G933" s="38">
        <v>0</v>
      </c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49" t="s">
        <v>90</v>
      </c>
      <c r="Y933" s="50">
        <v>940</v>
      </c>
      <c r="Z933" s="51">
        <v>900</v>
      </c>
      <c r="AA933" s="52">
        <f t="shared" si="21"/>
        <v>0.957446808510638</v>
      </c>
      <c r="AB933" s="12">
        <v>900</v>
      </c>
      <c r="AC933" s="12">
        <v>0</v>
      </c>
      <c r="AD933" s="43"/>
      <c r="AE933" s="43"/>
      <c r="AF933" s="43"/>
      <c r="AG933" s="43"/>
      <c r="AH933" s="43"/>
      <c r="AI933" s="43"/>
      <c r="AJ933" s="43"/>
      <c r="AK933" s="43"/>
      <c r="AL933" s="43"/>
      <c r="AM933" s="43"/>
      <c r="AN933" s="43"/>
      <c r="AO933" s="43"/>
      <c r="AP933" s="43"/>
      <c r="AQ933" s="43"/>
      <c r="AR933" s="43"/>
      <c r="AS933" s="43"/>
      <c r="AT933" s="43"/>
      <c r="AU933" s="43"/>
      <c r="AV933" s="43"/>
    </row>
    <row r="934" ht="15.75" spans="1:48">
      <c r="A934" s="12">
        <v>930</v>
      </c>
      <c r="B934" s="44">
        <v>4110</v>
      </c>
      <c r="C934" s="45" t="s">
        <v>135</v>
      </c>
      <c r="D934" s="46"/>
      <c r="E934" s="47" t="s">
        <v>113</v>
      </c>
      <c r="F934" s="48">
        <v>0.67</v>
      </c>
      <c r="G934" s="38">
        <v>0</v>
      </c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49" t="s">
        <v>103</v>
      </c>
      <c r="Y934" s="50">
        <v>562.8</v>
      </c>
      <c r="Z934" s="51">
        <v>480</v>
      </c>
      <c r="AA934" s="52">
        <f t="shared" si="21"/>
        <v>0.852878464818763</v>
      </c>
      <c r="AB934" s="12">
        <v>480</v>
      </c>
      <c r="AC934" s="12">
        <v>0</v>
      </c>
      <c r="AD934" s="43"/>
      <c r="AE934" s="43"/>
      <c r="AF934" s="43"/>
      <c r="AG934" s="43"/>
      <c r="AH934" s="43"/>
      <c r="AI934" s="43"/>
      <c r="AJ934" s="43"/>
      <c r="AK934" s="43"/>
      <c r="AL934" s="43"/>
      <c r="AM934" s="43"/>
      <c r="AN934" s="43"/>
      <c r="AO934" s="43"/>
      <c r="AP934" s="43"/>
      <c r="AQ934" s="43"/>
      <c r="AR934" s="43"/>
      <c r="AS934" s="43"/>
      <c r="AT934" s="43"/>
      <c r="AU934" s="43"/>
      <c r="AV934" s="43"/>
    </row>
    <row r="935" ht="15.75" spans="1:48">
      <c r="A935" s="12">
        <v>931</v>
      </c>
      <c r="B935" s="44">
        <v>2865</v>
      </c>
      <c r="C935" s="45" t="s">
        <v>149</v>
      </c>
      <c r="D935" s="46"/>
      <c r="E935" s="47" t="s">
        <v>113</v>
      </c>
      <c r="F935" s="48">
        <v>3</v>
      </c>
      <c r="G935" s="38">
        <v>0</v>
      </c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49" t="s">
        <v>103</v>
      </c>
      <c r="Y935" s="50">
        <v>2520</v>
      </c>
      <c r="Z935" s="51">
        <v>2445</v>
      </c>
      <c r="AA935" s="52">
        <f t="shared" si="21"/>
        <v>0.970238095238095</v>
      </c>
      <c r="AB935" s="12">
        <v>2445</v>
      </c>
      <c r="AC935" s="12">
        <v>0</v>
      </c>
      <c r="AD935" s="43"/>
      <c r="AE935" s="43"/>
      <c r="AF935" s="43"/>
      <c r="AG935" s="43"/>
      <c r="AH935" s="43"/>
      <c r="AI935" s="43"/>
      <c r="AJ935" s="43"/>
      <c r="AK935" s="43"/>
      <c r="AL935" s="43"/>
      <c r="AM935" s="43"/>
      <c r="AN935" s="43"/>
      <c r="AO935" s="43"/>
      <c r="AP935" s="43"/>
      <c r="AQ935" s="43"/>
      <c r="AR935" s="43"/>
      <c r="AS935" s="43"/>
      <c r="AT935" s="43"/>
      <c r="AU935" s="43"/>
      <c r="AV935" s="43"/>
    </row>
    <row r="936" ht="15.75" spans="1:48">
      <c r="A936" s="12">
        <v>932</v>
      </c>
      <c r="B936" s="44">
        <v>4017</v>
      </c>
      <c r="C936" s="45" t="s">
        <v>148</v>
      </c>
      <c r="D936" s="46"/>
      <c r="E936" s="47" t="s">
        <v>113</v>
      </c>
      <c r="F936" s="48">
        <v>2.17</v>
      </c>
      <c r="G936" s="38">
        <v>0</v>
      </c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49" t="s">
        <v>103</v>
      </c>
      <c r="Y936" s="50">
        <v>1822.8</v>
      </c>
      <c r="Z936" s="51">
        <v>2100</v>
      </c>
      <c r="AA936" s="52">
        <f t="shared" si="21"/>
        <v>1.15207373271889</v>
      </c>
      <c r="AB936" s="12">
        <v>2100</v>
      </c>
      <c r="AC936" s="12">
        <v>0</v>
      </c>
      <c r="AD936" s="43"/>
      <c r="AE936" s="43"/>
      <c r="AF936" s="43"/>
      <c r="AG936" s="43"/>
      <c r="AH936" s="43"/>
      <c r="AI936" s="43"/>
      <c r="AJ936" s="43"/>
      <c r="AK936" s="43"/>
      <c r="AL936" s="43"/>
      <c r="AM936" s="43"/>
      <c r="AN936" s="43"/>
      <c r="AO936" s="43"/>
      <c r="AP936" s="43"/>
      <c r="AQ936" s="43"/>
      <c r="AR936" s="43"/>
      <c r="AS936" s="43"/>
      <c r="AT936" s="43"/>
      <c r="AU936" s="43"/>
      <c r="AV936" s="43"/>
    </row>
    <row r="937" ht="15.75" spans="1:48">
      <c r="A937" s="12">
        <v>933</v>
      </c>
      <c r="B937" s="44">
        <v>4017</v>
      </c>
      <c r="C937" s="45" t="s">
        <v>148</v>
      </c>
      <c r="D937" s="46"/>
      <c r="E937" s="47" t="s">
        <v>113</v>
      </c>
      <c r="F937" s="48">
        <v>1.83</v>
      </c>
      <c r="G937" s="38">
        <v>0</v>
      </c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49" t="s">
        <v>105</v>
      </c>
      <c r="Y937" s="50">
        <v>1207.8</v>
      </c>
      <c r="Z937" s="51">
        <v>1308</v>
      </c>
      <c r="AA937" s="52">
        <f t="shared" si="21"/>
        <v>1.0829607550919</v>
      </c>
      <c r="AB937" s="12">
        <v>1308</v>
      </c>
      <c r="AC937" s="12">
        <v>0</v>
      </c>
      <c r="AD937" s="43"/>
      <c r="AE937" s="43"/>
      <c r="AF937" s="43"/>
      <c r="AG937" s="43"/>
      <c r="AH937" s="43"/>
      <c r="AI937" s="43"/>
      <c r="AJ937" s="43"/>
      <c r="AK937" s="43"/>
      <c r="AL937" s="43"/>
      <c r="AM937" s="43"/>
      <c r="AN937" s="43"/>
      <c r="AO937" s="43"/>
      <c r="AP937" s="43"/>
      <c r="AQ937" s="43"/>
      <c r="AR937" s="43"/>
      <c r="AS937" s="43"/>
      <c r="AT937" s="43"/>
      <c r="AU937" s="43"/>
      <c r="AV937" s="43"/>
    </row>
    <row r="938" ht="15.75" spans="1:48">
      <c r="A938" s="12">
        <v>934</v>
      </c>
      <c r="B938" s="44">
        <v>4335</v>
      </c>
      <c r="C938" s="45" t="s">
        <v>154</v>
      </c>
      <c r="D938" s="46"/>
      <c r="E938" s="47" t="s">
        <v>113</v>
      </c>
      <c r="F938" s="48">
        <v>5.84</v>
      </c>
      <c r="G938" s="38">
        <v>1.33</v>
      </c>
      <c r="H938" s="39"/>
      <c r="I938" s="39"/>
      <c r="J938" s="39"/>
      <c r="K938" s="39"/>
      <c r="L938" s="39"/>
      <c r="M938" s="39"/>
      <c r="N938" s="39"/>
      <c r="O938" s="39"/>
      <c r="P938" s="39"/>
      <c r="Q938" s="39">
        <v>1.33</v>
      </c>
      <c r="R938" s="39"/>
      <c r="S938" s="39"/>
      <c r="T938" s="39"/>
      <c r="U938" s="39"/>
      <c r="V938" s="39"/>
      <c r="W938" s="39"/>
      <c r="X938" s="49" t="s">
        <v>103</v>
      </c>
      <c r="Y938" s="50">
        <v>4905.6</v>
      </c>
      <c r="Z938" s="51">
        <v>5040</v>
      </c>
      <c r="AA938" s="52">
        <f t="shared" si="21"/>
        <v>1.02739726027397</v>
      </c>
      <c r="AB938" s="12">
        <v>5040</v>
      </c>
      <c r="AC938" s="12">
        <v>0</v>
      </c>
      <c r="AD938" s="43"/>
      <c r="AE938" s="43"/>
      <c r="AF938" s="43"/>
      <c r="AG938" s="43"/>
      <c r="AH938" s="43"/>
      <c r="AI938" s="43"/>
      <c r="AJ938" s="43"/>
      <c r="AK938" s="43"/>
      <c r="AL938" s="43"/>
      <c r="AM938" s="43"/>
      <c r="AN938" s="43"/>
      <c r="AO938" s="43"/>
      <c r="AP938" s="43"/>
      <c r="AQ938" s="43"/>
      <c r="AR938" s="43"/>
      <c r="AS938" s="43"/>
      <c r="AT938" s="43"/>
      <c r="AU938" s="43"/>
      <c r="AV938" s="43"/>
    </row>
    <row r="939" ht="15.75" spans="1:48">
      <c r="A939" s="12">
        <v>935</v>
      </c>
      <c r="B939" s="44">
        <v>4335</v>
      </c>
      <c r="C939" s="45" t="s">
        <v>154</v>
      </c>
      <c r="D939" s="46"/>
      <c r="E939" s="47" t="s">
        <v>113</v>
      </c>
      <c r="F939" s="48">
        <v>4.83</v>
      </c>
      <c r="G939" s="38">
        <v>0</v>
      </c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49" t="s">
        <v>155</v>
      </c>
      <c r="Y939" s="50">
        <v>0</v>
      </c>
      <c r="Z939" s="51"/>
      <c r="AA939" s="52">
        <f t="shared" si="21"/>
        <v>0</v>
      </c>
      <c r="AB939" s="12">
        <v>0</v>
      </c>
      <c r="AC939" s="12">
        <v>0</v>
      </c>
      <c r="AD939" s="43"/>
      <c r="AE939" s="43"/>
      <c r="AF939" s="43"/>
      <c r="AG939" s="43"/>
      <c r="AH939" s="43"/>
      <c r="AI939" s="43"/>
      <c r="AJ939" s="43"/>
      <c r="AK939" s="43"/>
      <c r="AL939" s="43"/>
      <c r="AM939" s="43"/>
      <c r="AN939" s="43"/>
      <c r="AO939" s="43"/>
      <c r="AP939" s="43"/>
      <c r="AQ939" s="43"/>
      <c r="AR939" s="43"/>
      <c r="AS939" s="43"/>
      <c r="AT939" s="43"/>
      <c r="AU939" s="43"/>
      <c r="AV939" s="43"/>
    </row>
    <row r="940" ht="15.75" spans="1:48">
      <c r="A940" s="12">
        <v>936</v>
      </c>
      <c r="B940" s="44">
        <v>947</v>
      </c>
      <c r="C940" s="45" t="s">
        <v>143</v>
      </c>
      <c r="D940" s="46"/>
      <c r="E940" s="47" t="s">
        <v>113</v>
      </c>
      <c r="F940" s="48">
        <v>0.5</v>
      </c>
      <c r="G940" s="38">
        <v>0</v>
      </c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49" t="s">
        <v>103</v>
      </c>
      <c r="Y940" s="50">
        <v>378</v>
      </c>
      <c r="Z940" s="51">
        <v>360</v>
      </c>
      <c r="AA940" s="52">
        <f t="shared" si="21"/>
        <v>0.952380952380952</v>
      </c>
      <c r="AB940" s="12">
        <v>360</v>
      </c>
      <c r="AC940" s="12">
        <v>0</v>
      </c>
      <c r="AD940" s="43"/>
      <c r="AE940" s="43"/>
      <c r="AF940" s="43"/>
      <c r="AG940" s="43"/>
      <c r="AH940" s="43"/>
      <c r="AI940" s="43"/>
      <c r="AJ940" s="43"/>
      <c r="AK940" s="43"/>
      <c r="AL940" s="43"/>
      <c r="AM940" s="43"/>
      <c r="AN940" s="43"/>
      <c r="AO940" s="43"/>
      <c r="AP940" s="43"/>
      <c r="AQ940" s="43"/>
      <c r="AR940" s="43"/>
      <c r="AS940" s="43"/>
      <c r="AT940" s="43"/>
      <c r="AU940" s="43"/>
      <c r="AV940" s="43"/>
    </row>
    <row r="941" ht="15.75" spans="1:48">
      <c r="A941" s="12">
        <v>937</v>
      </c>
      <c r="B941" s="44">
        <v>551</v>
      </c>
      <c r="C941" s="45" t="s">
        <v>146</v>
      </c>
      <c r="D941" s="46"/>
      <c r="E941" s="47" t="s">
        <v>113</v>
      </c>
      <c r="F941" s="48">
        <v>5.17</v>
      </c>
      <c r="G941" s="38">
        <v>0</v>
      </c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49" t="s">
        <v>105</v>
      </c>
      <c r="Y941" s="50">
        <v>3412.2</v>
      </c>
      <c r="Z941" s="51">
        <v>3450</v>
      </c>
      <c r="AA941" s="52">
        <f t="shared" si="21"/>
        <v>1.01107789695797</v>
      </c>
      <c r="AB941" s="12">
        <v>3450</v>
      </c>
      <c r="AC941" s="12">
        <v>0</v>
      </c>
      <c r="AD941" s="43"/>
      <c r="AE941" s="43"/>
      <c r="AF941" s="43"/>
      <c r="AG941" s="43"/>
      <c r="AH941" s="43"/>
      <c r="AI941" s="43"/>
      <c r="AJ941" s="43"/>
      <c r="AK941" s="43"/>
      <c r="AL941" s="43"/>
      <c r="AM941" s="43"/>
      <c r="AN941" s="43"/>
      <c r="AO941" s="43"/>
      <c r="AP941" s="43"/>
      <c r="AQ941" s="43"/>
      <c r="AR941" s="43"/>
      <c r="AS941" s="43"/>
      <c r="AT941" s="43"/>
      <c r="AU941" s="43"/>
      <c r="AV941" s="43"/>
    </row>
    <row r="942" ht="15.75" spans="1:48">
      <c r="A942" s="12">
        <v>938</v>
      </c>
      <c r="B942" s="44">
        <v>666</v>
      </c>
      <c r="C942" s="45" t="s">
        <v>151</v>
      </c>
      <c r="D942" s="46"/>
      <c r="E942" s="47" t="s">
        <v>113</v>
      </c>
      <c r="F942" s="48">
        <v>1.33</v>
      </c>
      <c r="G942" s="38">
        <v>0.17</v>
      </c>
      <c r="H942" s="39"/>
      <c r="I942" s="39"/>
      <c r="J942" s="39"/>
      <c r="K942" s="39"/>
      <c r="L942" s="39"/>
      <c r="M942" s="39"/>
      <c r="N942" s="39"/>
      <c r="O942" s="39"/>
      <c r="P942" s="39"/>
      <c r="Q942" s="39">
        <v>0.17</v>
      </c>
      <c r="R942" s="39"/>
      <c r="S942" s="39"/>
      <c r="T942" s="39"/>
      <c r="U942" s="39"/>
      <c r="V942" s="39"/>
      <c r="W942" s="39"/>
      <c r="X942" s="49" t="s">
        <v>229</v>
      </c>
      <c r="Y942" s="50">
        <v>4947.6</v>
      </c>
      <c r="Z942" s="51">
        <v>4050</v>
      </c>
      <c r="AA942" s="52">
        <f t="shared" si="21"/>
        <v>0.818578704826583</v>
      </c>
      <c r="AB942" s="12">
        <v>4050</v>
      </c>
      <c r="AC942" s="12">
        <v>0</v>
      </c>
      <c r="AD942" s="43"/>
      <c r="AE942" s="43"/>
      <c r="AF942" s="43"/>
      <c r="AG942" s="43"/>
      <c r="AH942" s="43"/>
      <c r="AI942" s="43"/>
      <c r="AJ942" s="43"/>
      <c r="AK942" s="43"/>
      <c r="AL942" s="43"/>
      <c r="AM942" s="43"/>
      <c r="AN942" s="43"/>
      <c r="AO942" s="43"/>
      <c r="AP942" s="43"/>
      <c r="AQ942" s="43"/>
      <c r="AR942" s="43"/>
      <c r="AS942" s="43"/>
      <c r="AT942" s="43"/>
      <c r="AU942" s="43"/>
      <c r="AV942" s="43"/>
    </row>
    <row r="943" ht="15.75" spans="1:48">
      <c r="A943" s="12">
        <v>939</v>
      </c>
      <c r="B943" s="44">
        <v>666</v>
      </c>
      <c r="C943" s="45" t="s">
        <v>151</v>
      </c>
      <c r="D943" s="46"/>
      <c r="E943" s="47" t="s">
        <v>113</v>
      </c>
      <c r="F943" s="48">
        <v>2</v>
      </c>
      <c r="G943" s="38">
        <v>0</v>
      </c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49" t="s">
        <v>102</v>
      </c>
      <c r="Y943" s="50">
        <v>9000</v>
      </c>
      <c r="Z943" s="51">
        <v>7500</v>
      </c>
      <c r="AA943" s="52">
        <f t="shared" si="21"/>
        <v>0.833333333333333</v>
      </c>
      <c r="AB943" s="12">
        <v>7500</v>
      </c>
      <c r="AC943" s="12">
        <v>0</v>
      </c>
      <c r="AD943" s="43"/>
      <c r="AE943" s="43"/>
      <c r="AF943" s="43"/>
      <c r="AG943" s="43"/>
      <c r="AH943" s="43"/>
      <c r="AI943" s="43"/>
      <c r="AJ943" s="43"/>
      <c r="AK943" s="43"/>
      <c r="AL943" s="43"/>
      <c r="AM943" s="43"/>
      <c r="AN943" s="43"/>
      <c r="AO943" s="43"/>
      <c r="AP943" s="43"/>
      <c r="AQ943" s="43"/>
      <c r="AR943" s="43"/>
      <c r="AS943" s="43"/>
      <c r="AT943" s="43"/>
      <c r="AU943" s="43"/>
      <c r="AV943" s="43"/>
    </row>
    <row r="944" ht="15.75" spans="1:48">
      <c r="A944" s="12">
        <v>940</v>
      </c>
      <c r="B944" s="44">
        <v>666</v>
      </c>
      <c r="C944" s="45" t="s">
        <v>151</v>
      </c>
      <c r="D944" s="46"/>
      <c r="E944" s="47" t="s">
        <v>113</v>
      </c>
      <c r="F944" s="48">
        <v>3</v>
      </c>
      <c r="G944" s="38">
        <v>2.01</v>
      </c>
      <c r="H944" s="39"/>
      <c r="I944" s="39"/>
      <c r="J944" s="39"/>
      <c r="K944" s="39"/>
      <c r="L944" s="39"/>
      <c r="M944" s="39"/>
      <c r="N944" s="39"/>
      <c r="O944" s="39"/>
      <c r="P944" s="39"/>
      <c r="Q944" s="39">
        <v>1.17</v>
      </c>
      <c r="R944" s="39"/>
      <c r="S944" s="39">
        <v>0.67</v>
      </c>
      <c r="T944" s="39"/>
      <c r="U944" s="39">
        <v>0.17</v>
      </c>
      <c r="V944" s="39"/>
      <c r="W944" s="39"/>
      <c r="X944" s="49" t="s">
        <v>101</v>
      </c>
      <c r="Y944" s="50">
        <v>5760</v>
      </c>
      <c r="Z944" s="51">
        <v>5220</v>
      </c>
      <c r="AA944" s="52">
        <f t="shared" si="21"/>
        <v>0.90625</v>
      </c>
      <c r="AB944" s="12">
        <v>5220</v>
      </c>
      <c r="AC944" s="12">
        <v>0</v>
      </c>
      <c r="AD944" s="43"/>
      <c r="AE944" s="43"/>
      <c r="AF944" s="43"/>
      <c r="AG944" s="43"/>
      <c r="AH944" s="43"/>
      <c r="AI944" s="43"/>
      <c r="AJ944" s="43"/>
      <c r="AK944" s="43"/>
      <c r="AL944" s="43"/>
      <c r="AM944" s="43"/>
      <c r="AN944" s="43"/>
      <c r="AO944" s="43"/>
      <c r="AP944" s="43"/>
      <c r="AQ944" s="43"/>
      <c r="AR944" s="43"/>
      <c r="AS944" s="43"/>
      <c r="AT944" s="43"/>
      <c r="AU944" s="43"/>
      <c r="AV944" s="43"/>
    </row>
    <row r="945" ht="15.75" spans="1:48">
      <c r="A945" s="12">
        <v>941</v>
      </c>
      <c r="B945" s="44">
        <v>666</v>
      </c>
      <c r="C945" s="45" t="s">
        <v>151</v>
      </c>
      <c r="D945" s="46"/>
      <c r="E945" s="47" t="s">
        <v>113</v>
      </c>
      <c r="F945" s="48">
        <v>1.17</v>
      </c>
      <c r="G945" s="38">
        <v>0</v>
      </c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49" t="s">
        <v>100</v>
      </c>
      <c r="Y945" s="50">
        <v>2246.4</v>
      </c>
      <c r="Z945" s="51">
        <v>1800</v>
      </c>
      <c r="AA945" s="52">
        <f t="shared" si="21"/>
        <v>0.801282051282051</v>
      </c>
      <c r="AB945" s="12">
        <v>1800</v>
      </c>
      <c r="AC945" s="12">
        <v>0</v>
      </c>
      <c r="AD945" s="43"/>
      <c r="AE945" s="43"/>
      <c r="AF945" s="43"/>
      <c r="AG945" s="43"/>
      <c r="AH945" s="43"/>
      <c r="AI945" s="43"/>
      <c r="AJ945" s="43"/>
      <c r="AK945" s="43"/>
      <c r="AL945" s="43"/>
      <c r="AM945" s="43"/>
      <c r="AN945" s="43"/>
      <c r="AO945" s="43"/>
      <c r="AP945" s="43"/>
      <c r="AQ945" s="43"/>
      <c r="AR945" s="43"/>
      <c r="AS945" s="43"/>
      <c r="AT945" s="43"/>
      <c r="AU945" s="43"/>
      <c r="AV945" s="43"/>
    </row>
    <row r="946" ht="15.75" spans="1:48">
      <c r="A946" s="12">
        <v>942</v>
      </c>
      <c r="B946" s="44">
        <v>666</v>
      </c>
      <c r="C946" s="45" t="s">
        <v>151</v>
      </c>
      <c r="D946" s="46"/>
      <c r="E946" s="47" t="s">
        <v>113</v>
      </c>
      <c r="F946" s="48">
        <v>2.33</v>
      </c>
      <c r="G946" s="38">
        <v>0</v>
      </c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49" t="s">
        <v>152</v>
      </c>
      <c r="Y946" s="50">
        <v>10135.5</v>
      </c>
      <c r="Z946" s="51">
        <v>9100</v>
      </c>
      <c r="AA946" s="52">
        <f t="shared" si="21"/>
        <v>0.89783434463026</v>
      </c>
      <c r="AB946" s="12">
        <v>9100</v>
      </c>
      <c r="AC946" s="12">
        <v>0</v>
      </c>
      <c r="AD946" s="43"/>
      <c r="AE946" s="43"/>
      <c r="AF946" s="43"/>
      <c r="AG946" s="43"/>
      <c r="AH946" s="43"/>
      <c r="AI946" s="43"/>
      <c r="AJ946" s="43"/>
      <c r="AK946" s="43"/>
      <c r="AL946" s="43"/>
      <c r="AM946" s="43"/>
      <c r="AN946" s="43"/>
      <c r="AO946" s="43"/>
      <c r="AP946" s="43"/>
      <c r="AQ946" s="43"/>
      <c r="AR946" s="43"/>
      <c r="AS946" s="43"/>
      <c r="AT946" s="43"/>
      <c r="AU946" s="43"/>
      <c r="AV946" s="43"/>
    </row>
    <row r="947" ht="15.75" spans="1:48">
      <c r="A947" s="12">
        <v>943</v>
      </c>
      <c r="B947" s="44">
        <v>1733</v>
      </c>
      <c r="C947" s="45" t="s">
        <v>153</v>
      </c>
      <c r="D947" s="46"/>
      <c r="E947" s="47" t="s">
        <v>113</v>
      </c>
      <c r="F947" s="48">
        <v>7</v>
      </c>
      <c r="G947" s="38">
        <v>1</v>
      </c>
      <c r="H947" s="39"/>
      <c r="I947" s="39"/>
      <c r="J947" s="39"/>
      <c r="K947" s="39"/>
      <c r="L947" s="39"/>
      <c r="M947" s="39"/>
      <c r="N947" s="39"/>
      <c r="O947" s="39"/>
      <c r="P947" s="39"/>
      <c r="Q947" s="39">
        <v>1</v>
      </c>
      <c r="R947" s="39"/>
      <c r="S947" s="39"/>
      <c r="T947" s="39"/>
      <c r="U947" s="39"/>
      <c r="V947" s="39"/>
      <c r="W947" s="39"/>
      <c r="X947" s="49" t="s">
        <v>103</v>
      </c>
      <c r="Y947" s="50">
        <v>5880</v>
      </c>
      <c r="Z947" s="51">
        <v>4350</v>
      </c>
      <c r="AA947" s="52">
        <f t="shared" si="21"/>
        <v>0.739795918367347</v>
      </c>
      <c r="AB947" s="12">
        <v>4350</v>
      </c>
      <c r="AC947" s="12">
        <v>0</v>
      </c>
      <c r="AD947" s="43"/>
      <c r="AE947" s="43"/>
      <c r="AF947" s="43"/>
      <c r="AG947" s="43"/>
      <c r="AH947" s="43"/>
      <c r="AI947" s="43"/>
      <c r="AJ947" s="43"/>
      <c r="AK947" s="43"/>
      <c r="AL947" s="43"/>
      <c r="AM947" s="43"/>
      <c r="AN947" s="43"/>
      <c r="AO947" s="43"/>
      <c r="AP947" s="43"/>
      <c r="AQ947" s="43"/>
      <c r="AR947" s="43"/>
      <c r="AS947" s="43"/>
      <c r="AT947" s="43"/>
      <c r="AU947" s="43"/>
      <c r="AV947" s="43"/>
    </row>
    <row r="948" ht="15.75" spans="1:48">
      <c r="A948" s="12">
        <v>944</v>
      </c>
      <c r="B948" s="44">
        <v>2959</v>
      </c>
      <c r="C948" s="45" t="s">
        <v>86</v>
      </c>
      <c r="D948" s="46"/>
      <c r="E948" s="47" t="s">
        <v>50</v>
      </c>
      <c r="F948" s="48">
        <v>10.83</v>
      </c>
      <c r="G948" s="38">
        <v>1.17</v>
      </c>
      <c r="H948" s="39"/>
      <c r="I948" s="39"/>
      <c r="J948" s="39"/>
      <c r="K948" s="39"/>
      <c r="L948" s="39"/>
      <c r="M948" s="39"/>
      <c r="N948" s="39"/>
      <c r="O948" s="39"/>
      <c r="P948" s="39"/>
      <c r="Q948" s="39">
        <v>1.17</v>
      </c>
      <c r="R948" s="39"/>
      <c r="S948" s="39"/>
      <c r="T948" s="39"/>
      <c r="U948" s="39"/>
      <c r="V948" s="39"/>
      <c r="W948" s="39"/>
      <c r="X948" s="49" t="s">
        <v>60</v>
      </c>
      <c r="Y948" s="50">
        <v>0</v>
      </c>
      <c r="Z948" s="51"/>
      <c r="AA948" s="52">
        <f t="shared" si="21"/>
        <v>0</v>
      </c>
      <c r="AB948" s="12">
        <v>0</v>
      </c>
      <c r="AC948" s="12">
        <v>0</v>
      </c>
      <c r="AD948" s="43"/>
      <c r="AE948" s="43"/>
      <c r="AF948" s="43"/>
      <c r="AG948" s="43"/>
      <c r="AH948" s="43"/>
      <c r="AI948" s="43"/>
      <c r="AJ948" s="43"/>
      <c r="AK948" s="43"/>
      <c r="AL948" s="43"/>
      <c r="AM948" s="43"/>
      <c r="AN948" s="43"/>
      <c r="AO948" s="43"/>
      <c r="AP948" s="43"/>
      <c r="AQ948" s="43"/>
      <c r="AR948" s="43"/>
      <c r="AS948" s="43"/>
      <c r="AT948" s="43"/>
      <c r="AU948" s="43"/>
      <c r="AV948" s="43"/>
    </row>
    <row r="949" ht="15.75" spans="1:48">
      <c r="A949" s="12">
        <v>945</v>
      </c>
      <c r="B949" s="44">
        <v>4173</v>
      </c>
      <c r="C949" s="45" t="s">
        <v>75</v>
      </c>
      <c r="D949" s="46" t="s">
        <v>81</v>
      </c>
      <c r="E949" s="47" t="s">
        <v>50</v>
      </c>
      <c r="F949" s="48">
        <v>10.67</v>
      </c>
      <c r="G949" s="38">
        <v>1.34</v>
      </c>
      <c r="H949" s="39"/>
      <c r="I949" s="39"/>
      <c r="J949" s="39"/>
      <c r="K949" s="39"/>
      <c r="L949" s="39"/>
      <c r="M949" s="39"/>
      <c r="N949" s="39"/>
      <c r="O949" s="39"/>
      <c r="P949" s="39"/>
      <c r="Q949" s="39">
        <v>1.17</v>
      </c>
      <c r="R949" s="39"/>
      <c r="S949" s="39"/>
      <c r="T949" s="39"/>
      <c r="U949" s="39">
        <v>0.17</v>
      </c>
      <c r="V949" s="39"/>
      <c r="W949" s="39"/>
      <c r="X949" s="49" t="s">
        <v>201</v>
      </c>
      <c r="Y949" s="50">
        <v>17338.75</v>
      </c>
      <c r="Z949" s="51">
        <v>16800</v>
      </c>
      <c r="AA949" s="52">
        <f t="shared" ref="AA949:AA980" si="22">IFERROR(Z949/Y949,0)</f>
        <v>0.968927979237258</v>
      </c>
      <c r="AB949" s="12">
        <v>16794</v>
      </c>
      <c r="AC949" s="12">
        <v>6</v>
      </c>
      <c r="AD949" s="43"/>
      <c r="AE949" s="43"/>
      <c r="AF949" s="43"/>
      <c r="AG949" s="19">
        <v>6</v>
      </c>
      <c r="AH949" s="43"/>
      <c r="AI949" s="43"/>
      <c r="AJ949" s="43"/>
      <c r="AK949" s="43"/>
      <c r="AL949" s="43"/>
      <c r="AM949" s="43"/>
      <c r="AN949" s="43"/>
      <c r="AO949" s="43"/>
      <c r="AP949" s="43"/>
      <c r="AQ949" s="43"/>
      <c r="AR949" s="43"/>
      <c r="AS949" s="43"/>
      <c r="AT949" s="43"/>
      <c r="AU949" s="43"/>
      <c r="AV949" s="43"/>
    </row>
    <row r="950" ht="15.75" spans="1:48">
      <c r="A950" s="12">
        <v>946</v>
      </c>
      <c r="B950" s="44">
        <v>4344</v>
      </c>
      <c r="C950" s="45" t="s">
        <v>85</v>
      </c>
      <c r="D950" s="46" t="s">
        <v>138</v>
      </c>
      <c r="E950" s="47" t="s">
        <v>50</v>
      </c>
      <c r="F950" s="48">
        <v>5.67</v>
      </c>
      <c r="G950" s="38">
        <v>2.33</v>
      </c>
      <c r="H950" s="39"/>
      <c r="I950" s="39"/>
      <c r="J950" s="39"/>
      <c r="K950" s="39">
        <v>0.83</v>
      </c>
      <c r="L950" s="39"/>
      <c r="M950" s="39"/>
      <c r="N950" s="39"/>
      <c r="O950" s="39"/>
      <c r="P950" s="39"/>
      <c r="Q950" s="39">
        <v>0.83</v>
      </c>
      <c r="R950" s="39"/>
      <c r="S950" s="39">
        <v>0.5</v>
      </c>
      <c r="T950" s="39"/>
      <c r="U950" s="39">
        <v>0.17</v>
      </c>
      <c r="V950" s="39"/>
      <c r="W950" s="39"/>
      <c r="X950" s="49" t="s">
        <v>273</v>
      </c>
      <c r="Y950" s="50">
        <v>4323.375</v>
      </c>
      <c r="Z950" s="51">
        <v>2032</v>
      </c>
      <c r="AA950" s="52">
        <f t="shared" si="22"/>
        <v>0.470003180385694</v>
      </c>
      <c r="AB950" s="12">
        <v>2032</v>
      </c>
      <c r="AC950" s="12">
        <v>0</v>
      </c>
      <c r="AD950" s="43"/>
      <c r="AE950" s="43"/>
      <c r="AF950" s="43"/>
      <c r="AG950" s="43"/>
      <c r="AH950" s="43"/>
      <c r="AI950" s="43"/>
      <c r="AJ950" s="43"/>
      <c r="AK950" s="43"/>
      <c r="AL950" s="43"/>
      <c r="AM950" s="43"/>
      <c r="AN950" s="43"/>
      <c r="AO950" s="43"/>
      <c r="AP950" s="43"/>
      <c r="AQ950" s="43"/>
      <c r="AR950" s="43"/>
      <c r="AS950" s="43"/>
      <c r="AT950" s="43"/>
      <c r="AU950" s="43"/>
      <c r="AV950" s="43"/>
    </row>
    <row r="951" ht="15.75" spans="1:48">
      <c r="A951" s="12">
        <v>947</v>
      </c>
      <c r="B951" s="44">
        <v>4185</v>
      </c>
      <c r="C951" s="45" t="s">
        <v>72</v>
      </c>
      <c r="D951" s="46" t="s">
        <v>76</v>
      </c>
      <c r="E951" s="47" t="s">
        <v>50</v>
      </c>
      <c r="F951" s="48">
        <v>10.33</v>
      </c>
      <c r="G951" s="38">
        <v>1.67</v>
      </c>
      <c r="H951" s="39"/>
      <c r="I951" s="39"/>
      <c r="J951" s="39"/>
      <c r="K951" s="39">
        <v>0.17</v>
      </c>
      <c r="L951" s="39"/>
      <c r="M951" s="39"/>
      <c r="N951" s="39"/>
      <c r="O951" s="39"/>
      <c r="P951" s="39"/>
      <c r="Q951" s="39">
        <v>1.17</v>
      </c>
      <c r="R951" s="39"/>
      <c r="S951" s="39"/>
      <c r="T951" s="39"/>
      <c r="U951" s="39">
        <v>0.33</v>
      </c>
      <c r="V951" s="39"/>
      <c r="W951" s="39"/>
      <c r="X951" s="49" t="s">
        <v>77</v>
      </c>
      <c r="Y951" s="50">
        <v>61980</v>
      </c>
      <c r="Z951" s="51">
        <v>57392</v>
      </c>
      <c r="AA951" s="52">
        <f t="shared" si="22"/>
        <v>0.925976121329461</v>
      </c>
      <c r="AB951" s="12">
        <v>57360</v>
      </c>
      <c r="AC951" s="12">
        <v>32</v>
      </c>
      <c r="AD951" s="43"/>
      <c r="AE951" s="43"/>
      <c r="AF951" s="43"/>
      <c r="AG951" s="19">
        <v>32</v>
      </c>
      <c r="AH951" s="43"/>
      <c r="AI951" s="43"/>
      <c r="AJ951" s="43"/>
      <c r="AK951" s="43"/>
      <c r="AL951" s="43"/>
      <c r="AM951" s="43"/>
      <c r="AN951" s="43"/>
      <c r="AO951" s="43"/>
      <c r="AP951" s="43"/>
      <c r="AQ951" s="43"/>
      <c r="AR951" s="43"/>
      <c r="AS951" s="43"/>
      <c r="AT951" s="43"/>
      <c r="AU951" s="43"/>
      <c r="AV951" s="43"/>
    </row>
    <row r="952" ht="15.75" spans="1:48">
      <c r="A952" s="12">
        <v>948</v>
      </c>
      <c r="B952" s="44">
        <v>4185</v>
      </c>
      <c r="C952" s="45" t="s">
        <v>72</v>
      </c>
      <c r="D952" s="46" t="s">
        <v>78</v>
      </c>
      <c r="E952" s="47" t="s">
        <v>50</v>
      </c>
      <c r="F952" s="48">
        <v>10.33</v>
      </c>
      <c r="G952" s="38">
        <v>1.67</v>
      </c>
      <c r="H952" s="39"/>
      <c r="I952" s="39"/>
      <c r="J952" s="39"/>
      <c r="K952" s="39">
        <v>0.17</v>
      </c>
      <c r="L952" s="39"/>
      <c r="M952" s="39"/>
      <c r="N952" s="39"/>
      <c r="O952" s="39"/>
      <c r="P952" s="39"/>
      <c r="Q952" s="39">
        <v>1.17</v>
      </c>
      <c r="R952" s="39"/>
      <c r="S952" s="39"/>
      <c r="T952" s="39"/>
      <c r="U952" s="39">
        <v>0.33</v>
      </c>
      <c r="V952" s="39"/>
      <c r="W952" s="39"/>
      <c r="X952" s="49" t="s">
        <v>79</v>
      </c>
      <c r="Y952" s="50">
        <v>68797.8</v>
      </c>
      <c r="Z952" s="51">
        <v>59840</v>
      </c>
      <c r="AA952" s="52">
        <f t="shared" si="22"/>
        <v>0.869795255080831</v>
      </c>
      <c r="AB952" s="12">
        <v>59792</v>
      </c>
      <c r="AC952" s="12">
        <v>48</v>
      </c>
      <c r="AD952" s="43"/>
      <c r="AE952" s="43"/>
      <c r="AF952" s="43"/>
      <c r="AG952" s="19">
        <v>48</v>
      </c>
      <c r="AH952" s="43"/>
      <c r="AI952" s="43"/>
      <c r="AJ952" s="43"/>
      <c r="AK952" s="43"/>
      <c r="AL952" s="43"/>
      <c r="AM952" s="43"/>
      <c r="AN952" s="43"/>
      <c r="AO952" s="43"/>
      <c r="AP952" s="43"/>
      <c r="AQ952" s="43"/>
      <c r="AR952" s="43"/>
      <c r="AS952" s="43"/>
      <c r="AT952" s="43"/>
      <c r="AU952" s="43"/>
      <c r="AV952" s="43"/>
    </row>
    <row r="953" ht="15.75" spans="1:48">
      <c r="A953" s="12">
        <v>949</v>
      </c>
      <c r="B953" s="44">
        <v>4185</v>
      </c>
      <c r="C953" s="45" t="s">
        <v>72</v>
      </c>
      <c r="D953" s="46" t="s">
        <v>207</v>
      </c>
      <c r="E953" s="47" t="s">
        <v>50</v>
      </c>
      <c r="F953" s="48">
        <v>10.33</v>
      </c>
      <c r="G953" s="38">
        <v>1.67</v>
      </c>
      <c r="H953" s="39"/>
      <c r="I953" s="39"/>
      <c r="J953" s="39"/>
      <c r="K953" s="39">
        <v>0.17</v>
      </c>
      <c r="L953" s="39"/>
      <c r="M953" s="39"/>
      <c r="N953" s="39"/>
      <c r="O953" s="39"/>
      <c r="P953" s="39"/>
      <c r="Q953" s="39">
        <v>1.17</v>
      </c>
      <c r="R953" s="39"/>
      <c r="S953" s="39"/>
      <c r="T953" s="39"/>
      <c r="U953" s="39">
        <v>0.33</v>
      </c>
      <c r="V953" s="39"/>
      <c r="W953" s="39"/>
      <c r="X953" s="49" t="s">
        <v>79</v>
      </c>
      <c r="Y953" s="50">
        <v>68797.8</v>
      </c>
      <c r="Z953" s="51">
        <v>59920</v>
      </c>
      <c r="AA953" s="52">
        <f t="shared" si="22"/>
        <v>0.870958082961955</v>
      </c>
      <c r="AB953" s="12">
        <v>59920</v>
      </c>
      <c r="AC953" s="12">
        <v>0</v>
      </c>
      <c r="AD953" s="43"/>
      <c r="AE953" s="43"/>
      <c r="AF953" s="43"/>
      <c r="AG953" s="43"/>
      <c r="AH953" s="43"/>
      <c r="AI953" s="43"/>
      <c r="AJ953" s="43"/>
      <c r="AK953" s="43"/>
      <c r="AL953" s="43"/>
      <c r="AM953" s="43"/>
      <c r="AN953" s="43"/>
      <c r="AO953" s="43"/>
      <c r="AP953" s="43"/>
      <c r="AQ953" s="43"/>
      <c r="AR953" s="43"/>
      <c r="AS953" s="43"/>
      <c r="AT953" s="43"/>
      <c r="AU953" s="43"/>
      <c r="AV953" s="43"/>
    </row>
    <row r="954" ht="15.75" spans="1:48">
      <c r="A954" s="12">
        <v>950</v>
      </c>
      <c r="B954" s="44">
        <v>4478</v>
      </c>
      <c r="C954" s="45" t="s">
        <v>128</v>
      </c>
      <c r="D954" s="46" t="s">
        <v>129</v>
      </c>
      <c r="E954" s="47" t="s">
        <v>209</v>
      </c>
      <c r="F954" s="48">
        <v>2.1</v>
      </c>
      <c r="G954" s="38">
        <v>1.34</v>
      </c>
      <c r="H954" s="39"/>
      <c r="I954" s="39"/>
      <c r="J954" s="39"/>
      <c r="K954" s="39"/>
      <c r="L954" s="39"/>
      <c r="M954" s="39"/>
      <c r="N954" s="39"/>
      <c r="O954" s="39"/>
      <c r="P954" s="39"/>
      <c r="Q954" s="39">
        <v>1.17</v>
      </c>
      <c r="R954" s="39"/>
      <c r="S954" s="39"/>
      <c r="T954" s="39"/>
      <c r="U954" s="39">
        <v>0.17</v>
      </c>
      <c r="V954" s="39"/>
      <c r="W954" s="39"/>
      <c r="X954" s="49" t="s">
        <v>242</v>
      </c>
      <c r="Y954" s="50">
        <v>4032</v>
      </c>
      <c r="Z954" s="51">
        <v>3440</v>
      </c>
      <c r="AA954" s="52">
        <f t="shared" si="22"/>
        <v>0.853174603174603</v>
      </c>
      <c r="AB954" s="12">
        <v>3432</v>
      </c>
      <c r="AC954" s="12">
        <v>8</v>
      </c>
      <c r="AD954" s="43"/>
      <c r="AE954" s="43"/>
      <c r="AF954" s="43"/>
      <c r="AG954" s="19">
        <v>8</v>
      </c>
      <c r="AH954" s="43"/>
      <c r="AI954" s="43"/>
      <c r="AJ954" s="43"/>
      <c r="AK954" s="43"/>
      <c r="AL954" s="43"/>
      <c r="AM954" s="43"/>
      <c r="AN954" s="43"/>
      <c r="AO954" s="43"/>
      <c r="AP954" s="43"/>
      <c r="AQ954" s="43"/>
      <c r="AR954" s="43"/>
      <c r="AS954" s="43"/>
      <c r="AT954" s="43"/>
      <c r="AU954" s="43"/>
      <c r="AV954" s="43"/>
    </row>
    <row r="955" ht="15.75" spans="1:48">
      <c r="A955" s="12">
        <v>951</v>
      </c>
      <c r="B955" s="44">
        <v>4478</v>
      </c>
      <c r="C955" s="45" t="s">
        <v>128</v>
      </c>
      <c r="D955" s="46" t="s">
        <v>129</v>
      </c>
      <c r="E955" s="47" t="s">
        <v>209</v>
      </c>
      <c r="F955" s="48">
        <v>7.89</v>
      </c>
      <c r="G955" s="38">
        <v>0</v>
      </c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49" t="s">
        <v>274</v>
      </c>
      <c r="Y955" s="50">
        <v>15148.8</v>
      </c>
      <c r="Z955" s="51">
        <v>12672</v>
      </c>
      <c r="AA955" s="52">
        <f t="shared" si="22"/>
        <v>0.836501901140684</v>
      </c>
      <c r="AB955" s="12">
        <v>12656</v>
      </c>
      <c r="AC955" s="12">
        <v>16</v>
      </c>
      <c r="AD955" s="43"/>
      <c r="AE955" s="43"/>
      <c r="AF955" s="43"/>
      <c r="AG955" s="19">
        <v>16</v>
      </c>
      <c r="AH955" s="43"/>
      <c r="AI955" s="43"/>
      <c r="AJ955" s="43"/>
      <c r="AK955" s="43"/>
      <c r="AL955" s="43"/>
      <c r="AM955" s="43"/>
      <c r="AN955" s="43"/>
      <c r="AO955" s="43"/>
      <c r="AP955" s="43"/>
      <c r="AQ955" s="43"/>
      <c r="AR955" s="43"/>
      <c r="AS955" s="43"/>
      <c r="AT955" s="43"/>
      <c r="AU955" s="43"/>
      <c r="AV955" s="43"/>
    </row>
    <row r="956" ht="15.75" spans="1:48">
      <c r="A956" s="12">
        <v>952</v>
      </c>
      <c r="B956" s="44">
        <v>676</v>
      </c>
      <c r="C956" s="45" t="s">
        <v>171</v>
      </c>
      <c r="D956" s="46"/>
      <c r="E956" s="47" t="s">
        <v>50</v>
      </c>
      <c r="F956" s="48">
        <v>8</v>
      </c>
      <c r="G956" s="38">
        <v>2.17</v>
      </c>
      <c r="H956" s="39"/>
      <c r="I956" s="39"/>
      <c r="J956" s="39"/>
      <c r="K956" s="39"/>
      <c r="L956" s="39"/>
      <c r="M956" s="39"/>
      <c r="N956" s="39"/>
      <c r="O956" s="39"/>
      <c r="P956" s="39"/>
      <c r="Q956" s="39">
        <v>1.17</v>
      </c>
      <c r="R956" s="39"/>
      <c r="S956" s="39"/>
      <c r="T956" s="39">
        <v>1</v>
      </c>
      <c r="U956" s="39"/>
      <c r="V956" s="39"/>
      <c r="W956" s="39"/>
      <c r="X956" s="49" t="s">
        <v>90</v>
      </c>
      <c r="Y956" s="50">
        <v>3760</v>
      </c>
      <c r="Z956" s="51">
        <v>3600</v>
      </c>
      <c r="AA956" s="52">
        <f t="shared" si="22"/>
        <v>0.957446808510638</v>
      </c>
      <c r="AB956" s="12">
        <v>3600</v>
      </c>
      <c r="AC956" s="12">
        <v>0</v>
      </c>
      <c r="AD956" s="43"/>
      <c r="AE956" s="43"/>
      <c r="AF956" s="43"/>
      <c r="AG956" s="43"/>
      <c r="AH956" s="43"/>
      <c r="AI956" s="43"/>
      <c r="AJ956" s="43"/>
      <c r="AK956" s="43"/>
      <c r="AL956" s="43"/>
      <c r="AM956" s="43"/>
      <c r="AN956" s="43"/>
      <c r="AO956" s="43"/>
      <c r="AP956" s="43"/>
      <c r="AQ956" s="43"/>
      <c r="AR956" s="43"/>
      <c r="AS956" s="43"/>
      <c r="AT956" s="43"/>
      <c r="AU956" s="43"/>
      <c r="AV956" s="43"/>
    </row>
    <row r="957" ht="15.75" spans="1:48">
      <c r="A957" s="12">
        <v>953</v>
      </c>
      <c r="B957" s="44" t="s">
        <v>185</v>
      </c>
      <c r="C957" s="45" t="s">
        <v>179</v>
      </c>
      <c r="D957" s="46">
        <v>6</v>
      </c>
      <c r="E957" s="47" t="s">
        <v>93</v>
      </c>
      <c r="F957" s="48">
        <v>4.8</v>
      </c>
      <c r="G957" s="38">
        <v>1.34</v>
      </c>
      <c r="H957" s="39"/>
      <c r="I957" s="39"/>
      <c r="J957" s="39"/>
      <c r="K957" s="39"/>
      <c r="L957" s="39"/>
      <c r="M957" s="39"/>
      <c r="N957" s="39"/>
      <c r="O957" s="39"/>
      <c r="P957" s="39"/>
      <c r="Q957" s="39">
        <v>1.17</v>
      </c>
      <c r="R957" s="39"/>
      <c r="S957" s="39"/>
      <c r="T957" s="39"/>
      <c r="U957" s="39">
        <v>0.17</v>
      </c>
      <c r="V957" s="39"/>
      <c r="W957" s="39"/>
      <c r="X957" s="49">
        <v>8235</v>
      </c>
      <c r="Y957" s="50">
        <v>2217.6</v>
      </c>
      <c r="Z957" s="51">
        <v>1903</v>
      </c>
      <c r="AA957" s="52">
        <f t="shared" si="22"/>
        <v>0.858134920634921</v>
      </c>
      <c r="AB957" s="12">
        <v>1903</v>
      </c>
      <c r="AC957" s="12">
        <v>0</v>
      </c>
      <c r="AD957" s="43"/>
      <c r="AE957" s="43"/>
      <c r="AF957" s="43"/>
      <c r="AG957" s="43"/>
      <c r="AH957" s="43"/>
      <c r="AI957" s="43"/>
      <c r="AJ957" s="43"/>
      <c r="AK957" s="43"/>
      <c r="AL957" s="43"/>
      <c r="AM957" s="43"/>
      <c r="AN957" s="43"/>
      <c r="AO957" s="43"/>
      <c r="AP957" s="43"/>
      <c r="AQ957" s="43"/>
      <c r="AR957" s="43"/>
      <c r="AS957" s="43"/>
      <c r="AT957" s="43"/>
      <c r="AU957" s="43"/>
      <c r="AV957" s="43"/>
    </row>
    <row r="958" ht="15.75" spans="1:48">
      <c r="A958" s="12">
        <v>954</v>
      </c>
      <c r="B958" s="44">
        <v>4360</v>
      </c>
      <c r="C958" s="45" t="s">
        <v>97</v>
      </c>
      <c r="D958" s="46">
        <v>7</v>
      </c>
      <c r="E958" s="47" t="s">
        <v>50</v>
      </c>
      <c r="F958" s="48">
        <v>10.67</v>
      </c>
      <c r="G958" s="38">
        <v>1.34</v>
      </c>
      <c r="H958" s="39"/>
      <c r="I958" s="39"/>
      <c r="J958" s="39"/>
      <c r="K958" s="39"/>
      <c r="L958" s="39"/>
      <c r="M958" s="39"/>
      <c r="N958" s="39"/>
      <c r="O958" s="39"/>
      <c r="P958" s="39"/>
      <c r="Q958" s="39">
        <v>1.17</v>
      </c>
      <c r="R958" s="39"/>
      <c r="S958" s="39"/>
      <c r="T958" s="39"/>
      <c r="U958" s="39">
        <v>0.17</v>
      </c>
      <c r="V958" s="39"/>
      <c r="W958" s="39"/>
      <c r="X958" s="49" t="s">
        <v>95</v>
      </c>
      <c r="Y958" s="50">
        <v>14938</v>
      </c>
      <c r="Z958" s="51">
        <v>14000</v>
      </c>
      <c r="AA958" s="52">
        <f t="shared" si="22"/>
        <v>0.937207122774133</v>
      </c>
      <c r="AB958" s="12">
        <v>14000</v>
      </c>
      <c r="AC958" s="12">
        <v>0</v>
      </c>
      <c r="AD958" s="43"/>
      <c r="AE958" s="43"/>
      <c r="AF958" s="43"/>
      <c r="AG958" s="43"/>
      <c r="AH958" s="43"/>
      <c r="AI958" s="43"/>
      <c r="AJ958" s="43"/>
      <c r="AK958" s="43"/>
      <c r="AL958" s="43"/>
      <c r="AM958" s="43"/>
      <c r="AN958" s="43"/>
      <c r="AO958" s="43"/>
      <c r="AP958" s="43"/>
      <c r="AQ958" s="43"/>
      <c r="AR958" s="43"/>
      <c r="AS958" s="43"/>
      <c r="AT958" s="43"/>
      <c r="AU958" s="43"/>
      <c r="AV958" s="43"/>
    </row>
    <row r="959" ht="15.75" spans="1:48">
      <c r="A959" s="12">
        <v>955</v>
      </c>
      <c r="B959" s="44">
        <v>4489</v>
      </c>
      <c r="C959" s="45" t="s">
        <v>88</v>
      </c>
      <c r="D959" s="46">
        <v>3</v>
      </c>
      <c r="E959" s="47" t="s">
        <v>50</v>
      </c>
      <c r="F959" s="48">
        <v>6</v>
      </c>
      <c r="G959" s="38">
        <v>2.34</v>
      </c>
      <c r="H959" s="39"/>
      <c r="I959" s="39"/>
      <c r="J959" s="39"/>
      <c r="K959" s="39"/>
      <c r="L959" s="39"/>
      <c r="M959" s="39"/>
      <c r="N959" s="39"/>
      <c r="O959" s="39"/>
      <c r="P959" s="39"/>
      <c r="Q959" s="39">
        <v>1.17</v>
      </c>
      <c r="R959" s="39"/>
      <c r="S959" s="39"/>
      <c r="T959" s="39">
        <v>1</v>
      </c>
      <c r="U959" s="39">
        <v>0.17</v>
      </c>
      <c r="V959" s="39"/>
      <c r="W959" s="39"/>
      <c r="X959" s="49" t="s">
        <v>219</v>
      </c>
      <c r="Y959" s="50">
        <v>3120</v>
      </c>
      <c r="Z959" s="51">
        <v>2502</v>
      </c>
      <c r="AA959" s="52">
        <f t="shared" si="22"/>
        <v>0.801923076923077</v>
      </c>
      <c r="AB959" s="12">
        <v>2160</v>
      </c>
      <c r="AC959" s="12">
        <v>342</v>
      </c>
      <c r="AD959" s="19">
        <v>342</v>
      </c>
      <c r="AE959" s="43"/>
      <c r="AF959" s="43"/>
      <c r="AG959" s="43"/>
      <c r="AH959" s="43"/>
      <c r="AI959" s="43"/>
      <c r="AJ959" s="43"/>
      <c r="AK959" s="43"/>
      <c r="AL959" s="43"/>
      <c r="AM959" s="43"/>
      <c r="AN959" s="43"/>
      <c r="AO959" s="43"/>
      <c r="AP959" s="43"/>
      <c r="AQ959" s="43"/>
      <c r="AR959" s="43"/>
      <c r="AS959" s="43"/>
      <c r="AT959" s="43"/>
      <c r="AU959" s="43"/>
      <c r="AV959" s="43"/>
    </row>
    <row r="960" ht="15.75" spans="1:48">
      <c r="A960" s="12">
        <v>956</v>
      </c>
      <c r="B960" s="44">
        <v>4382</v>
      </c>
      <c r="C960" s="45" t="s">
        <v>173</v>
      </c>
      <c r="D960" s="46">
        <v>5</v>
      </c>
      <c r="E960" s="47" t="s">
        <v>50</v>
      </c>
      <c r="F960" s="48">
        <v>9</v>
      </c>
      <c r="G960" s="38">
        <v>2.01</v>
      </c>
      <c r="H960" s="39"/>
      <c r="I960" s="39"/>
      <c r="J960" s="39"/>
      <c r="K960" s="39"/>
      <c r="L960" s="39"/>
      <c r="M960" s="39"/>
      <c r="N960" s="39"/>
      <c r="O960" s="39"/>
      <c r="P960" s="39"/>
      <c r="Q960" s="39">
        <v>1.17</v>
      </c>
      <c r="R960" s="39"/>
      <c r="S960" s="39"/>
      <c r="T960" s="39">
        <v>0.67</v>
      </c>
      <c r="U960" s="39">
        <v>0.17</v>
      </c>
      <c r="V960" s="39"/>
      <c r="W960" s="39"/>
      <c r="X960" s="49">
        <v>5770</v>
      </c>
      <c r="Y960" s="50">
        <v>5445</v>
      </c>
      <c r="Z960" s="51">
        <v>5702</v>
      </c>
      <c r="AA960" s="52">
        <f t="shared" si="22"/>
        <v>1.04719926538108</v>
      </c>
      <c r="AB960" s="12">
        <v>5472</v>
      </c>
      <c r="AC960" s="12">
        <v>230</v>
      </c>
      <c r="AD960" s="19">
        <v>230</v>
      </c>
      <c r="AE960" s="43"/>
      <c r="AF960" s="43"/>
      <c r="AG960" s="43"/>
      <c r="AH960" s="43"/>
      <c r="AI960" s="43"/>
      <c r="AJ960" s="43"/>
      <c r="AK960" s="43"/>
      <c r="AL960" s="43"/>
      <c r="AM960" s="43"/>
      <c r="AN960" s="43"/>
      <c r="AO960" s="43"/>
      <c r="AP960" s="43"/>
      <c r="AQ960" s="43"/>
      <c r="AR960" s="43"/>
      <c r="AS960" s="43"/>
      <c r="AT960" s="43"/>
      <c r="AU960" s="43"/>
      <c r="AV960" s="43"/>
    </row>
    <row r="961" ht="15.75" spans="1:48">
      <c r="A961" s="12">
        <v>957</v>
      </c>
      <c r="B961" s="44">
        <v>4412</v>
      </c>
      <c r="C961" s="45" t="s">
        <v>177</v>
      </c>
      <c r="D961" s="46">
        <v>17</v>
      </c>
      <c r="E961" s="47" t="s">
        <v>50</v>
      </c>
      <c r="F961" s="48">
        <v>2.83</v>
      </c>
      <c r="G961" s="38">
        <v>1.17</v>
      </c>
      <c r="H961" s="39"/>
      <c r="I961" s="39"/>
      <c r="J961" s="39"/>
      <c r="K961" s="39"/>
      <c r="L961" s="39"/>
      <c r="M961" s="39"/>
      <c r="N961" s="39"/>
      <c r="O961" s="39"/>
      <c r="P961" s="39"/>
      <c r="Q961" s="39">
        <v>1.17</v>
      </c>
      <c r="R961" s="39"/>
      <c r="S961" s="39"/>
      <c r="T961" s="39"/>
      <c r="U961" s="39"/>
      <c r="V961" s="39"/>
      <c r="W961" s="39"/>
      <c r="X961" s="49" t="s">
        <v>96</v>
      </c>
      <c r="Y961" s="50">
        <v>4103.5</v>
      </c>
      <c r="Z961" s="51">
        <v>3500</v>
      </c>
      <c r="AA961" s="52">
        <f t="shared" si="22"/>
        <v>0.852930425246741</v>
      </c>
      <c r="AB961" s="12">
        <v>3500</v>
      </c>
      <c r="AC961" s="12">
        <v>0</v>
      </c>
      <c r="AD961" s="43"/>
      <c r="AE961" s="43"/>
      <c r="AF961" s="43"/>
      <c r="AG961" s="43"/>
      <c r="AH961" s="43"/>
      <c r="AI961" s="43"/>
      <c r="AJ961" s="43"/>
      <c r="AK961" s="43"/>
      <c r="AL961" s="43"/>
      <c r="AM961" s="43"/>
      <c r="AN961" s="43"/>
      <c r="AO961" s="43"/>
      <c r="AP961" s="43"/>
      <c r="AQ961" s="43"/>
      <c r="AR961" s="43"/>
      <c r="AS961" s="43"/>
      <c r="AT961" s="43"/>
      <c r="AU961" s="43"/>
      <c r="AV961" s="43"/>
    </row>
    <row r="962" ht="15.75" spans="1:48">
      <c r="A962" s="12">
        <v>958</v>
      </c>
      <c r="B962" s="44">
        <v>4412</v>
      </c>
      <c r="C962" s="45" t="s">
        <v>177</v>
      </c>
      <c r="D962" s="46">
        <v>21</v>
      </c>
      <c r="E962" s="47" t="s">
        <v>50</v>
      </c>
      <c r="F962" s="48">
        <v>8</v>
      </c>
      <c r="G962" s="38">
        <v>0</v>
      </c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49" t="s">
        <v>222</v>
      </c>
      <c r="Y962" s="50">
        <v>11600</v>
      </c>
      <c r="Z962" s="51">
        <v>10350</v>
      </c>
      <c r="AA962" s="52">
        <f t="shared" si="22"/>
        <v>0.892241379310345</v>
      </c>
      <c r="AB962" s="12">
        <v>10350</v>
      </c>
      <c r="AC962" s="12">
        <v>0</v>
      </c>
      <c r="AD962" s="43"/>
      <c r="AE962" s="43"/>
      <c r="AF962" s="43"/>
      <c r="AG962" s="43"/>
      <c r="AH962" s="43"/>
      <c r="AI962" s="43"/>
      <c r="AJ962" s="43"/>
      <c r="AK962" s="43"/>
      <c r="AL962" s="43"/>
      <c r="AM962" s="43"/>
      <c r="AN962" s="43"/>
      <c r="AO962" s="43"/>
      <c r="AP962" s="43"/>
      <c r="AQ962" s="43"/>
      <c r="AR962" s="43"/>
      <c r="AS962" s="43"/>
      <c r="AT962" s="43"/>
      <c r="AU962" s="43"/>
      <c r="AV962" s="43"/>
    </row>
    <row r="963" ht="15.75" spans="1:48">
      <c r="A963" s="12">
        <v>959</v>
      </c>
      <c r="B963" s="44" t="s">
        <v>254</v>
      </c>
      <c r="C963" s="45" t="s">
        <v>255</v>
      </c>
      <c r="D963" s="46">
        <v>18</v>
      </c>
      <c r="E963" s="47" t="s">
        <v>93</v>
      </c>
      <c r="F963" s="48">
        <v>7</v>
      </c>
      <c r="G963" s="38">
        <v>1</v>
      </c>
      <c r="H963" s="39"/>
      <c r="I963" s="39"/>
      <c r="J963" s="39"/>
      <c r="K963" s="39"/>
      <c r="L963" s="39"/>
      <c r="M963" s="39"/>
      <c r="N963" s="39"/>
      <c r="O963" s="39"/>
      <c r="P963" s="39"/>
      <c r="Q963" s="39">
        <v>0.83</v>
      </c>
      <c r="R963" s="39"/>
      <c r="S963" s="39"/>
      <c r="T963" s="39"/>
      <c r="U963" s="39">
        <v>0.17</v>
      </c>
      <c r="V963" s="39"/>
      <c r="W963" s="39"/>
      <c r="X963" s="49">
        <v>6270</v>
      </c>
      <c r="Y963" s="50">
        <v>3811.5</v>
      </c>
      <c r="Z963" s="51">
        <v>3360</v>
      </c>
      <c r="AA963" s="52">
        <f t="shared" si="22"/>
        <v>0.881542699724518</v>
      </c>
      <c r="AB963" s="12">
        <v>3345</v>
      </c>
      <c r="AC963" s="12">
        <v>15</v>
      </c>
      <c r="AD963" s="19">
        <v>15</v>
      </c>
      <c r="AE963" s="43"/>
      <c r="AF963" s="43"/>
      <c r="AG963" s="43"/>
      <c r="AH963" s="43"/>
      <c r="AI963" s="43"/>
      <c r="AJ963" s="43"/>
      <c r="AK963" s="43"/>
      <c r="AL963" s="43"/>
      <c r="AM963" s="43"/>
      <c r="AN963" s="43"/>
      <c r="AO963" s="43"/>
      <c r="AP963" s="43"/>
      <c r="AQ963" s="43"/>
      <c r="AR963" s="43"/>
      <c r="AS963" s="43"/>
      <c r="AT963" s="43"/>
      <c r="AU963" s="43"/>
      <c r="AV963" s="43"/>
    </row>
    <row r="964" ht="15.75" spans="1:48">
      <c r="A964" s="12">
        <v>960</v>
      </c>
      <c r="B964" s="44">
        <v>4490</v>
      </c>
      <c r="C964" s="45" t="s">
        <v>91</v>
      </c>
      <c r="D964" s="46">
        <v>8</v>
      </c>
      <c r="E964" s="47" t="s">
        <v>50</v>
      </c>
      <c r="F964" s="48">
        <v>9.17</v>
      </c>
      <c r="G964" s="38">
        <v>2.01</v>
      </c>
      <c r="H964" s="39"/>
      <c r="I964" s="39"/>
      <c r="J964" s="39"/>
      <c r="K964" s="39">
        <v>0.17</v>
      </c>
      <c r="L964" s="39"/>
      <c r="M964" s="39"/>
      <c r="N964" s="39"/>
      <c r="O964" s="39"/>
      <c r="P964" s="39"/>
      <c r="Q964" s="39">
        <v>1.17</v>
      </c>
      <c r="R964" s="39"/>
      <c r="S964" s="39"/>
      <c r="T964" s="39">
        <v>0.17</v>
      </c>
      <c r="U964" s="39">
        <v>0.5</v>
      </c>
      <c r="V964" s="39"/>
      <c r="W964" s="39"/>
      <c r="X964" s="49">
        <v>6270</v>
      </c>
      <c r="Y964" s="50">
        <v>5547.85</v>
      </c>
      <c r="Z964" s="51">
        <v>5468</v>
      </c>
      <c r="AA964" s="52">
        <f t="shared" si="22"/>
        <v>0.985607036960264</v>
      </c>
      <c r="AB964" s="12">
        <v>5400</v>
      </c>
      <c r="AC964" s="12">
        <v>68</v>
      </c>
      <c r="AD964" s="19">
        <v>68</v>
      </c>
      <c r="AE964" s="43"/>
      <c r="AF964" s="43"/>
      <c r="AG964" s="43"/>
      <c r="AH964" s="43"/>
      <c r="AI964" s="43"/>
      <c r="AJ964" s="43"/>
      <c r="AK964" s="43"/>
      <c r="AL964" s="43"/>
      <c r="AM964" s="43"/>
      <c r="AN964" s="43"/>
      <c r="AO964" s="43"/>
      <c r="AP964" s="43"/>
      <c r="AQ964" s="43"/>
      <c r="AR964" s="43"/>
      <c r="AS964" s="43"/>
      <c r="AT964" s="43"/>
      <c r="AU964" s="43"/>
      <c r="AV964" s="43"/>
    </row>
    <row r="965" ht="15.75" spans="1:48">
      <c r="A965" s="12">
        <v>961</v>
      </c>
      <c r="B965" s="44">
        <v>3268</v>
      </c>
      <c r="C965" s="45" t="s">
        <v>80</v>
      </c>
      <c r="D965" s="46"/>
      <c r="E965" s="47" t="s">
        <v>50</v>
      </c>
      <c r="F965" s="48">
        <v>7</v>
      </c>
      <c r="G965" s="38">
        <v>0.83</v>
      </c>
      <c r="H965" s="39"/>
      <c r="I965" s="39"/>
      <c r="J965" s="39"/>
      <c r="K965" s="39"/>
      <c r="L965" s="39"/>
      <c r="M965" s="39"/>
      <c r="N965" s="39"/>
      <c r="O965" s="39"/>
      <c r="P965" s="39"/>
      <c r="Q965" s="39">
        <v>0.83</v>
      </c>
      <c r="R965" s="39"/>
      <c r="S965" s="39"/>
      <c r="T965" s="39"/>
      <c r="U965" s="39"/>
      <c r="V965" s="39"/>
      <c r="W965" s="39"/>
      <c r="X965" s="49" t="s">
        <v>98</v>
      </c>
      <c r="Y965" s="50">
        <v>3290</v>
      </c>
      <c r="Z965" s="51">
        <v>2700</v>
      </c>
      <c r="AA965" s="52">
        <f t="shared" si="22"/>
        <v>0.820668693009118</v>
      </c>
      <c r="AB965" s="12">
        <v>2700</v>
      </c>
      <c r="AC965" s="12">
        <v>0</v>
      </c>
      <c r="AD965" s="43"/>
      <c r="AE965" s="43"/>
      <c r="AF965" s="43"/>
      <c r="AG965" s="43"/>
      <c r="AH965" s="43"/>
      <c r="AI965" s="43"/>
      <c r="AJ965" s="43"/>
      <c r="AK965" s="43"/>
      <c r="AL965" s="43"/>
      <c r="AM965" s="43"/>
      <c r="AN965" s="43"/>
      <c r="AO965" s="43"/>
      <c r="AP965" s="43"/>
      <c r="AQ965" s="43"/>
      <c r="AR965" s="43"/>
      <c r="AS965" s="43"/>
      <c r="AT965" s="43"/>
      <c r="AU965" s="43"/>
      <c r="AV965" s="43"/>
    </row>
    <row r="966" ht="15.75" spans="1:48">
      <c r="A966" s="12">
        <v>962</v>
      </c>
      <c r="B966" s="44">
        <v>3268</v>
      </c>
      <c r="C966" s="45" t="s">
        <v>80</v>
      </c>
      <c r="D966" s="46">
        <v>17</v>
      </c>
      <c r="E966" s="47" t="s">
        <v>50</v>
      </c>
      <c r="F966" s="48">
        <v>3.17</v>
      </c>
      <c r="G966" s="38">
        <v>1</v>
      </c>
      <c r="H966" s="39"/>
      <c r="I966" s="39"/>
      <c r="J966" s="39"/>
      <c r="K966" s="39"/>
      <c r="L966" s="39"/>
      <c r="M966" s="39"/>
      <c r="N966" s="39"/>
      <c r="O966" s="39"/>
      <c r="P966" s="39"/>
      <c r="Q966" s="39">
        <v>0.33</v>
      </c>
      <c r="R966" s="39"/>
      <c r="S966" s="39"/>
      <c r="T966" s="39">
        <v>0.5</v>
      </c>
      <c r="U966" s="39">
        <v>0.17</v>
      </c>
      <c r="V966" s="39"/>
      <c r="W966" s="39"/>
      <c r="X966" s="49">
        <v>977</v>
      </c>
      <c r="Y966" s="50">
        <v>951</v>
      </c>
      <c r="Z966" s="51">
        <v>852</v>
      </c>
      <c r="AA966" s="52">
        <f t="shared" si="22"/>
        <v>0.89589905362776</v>
      </c>
      <c r="AB966" s="12">
        <v>470</v>
      </c>
      <c r="AC966" s="12">
        <v>382</v>
      </c>
      <c r="AD966" s="19">
        <v>382</v>
      </c>
      <c r="AE966" s="43"/>
      <c r="AF966" s="43"/>
      <c r="AG966" s="43"/>
      <c r="AH966" s="43"/>
      <c r="AI966" s="43"/>
      <c r="AJ966" s="43"/>
      <c r="AK966" s="43"/>
      <c r="AL966" s="43"/>
      <c r="AM966" s="43"/>
      <c r="AN966" s="43"/>
      <c r="AO966" s="43"/>
      <c r="AP966" s="43"/>
      <c r="AQ966" s="43"/>
      <c r="AR966" s="43"/>
      <c r="AS966" s="43"/>
      <c r="AT966" s="43"/>
      <c r="AU966" s="43"/>
      <c r="AV966" s="43"/>
    </row>
    <row r="967" ht="15.75" spans="1:48">
      <c r="A967" s="12">
        <v>963</v>
      </c>
      <c r="B967" s="44" t="s">
        <v>275</v>
      </c>
      <c r="C967" s="45" t="s">
        <v>253</v>
      </c>
      <c r="D967" s="46">
        <v>2</v>
      </c>
      <c r="E967" s="47" t="s">
        <v>93</v>
      </c>
      <c r="F967" s="48">
        <v>3.33</v>
      </c>
      <c r="G967" s="38">
        <v>0.83</v>
      </c>
      <c r="H967" s="39"/>
      <c r="I967" s="39"/>
      <c r="J967" s="39"/>
      <c r="K967" s="39"/>
      <c r="L967" s="39"/>
      <c r="M967" s="39"/>
      <c r="N967" s="39"/>
      <c r="O967" s="39"/>
      <c r="P967" s="39"/>
      <c r="Q967" s="39">
        <v>0.83</v>
      </c>
      <c r="R967" s="39"/>
      <c r="S967" s="39"/>
      <c r="T967" s="39"/>
      <c r="U967" s="39"/>
      <c r="V967" s="39"/>
      <c r="W967" s="39"/>
      <c r="X967" s="49">
        <v>1080</v>
      </c>
      <c r="Y967" s="50">
        <v>1758.24</v>
      </c>
      <c r="Z967" s="51">
        <v>1600</v>
      </c>
      <c r="AA967" s="52">
        <f t="shared" si="22"/>
        <v>0.91000091000091</v>
      </c>
      <c r="AB967" s="12">
        <v>1600</v>
      </c>
      <c r="AC967" s="12">
        <v>0</v>
      </c>
      <c r="AD967" s="43"/>
      <c r="AE967" s="43"/>
      <c r="AF967" s="43"/>
      <c r="AG967" s="43"/>
      <c r="AH967" s="43"/>
      <c r="AI967" s="43"/>
      <c r="AJ967" s="43"/>
      <c r="AK967" s="43"/>
      <c r="AL967" s="43"/>
      <c r="AM967" s="43"/>
      <c r="AN967" s="43"/>
      <c r="AO967" s="43"/>
      <c r="AP967" s="43"/>
      <c r="AQ967" s="43"/>
      <c r="AR967" s="43"/>
      <c r="AS967" s="43"/>
      <c r="AT967" s="43"/>
      <c r="AU967" s="43"/>
      <c r="AV967" s="43"/>
    </row>
    <row r="968" ht="15.75" spans="1:48">
      <c r="A968" s="12">
        <v>964</v>
      </c>
      <c r="B968" s="44" t="s">
        <v>275</v>
      </c>
      <c r="C968" s="45" t="s">
        <v>253</v>
      </c>
      <c r="D968" s="46">
        <v>2</v>
      </c>
      <c r="E968" s="47" t="s">
        <v>93</v>
      </c>
      <c r="F968" s="48">
        <v>0.83</v>
      </c>
      <c r="G968" s="38">
        <v>0</v>
      </c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49">
        <v>8234</v>
      </c>
      <c r="Y968" s="50">
        <v>438.24</v>
      </c>
      <c r="Z968" s="51">
        <v>450</v>
      </c>
      <c r="AA968" s="52">
        <f t="shared" si="22"/>
        <v>1.02683461117196</v>
      </c>
      <c r="AB968" s="12">
        <v>450</v>
      </c>
      <c r="AC968" s="12">
        <v>0</v>
      </c>
      <c r="AD968" s="43"/>
      <c r="AE968" s="43"/>
      <c r="AF968" s="43"/>
      <c r="AG968" s="43"/>
      <c r="AH968" s="43"/>
      <c r="AI968" s="43"/>
      <c r="AJ968" s="43"/>
      <c r="AK968" s="43"/>
      <c r="AL968" s="43"/>
      <c r="AM968" s="43"/>
      <c r="AN968" s="43"/>
      <c r="AO968" s="43"/>
      <c r="AP968" s="43"/>
      <c r="AQ968" s="43"/>
      <c r="AR968" s="43"/>
      <c r="AS968" s="43"/>
      <c r="AT968" s="43"/>
      <c r="AU968" s="43"/>
      <c r="AV968" s="43"/>
    </row>
    <row r="969" ht="15.75" spans="1:48">
      <c r="A969" s="12">
        <v>965</v>
      </c>
      <c r="B969" s="44" t="s">
        <v>211</v>
      </c>
      <c r="C969" s="45" t="s">
        <v>176</v>
      </c>
      <c r="D969" s="46">
        <v>18</v>
      </c>
      <c r="E969" s="47" t="s">
        <v>50</v>
      </c>
      <c r="F969" s="48">
        <v>4.25</v>
      </c>
      <c r="G969" s="38">
        <v>0</v>
      </c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49">
        <v>6270</v>
      </c>
      <c r="Y969" s="50">
        <v>2571.25</v>
      </c>
      <c r="Z969" s="51">
        <v>2400</v>
      </c>
      <c r="AA969" s="52">
        <f t="shared" si="22"/>
        <v>0.93339815264949</v>
      </c>
      <c r="AB969" s="12">
        <v>2400</v>
      </c>
      <c r="AC969" s="12">
        <v>0</v>
      </c>
      <c r="AD969" s="43"/>
      <c r="AE969" s="43"/>
      <c r="AF969" s="43"/>
      <c r="AG969" s="43"/>
      <c r="AH969" s="43"/>
      <c r="AI969" s="43"/>
      <c r="AJ969" s="43"/>
      <c r="AK969" s="43"/>
      <c r="AL969" s="43"/>
      <c r="AM969" s="43"/>
      <c r="AN969" s="43"/>
      <c r="AO969" s="43"/>
      <c r="AP969" s="43"/>
      <c r="AQ969" s="43"/>
      <c r="AR969" s="43"/>
      <c r="AS969" s="43"/>
      <c r="AT969" s="43"/>
      <c r="AU969" s="43"/>
      <c r="AV969" s="43"/>
    </row>
    <row r="970" ht="15.75" spans="1:48">
      <c r="A970" s="12">
        <v>966</v>
      </c>
      <c r="B970" s="44" t="s">
        <v>211</v>
      </c>
      <c r="C970" s="45" t="s">
        <v>176</v>
      </c>
      <c r="D970" s="46"/>
      <c r="E970" s="47" t="s">
        <v>50</v>
      </c>
      <c r="F970" s="48">
        <v>0.75</v>
      </c>
      <c r="G970" s="38">
        <v>0</v>
      </c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49" t="s">
        <v>103</v>
      </c>
      <c r="Y970" s="50">
        <v>630</v>
      </c>
      <c r="Z970" s="51">
        <v>600</v>
      </c>
      <c r="AA970" s="52">
        <f t="shared" si="22"/>
        <v>0.952380952380952</v>
      </c>
      <c r="AB970" s="12">
        <v>600</v>
      </c>
      <c r="AC970" s="12">
        <v>0</v>
      </c>
      <c r="AD970" s="43"/>
      <c r="AE970" s="43"/>
      <c r="AF970" s="43"/>
      <c r="AG970" s="43"/>
      <c r="AH970" s="43"/>
      <c r="AI970" s="43"/>
      <c r="AJ970" s="43"/>
      <c r="AK970" s="43"/>
      <c r="AL970" s="43"/>
      <c r="AM970" s="43"/>
      <c r="AN970" s="43"/>
      <c r="AO970" s="43"/>
      <c r="AP970" s="43"/>
      <c r="AQ970" s="43"/>
      <c r="AR970" s="43"/>
      <c r="AS970" s="43"/>
      <c r="AT970" s="43"/>
      <c r="AU970" s="43"/>
      <c r="AV970" s="43"/>
    </row>
    <row r="971" ht="15.75" spans="1:48">
      <c r="A971" s="12">
        <v>967</v>
      </c>
      <c r="B971" s="44" t="s">
        <v>275</v>
      </c>
      <c r="C971" s="45" t="s">
        <v>253</v>
      </c>
      <c r="D971" s="46"/>
      <c r="E971" s="47" t="s">
        <v>50</v>
      </c>
      <c r="F971" s="48">
        <v>3</v>
      </c>
      <c r="G971" s="38">
        <v>0</v>
      </c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49" t="s">
        <v>105</v>
      </c>
      <c r="Y971" s="50">
        <v>1980</v>
      </c>
      <c r="Z971" s="51">
        <v>1950</v>
      </c>
      <c r="AA971" s="52">
        <f t="shared" si="22"/>
        <v>0.984848484848485</v>
      </c>
      <c r="AB971" s="12">
        <v>1950</v>
      </c>
      <c r="AC971" s="12">
        <v>0</v>
      </c>
      <c r="AD971" s="43"/>
      <c r="AE971" s="43"/>
      <c r="AF971" s="43"/>
      <c r="AG971" s="43"/>
      <c r="AH971" s="43"/>
      <c r="AI971" s="43"/>
      <c r="AJ971" s="43"/>
      <c r="AK971" s="43"/>
      <c r="AL971" s="43"/>
      <c r="AM971" s="43"/>
      <c r="AN971" s="43"/>
      <c r="AO971" s="43"/>
      <c r="AP971" s="43"/>
      <c r="AQ971" s="43"/>
      <c r="AR971" s="43"/>
      <c r="AS971" s="43"/>
      <c r="AT971" s="43"/>
      <c r="AU971" s="43"/>
      <c r="AV971" s="43"/>
    </row>
    <row r="972" ht="15.75" spans="1:48">
      <c r="A972" s="12">
        <v>968</v>
      </c>
      <c r="B972" s="44">
        <v>849</v>
      </c>
      <c r="C972" s="45" t="s">
        <v>108</v>
      </c>
      <c r="D972" s="46"/>
      <c r="E972" s="47" t="s">
        <v>244</v>
      </c>
      <c r="F972" s="48">
        <v>7.17</v>
      </c>
      <c r="G972" s="38">
        <v>0.83</v>
      </c>
      <c r="H972" s="39"/>
      <c r="I972" s="39"/>
      <c r="J972" s="39"/>
      <c r="K972" s="39"/>
      <c r="L972" s="39"/>
      <c r="M972" s="39"/>
      <c r="N972" s="39"/>
      <c r="O972" s="39"/>
      <c r="P972" s="39"/>
      <c r="Q972" s="39">
        <v>0.83</v>
      </c>
      <c r="R972" s="39"/>
      <c r="S972" s="39"/>
      <c r="T972" s="39"/>
      <c r="U972" s="39"/>
      <c r="V972" s="39"/>
      <c r="W972" s="39"/>
      <c r="X972" s="49" t="s">
        <v>103</v>
      </c>
      <c r="Y972" s="50">
        <v>4818.24</v>
      </c>
      <c r="Z972" s="51">
        <v>3336</v>
      </c>
      <c r="AA972" s="52">
        <f t="shared" si="22"/>
        <v>0.692368997808328</v>
      </c>
      <c r="AB972" s="12">
        <v>3336</v>
      </c>
      <c r="AC972" s="12">
        <v>0</v>
      </c>
      <c r="AD972" s="43"/>
      <c r="AE972" s="43"/>
      <c r="AF972" s="43"/>
      <c r="AG972" s="43"/>
      <c r="AH972" s="43"/>
      <c r="AI972" s="43"/>
      <c r="AJ972" s="43"/>
      <c r="AK972" s="43"/>
      <c r="AL972" s="43"/>
      <c r="AM972" s="43"/>
      <c r="AN972" s="43"/>
      <c r="AO972" s="43"/>
      <c r="AP972" s="43"/>
      <c r="AQ972" s="43"/>
      <c r="AR972" s="43"/>
      <c r="AS972" s="43"/>
      <c r="AT972" s="43"/>
      <c r="AU972" s="43"/>
      <c r="AV972" s="43"/>
    </row>
    <row r="973" ht="15.75" spans="1:48">
      <c r="A973" s="12">
        <v>969</v>
      </c>
      <c r="B973" s="44">
        <v>850</v>
      </c>
      <c r="C973" s="45" t="s">
        <v>109</v>
      </c>
      <c r="D973" s="46"/>
      <c r="E973" s="47" t="s">
        <v>244</v>
      </c>
      <c r="F973" s="48">
        <v>7.17</v>
      </c>
      <c r="G973" s="38">
        <v>0.83</v>
      </c>
      <c r="H973" s="39"/>
      <c r="I973" s="39"/>
      <c r="J973" s="39"/>
      <c r="K973" s="39"/>
      <c r="L973" s="39"/>
      <c r="M973" s="39"/>
      <c r="N973" s="39"/>
      <c r="O973" s="39"/>
      <c r="P973" s="39"/>
      <c r="Q973" s="39">
        <v>0.83</v>
      </c>
      <c r="R973" s="39"/>
      <c r="S973" s="39"/>
      <c r="T973" s="39"/>
      <c r="U973" s="39"/>
      <c r="V973" s="39"/>
      <c r="W973" s="39"/>
      <c r="X973" s="49" t="s">
        <v>103</v>
      </c>
      <c r="Y973" s="50">
        <v>5420.52</v>
      </c>
      <c r="Z973" s="51">
        <v>4478</v>
      </c>
      <c r="AA973" s="52">
        <f t="shared" si="22"/>
        <v>0.826120003246921</v>
      </c>
      <c r="AB973" s="12">
        <v>4478</v>
      </c>
      <c r="AC973" s="12">
        <v>0</v>
      </c>
      <c r="AD973" s="43"/>
      <c r="AE973" s="43"/>
      <c r="AF973" s="43"/>
      <c r="AG973" s="43"/>
      <c r="AH973" s="43"/>
      <c r="AI973" s="43"/>
      <c r="AJ973" s="43"/>
      <c r="AK973" s="43"/>
      <c r="AL973" s="43"/>
      <c r="AM973" s="43"/>
      <c r="AN973" s="43"/>
      <c r="AO973" s="43"/>
      <c r="AP973" s="43"/>
      <c r="AQ973" s="43"/>
      <c r="AR973" s="43"/>
      <c r="AS973" s="43"/>
      <c r="AT973" s="43"/>
      <c r="AU973" s="43"/>
      <c r="AV973" s="43"/>
    </row>
    <row r="974" ht="15.75" spans="1:48">
      <c r="A974" s="12">
        <v>970</v>
      </c>
      <c r="B974" s="44" t="s">
        <v>185</v>
      </c>
      <c r="C974" s="45" t="s">
        <v>179</v>
      </c>
      <c r="D974" s="46"/>
      <c r="E974" s="47" t="s">
        <v>50</v>
      </c>
      <c r="F974" s="48">
        <v>3.36</v>
      </c>
      <c r="G974" s="38">
        <v>2</v>
      </c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>
        <v>2</v>
      </c>
      <c r="U974" s="39"/>
      <c r="V974" s="39"/>
      <c r="W974" s="39"/>
      <c r="X974" s="49" t="s">
        <v>105</v>
      </c>
      <c r="Y974" s="50">
        <v>2217.6</v>
      </c>
      <c r="Z974" s="51">
        <v>1903</v>
      </c>
      <c r="AA974" s="52">
        <f t="shared" si="22"/>
        <v>0.858134920634921</v>
      </c>
      <c r="AB974" s="12">
        <v>1903</v>
      </c>
      <c r="AC974" s="12">
        <v>0</v>
      </c>
      <c r="AD974" s="43"/>
      <c r="AE974" s="43"/>
      <c r="AF974" s="43"/>
      <c r="AG974" s="43"/>
      <c r="AH974" s="43"/>
      <c r="AI974" s="43"/>
      <c r="AJ974" s="43"/>
      <c r="AK974" s="43"/>
      <c r="AL974" s="43"/>
      <c r="AM974" s="43"/>
      <c r="AN974" s="43"/>
      <c r="AO974" s="43"/>
      <c r="AP974" s="43"/>
      <c r="AQ974" s="43"/>
      <c r="AR974" s="43"/>
      <c r="AS974" s="43"/>
      <c r="AT974" s="43"/>
      <c r="AU974" s="43"/>
      <c r="AV974" s="43"/>
    </row>
    <row r="975" ht="15.75" spans="1:48">
      <c r="A975" s="12">
        <v>971</v>
      </c>
      <c r="B975" s="44">
        <v>4489</v>
      </c>
      <c r="C975" s="45" t="s">
        <v>88</v>
      </c>
      <c r="D975" s="46"/>
      <c r="E975" s="47" t="s">
        <v>50</v>
      </c>
      <c r="F975" s="48">
        <v>3.66</v>
      </c>
      <c r="G975" s="38">
        <v>0</v>
      </c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49" t="s">
        <v>103</v>
      </c>
      <c r="Y975" s="50">
        <v>3074.4</v>
      </c>
      <c r="Z975" s="51">
        <v>2502</v>
      </c>
      <c r="AA975" s="52">
        <f t="shared" si="22"/>
        <v>0.813817330210773</v>
      </c>
      <c r="AB975" s="12">
        <v>2502</v>
      </c>
      <c r="AC975" s="12">
        <v>0</v>
      </c>
      <c r="AD975" s="43"/>
      <c r="AE975" s="43"/>
      <c r="AF975" s="43"/>
      <c r="AG975" s="43"/>
      <c r="AH975" s="43"/>
      <c r="AI975" s="43"/>
      <c r="AJ975" s="43"/>
      <c r="AK975" s="43"/>
      <c r="AL975" s="43"/>
      <c r="AM975" s="43"/>
      <c r="AN975" s="43"/>
      <c r="AO975" s="43"/>
      <c r="AP975" s="43"/>
      <c r="AQ975" s="43"/>
      <c r="AR975" s="43"/>
      <c r="AS975" s="43"/>
      <c r="AT975" s="43"/>
      <c r="AU975" s="43"/>
      <c r="AV975" s="43"/>
    </row>
    <row r="976" ht="15.75" spans="1:48">
      <c r="A976" s="12">
        <v>972</v>
      </c>
      <c r="B976" s="44">
        <v>4490</v>
      </c>
      <c r="C976" s="45" t="s">
        <v>91</v>
      </c>
      <c r="D976" s="46"/>
      <c r="E976" s="47" t="s">
        <v>50</v>
      </c>
      <c r="F976" s="48">
        <v>0.83</v>
      </c>
      <c r="G976" s="38">
        <v>0</v>
      </c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49" t="s">
        <v>103</v>
      </c>
      <c r="Y976" s="50">
        <v>697.2</v>
      </c>
      <c r="Z976" s="51">
        <v>720</v>
      </c>
      <c r="AA976" s="52">
        <f t="shared" si="22"/>
        <v>1.03270223752151</v>
      </c>
      <c r="AB976" s="12">
        <v>720</v>
      </c>
      <c r="AC976" s="12">
        <v>0</v>
      </c>
      <c r="AD976" s="43"/>
      <c r="AE976" s="43"/>
      <c r="AF976" s="43"/>
      <c r="AG976" s="43"/>
      <c r="AH976" s="43"/>
      <c r="AI976" s="43"/>
      <c r="AJ976" s="43"/>
      <c r="AK976" s="43"/>
      <c r="AL976" s="43"/>
      <c r="AM976" s="43"/>
      <c r="AN976" s="43"/>
      <c r="AO976" s="43"/>
      <c r="AP976" s="43"/>
      <c r="AQ976" s="43"/>
      <c r="AR976" s="43"/>
      <c r="AS976" s="43"/>
      <c r="AT976" s="43"/>
      <c r="AU976" s="43"/>
      <c r="AV976" s="43"/>
    </row>
    <row r="977" ht="15.75" spans="1:48">
      <c r="A977" s="12">
        <v>973</v>
      </c>
      <c r="B977" s="44">
        <v>676</v>
      </c>
      <c r="C977" s="45" t="s">
        <v>171</v>
      </c>
      <c r="D977" s="46"/>
      <c r="E977" s="47" t="s">
        <v>50</v>
      </c>
      <c r="F977" s="48">
        <v>1.83</v>
      </c>
      <c r="G977" s="38">
        <v>0</v>
      </c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49" t="s">
        <v>102</v>
      </c>
      <c r="Y977" s="50">
        <v>8235</v>
      </c>
      <c r="Z977" s="51">
        <v>9000</v>
      </c>
      <c r="AA977" s="52">
        <f t="shared" si="22"/>
        <v>1.09289617486339</v>
      </c>
      <c r="AB977" s="12">
        <v>9000</v>
      </c>
      <c r="AC977" s="12">
        <v>0</v>
      </c>
      <c r="AD977" s="43"/>
      <c r="AE977" s="43"/>
      <c r="AF977" s="43"/>
      <c r="AG977" s="43"/>
      <c r="AH977" s="43"/>
      <c r="AI977" s="43"/>
      <c r="AJ977" s="43"/>
      <c r="AK977" s="43"/>
      <c r="AL977" s="43"/>
      <c r="AM977" s="43"/>
      <c r="AN977" s="43"/>
      <c r="AO977" s="43"/>
      <c r="AP977" s="43"/>
      <c r="AQ977" s="43"/>
      <c r="AR977" s="43"/>
      <c r="AS977" s="43"/>
      <c r="AT977" s="43"/>
      <c r="AU977" s="43"/>
      <c r="AV977" s="43"/>
    </row>
    <row r="978" ht="15.75" spans="1:48">
      <c r="A978" s="12">
        <v>974</v>
      </c>
      <c r="B978" s="44">
        <v>761</v>
      </c>
      <c r="C978" s="45" t="s">
        <v>89</v>
      </c>
      <c r="D978" s="46"/>
      <c r="E978" s="47" t="s">
        <v>50</v>
      </c>
      <c r="F978" s="48">
        <v>2.5</v>
      </c>
      <c r="G978" s="38">
        <v>1.84</v>
      </c>
      <c r="H978" s="39"/>
      <c r="I978" s="39"/>
      <c r="J978" s="39"/>
      <c r="K978" s="39"/>
      <c r="L978" s="39"/>
      <c r="M978" s="39"/>
      <c r="N978" s="39"/>
      <c r="O978" s="39"/>
      <c r="P978" s="39"/>
      <c r="Q978" s="39">
        <v>1.17</v>
      </c>
      <c r="R978" s="39"/>
      <c r="S978" s="39"/>
      <c r="T978" s="39">
        <v>0.5</v>
      </c>
      <c r="U978" s="39">
        <v>0.17</v>
      </c>
      <c r="V978" s="39"/>
      <c r="W978" s="39"/>
      <c r="X978" s="49" t="s">
        <v>100</v>
      </c>
      <c r="Y978" s="50">
        <v>4800</v>
      </c>
      <c r="Z978" s="51">
        <v>4500</v>
      </c>
      <c r="AA978" s="52">
        <f t="shared" si="22"/>
        <v>0.9375</v>
      </c>
      <c r="AB978" s="12">
        <v>4500</v>
      </c>
      <c r="AC978" s="12">
        <v>0</v>
      </c>
      <c r="AD978" s="43"/>
      <c r="AE978" s="43"/>
      <c r="AF978" s="43"/>
      <c r="AG978" s="43"/>
      <c r="AH978" s="43"/>
      <c r="AI978" s="43"/>
      <c r="AJ978" s="43"/>
      <c r="AK978" s="43"/>
      <c r="AL978" s="43"/>
      <c r="AM978" s="43"/>
      <c r="AN978" s="43"/>
      <c r="AO978" s="43"/>
      <c r="AP978" s="43"/>
      <c r="AQ978" s="43"/>
      <c r="AR978" s="43"/>
      <c r="AS978" s="43"/>
      <c r="AT978" s="43"/>
      <c r="AU978" s="43"/>
      <c r="AV978" s="43"/>
    </row>
    <row r="979" ht="15.75" spans="1:48">
      <c r="A979" s="12">
        <v>975</v>
      </c>
      <c r="B979" s="44">
        <v>761</v>
      </c>
      <c r="C979" s="45" t="s">
        <v>89</v>
      </c>
      <c r="D979" s="46"/>
      <c r="E979" s="47" t="s">
        <v>50</v>
      </c>
      <c r="F979" s="48">
        <v>2.6</v>
      </c>
      <c r="G979" s="38">
        <v>0</v>
      </c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49" t="s">
        <v>101</v>
      </c>
      <c r="Y979" s="50">
        <v>4992</v>
      </c>
      <c r="Z979" s="51">
        <v>4860</v>
      </c>
      <c r="AA979" s="52">
        <f t="shared" si="22"/>
        <v>0.973557692307692</v>
      </c>
      <c r="AB979" s="12">
        <v>4860</v>
      </c>
      <c r="AC979" s="12">
        <v>0</v>
      </c>
      <c r="AD979" s="43"/>
      <c r="AE979" s="43"/>
      <c r="AF979" s="43"/>
      <c r="AG979" s="43"/>
      <c r="AH979" s="43"/>
      <c r="AI979" s="43"/>
      <c r="AJ979" s="43"/>
      <c r="AK979" s="43"/>
      <c r="AL979" s="43"/>
      <c r="AM979" s="43"/>
      <c r="AN979" s="43"/>
      <c r="AO979" s="43"/>
      <c r="AP979" s="43"/>
      <c r="AQ979" s="43"/>
      <c r="AR979" s="43"/>
      <c r="AS979" s="43"/>
      <c r="AT979" s="43"/>
      <c r="AU979" s="43"/>
      <c r="AV979" s="43"/>
    </row>
    <row r="980" ht="15.75" spans="1:48">
      <c r="A980" s="12">
        <v>976</v>
      </c>
      <c r="B980" s="44">
        <v>761</v>
      </c>
      <c r="C980" s="45" t="s">
        <v>89</v>
      </c>
      <c r="D980" s="46"/>
      <c r="E980" s="47" t="s">
        <v>50</v>
      </c>
      <c r="F980" s="48">
        <v>1.1</v>
      </c>
      <c r="G980" s="38">
        <v>0</v>
      </c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49" t="s">
        <v>229</v>
      </c>
      <c r="Y980" s="50">
        <v>4092</v>
      </c>
      <c r="Z980" s="51">
        <v>4050</v>
      </c>
      <c r="AA980" s="52">
        <f t="shared" si="22"/>
        <v>0.989736070381232</v>
      </c>
      <c r="AB980" s="12">
        <v>4050</v>
      </c>
      <c r="AC980" s="12">
        <v>0</v>
      </c>
      <c r="AD980" s="43"/>
      <c r="AE980" s="43"/>
      <c r="AF980" s="43"/>
      <c r="AG980" s="43"/>
      <c r="AH980" s="43"/>
      <c r="AI980" s="43"/>
      <c r="AJ980" s="43"/>
      <c r="AK980" s="43"/>
      <c r="AL980" s="43"/>
      <c r="AM980" s="43"/>
      <c r="AN980" s="43"/>
      <c r="AO980" s="43"/>
      <c r="AP980" s="43"/>
      <c r="AQ980" s="43"/>
      <c r="AR980" s="43"/>
      <c r="AS980" s="43"/>
      <c r="AT980" s="43"/>
      <c r="AU980" s="43"/>
      <c r="AV980" s="43"/>
    </row>
    <row r="981" ht="15.75" spans="1:48">
      <c r="A981" s="12">
        <v>977</v>
      </c>
      <c r="B981" s="44">
        <v>761</v>
      </c>
      <c r="C981" s="45" t="s">
        <v>89</v>
      </c>
      <c r="D981" s="46"/>
      <c r="E981" s="47" t="s">
        <v>50</v>
      </c>
      <c r="F981" s="48">
        <v>1.83</v>
      </c>
      <c r="G981" s="38">
        <v>0</v>
      </c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49" t="s">
        <v>102</v>
      </c>
      <c r="Y981" s="50">
        <v>8235</v>
      </c>
      <c r="Z981" s="51">
        <v>7500</v>
      </c>
      <c r="AA981" s="52">
        <f t="shared" ref="AA981:AA1012" si="23">IFERROR(Z981/Y981,0)</f>
        <v>0.910746812386157</v>
      </c>
      <c r="AB981" s="12">
        <v>7500</v>
      </c>
      <c r="AC981" s="12">
        <v>0</v>
      </c>
      <c r="AD981" s="43"/>
      <c r="AE981" s="43"/>
      <c r="AF981" s="43"/>
      <c r="AG981" s="43"/>
      <c r="AH981" s="43"/>
      <c r="AI981" s="43"/>
      <c r="AJ981" s="43"/>
      <c r="AK981" s="43"/>
      <c r="AL981" s="43"/>
      <c r="AM981" s="43"/>
      <c r="AN981" s="43"/>
      <c r="AO981" s="43"/>
      <c r="AP981" s="43"/>
      <c r="AQ981" s="43"/>
      <c r="AR981" s="43"/>
      <c r="AS981" s="43"/>
      <c r="AT981" s="43"/>
      <c r="AU981" s="43"/>
      <c r="AV981" s="43"/>
    </row>
    <row r="982" ht="15.75" spans="1:48">
      <c r="A982" s="12">
        <v>978</v>
      </c>
      <c r="B982" s="44">
        <v>761</v>
      </c>
      <c r="C982" s="45" t="s">
        <v>89</v>
      </c>
      <c r="D982" s="46"/>
      <c r="E982" s="47" t="s">
        <v>50</v>
      </c>
      <c r="F982" s="48">
        <v>2.14</v>
      </c>
      <c r="G982" s="38">
        <v>0</v>
      </c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49" t="s">
        <v>152</v>
      </c>
      <c r="Y982" s="50">
        <v>9309</v>
      </c>
      <c r="Z982" s="51">
        <v>9100</v>
      </c>
      <c r="AA982" s="52">
        <f t="shared" si="23"/>
        <v>0.977548608873134</v>
      </c>
      <c r="AB982" s="12">
        <v>9100</v>
      </c>
      <c r="AC982" s="12">
        <v>0</v>
      </c>
      <c r="AD982" s="43"/>
      <c r="AE982" s="43"/>
      <c r="AF982" s="43"/>
      <c r="AG982" s="43"/>
      <c r="AH982" s="43"/>
      <c r="AI982" s="43"/>
      <c r="AJ982" s="43"/>
      <c r="AK982" s="43"/>
      <c r="AL982" s="43"/>
      <c r="AM982" s="43"/>
      <c r="AN982" s="43"/>
      <c r="AO982" s="43"/>
      <c r="AP982" s="43"/>
      <c r="AQ982" s="43"/>
      <c r="AR982" s="43"/>
      <c r="AS982" s="43"/>
      <c r="AT982" s="43"/>
      <c r="AU982" s="43"/>
      <c r="AV982" s="43"/>
    </row>
    <row r="983" ht="15.75" spans="1:48">
      <c r="A983" s="12">
        <v>979</v>
      </c>
      <c r="B983" s="44">
        <v>3277</v>
      </c>
      <c r="C983" s="45" t="s">
        <v>106</v>
      </c>
      <c r="D983" s="46"/>
      <c r="E983" s="47" t="s">
        <v>50</v>
      </c>
      <c r="F983" s="48">
        <v>10.83</v>
      </c>
      <c r="G983" s="38">
        <v>1.17</v>
      </c>
      <c r="H983" s="39"/>
      <c r="I983" s="39"/>
      <c r="J983" s="39"/>
      <c r="K983" s="39"/>
      <c r="L983" s="39"/>
      <c r="M983" s="39"/>
      <c r="N983" s="39"/>
      <c r="O983" s="39"/>
      <c r="P983" s="39"/>
      <c r="Q983" s="39">
        <v>1.17</v>
      </c>
      <c r="R983" s="39"/>
      <c r="S983" s="39"/>
      <c r="T983" s="39"/>
      <c r="U983" s="39"/>
      <c r="V983" s="39"/>
      <c r="W983" s="39"/>
      <c r="X983" s="49" t="s">
        <v>276</v>
      </c>
      <c r="Y983" s="50">
        <v>0</v>
      </c>
      <c r="Z983" s="51"/>
      <c r="AA983" s="52">
        <f t="shared" si="23"/>
        <v>0</v>
      </c>
      <c r="AB983" s="12">
        <v>0</v>
      </c>
      <c r="AC983" s="12">
        <v>0</v>
      </c>
      <c r="AD983" s="43"/>
      <c r="AE983" s="43"/>
      <c r="AF983" s="43"/>
      <c r="AG983" s="43"/>
      <c r="AH983" s="43"/>
      <c r="AI983" s="43"/>
      <c r="AJ983" s="43"/>
      <c r="AK983" s="43"/>
      <c r="AL983" s="43"/>
      <c r="AM983" s="43"/>
      <c r="AN983" s="43"/>
      <c r="AO983" s="43"/>
      <c r="AP983" s="43"/>
      <c r="AQ983" s="43"/>
      <c r="AR983" s="43"/>
      <c r="AS983" s="43"/>
      <c r="AT983" s="43"/>
      <c r="AU983" s="43"/>
      <c r="AV983" s="43"/>
    </row>
    <row r="984" ht="15.75" spans="1:48">
      <c r="A984" s="12">
        <v>980</v>
      </c>
      <c r="B984" s="44" t="s">
        <v>277</v>
      </c>
      <c r="C984" s="45" t="s">
        <v>182</v>
      </c>
      <c r="D984" s="46"/>
      <c r="E984" s="47" t="s">
        <v>183</v>
      </c>
      <c r="F984" s="48">
        <v>7.17</v>
      </c>
      <c r="G984" s="38">
        <v>0.83</v>
      </c>
      <c r="H984" s="39"/>
      <c r="I984" s="39"/>
      <c r="J984" s="39"/>
      <c r="K984" s="39"/>
      <c r="L984" s="39"/>
      <c r="M984" s="39"/>
      <c r="N984" s="39"/>
      <c r="O984" s="39"/>
      <c r="P984" s="39"/>
      <c r="Q984" s="39">
        <v>0.83</v>
      </c>
      <c r="R984" s="39"/>
      <c r="S984" s="39"/>
      <c r="T984" s="39"/>
      <c r="U984" s="39"/>
      <c r="V984" s="39"/>
      <c r="W984" s="39"/>
      <c r="X984" s="49" t="s">
        <v>103</v>
      </c>
      <c r="Y984" s="50">
        <v>4818.24</v>
      </c>
      <c r="Z984" s="51">
        <v>4680</v>
      </c>
      <c r="AA984" s="52">
        <f t="shared" si="23"/>
        <v>0.971309025702331</v>
      </c>
      <c r="AB984" s="12">
        <v>4680</v>
      </c>
      <c r="AC984" s="12">
        <v>0</v>
      </c>
      <c r="AD984" s="43"/>
      <c r="AE984" s="43"/>
      <c r="AF984" s="43"/>
      <c r="AG984" s="43"/>
      <c r="AH984" s="43"/>
      <c r="AI984" s="43"/>
      <c r="AJ984" s="43"/>
      <c r="AK984" s="43"/>
      <c r="AL984" s="43"/>
      <c r="AM984" s="43"/>
      <c r="AN984" s="43"/>
      <c r="AO984" s="43"/>
      <c r="AP984" s="43"/>
      <c r="AQ984" s="43"/>
      <c r="AR984" s="43"/>
      <c r="AS984" s="43"/>
      <c r="AT984" s="43"/>
      <c r="AU984" s="43"/>
      <c r="AV984" s="43"/>
    </row>
    <row r="985" ht="15.75" spans="1:48">
      <c r="A985" s="12">
        <v>981</v>
      </c>
      <c r="B985" s="44">
        <v>4382</v>
      </c>
      <c r="C985" s="45" t="s">
        <v>173</v>
      </c>
      <c r="D985" s="46"/>
      <c r="E985" s="47" t="s">
        <v>50</v>
      </c>
      <c r="F985" s="48">
        <v>1</v>
      </c>
      <c r="G985" s="38">
        <v>0</v>
      </c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49" t="s">
        <v>103</v>
      </c>
      <c r="Y985" s="50">
        <v>840</v>
      </c>
      <c r="Z985" s="51">
        <v>792</v>
      </c>
      <c r="AA985" s="52">
        <f t="shared" si="23"/>
        <v>0.942857142857143</v>
      </c>
      <c r="AB985" s="12">
        <v>792</v>
      </c>
      <c r="AC985" s="12">
        <v>0</v>
      </c>
      <c r="AD985" s="43"/>
      <c r="AE985" s="43"/>
      <c r="AF985" s="43"/>
      <c r="AG985" s="43"/>
      <c r="AH985" s="43"/>
      <c r="AI985" s="43"/>
      <c r="AJ985" s="43"/>
      <c r="AK985" s="43"/>
      <c r="AL985" s="43"/>
      <c r="AM985" s="43"/>
      <c r="AN985" s="43"/>
      <c r="AO985" s="43"/>
      <c r="AP985" s="43"/>
      <c r="AQ985" s="43"/>
      <c r="AR985" s="43"/>
      <c r="AS985" s="43"/>
      <c r="AT985" s="43"/>
      <c r="AU985" s="43"/>
      <c r="AV985" s="43"/>
    </row>
    <row r="986" ht="15.75" spans="1:48">
      <c r="A986" s="12">
        <v>982</v>
      </c>
      <c r="B986" s="44" t="s">
        <v>230</v>
      </c>
      <c r="C986" s="45" t="s">
        <v>231</v>
      </c>
      <c r="D986" s="46"/>
      <c r="E986" s="47" t="s">
        <v>50</v>
      </c>
      <c r="F986" s="48">
        <v>3</v>
      </c>
      <c r="G986" s="38">
        <v>0</v>
      </c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49" t="s">
        <v>103</v>
      </c>
      <c r="Y986" s="50">
        <v>2520</v>
      </c>
      <c r="Z986" s="51">
        <v>2160</v>
      </c>
      <c r="AA986" s="52">
        <f t="shared" si="23"/>
        <v>0.857142857142857</v>
      </c>
      <c r="AB986" s="12">
        <v>2160</v>
      </c>
      <c r="AC986" s="12">
        <v>0</v>
      </c>
      <c r="AD986" s="43"/>
      <c r="AE986" s="43"/>
      <c r="AF986" s="43"/>
      <c r="AG986" s="43"/>
      <c r="AH986" s="43"/>
      <c r="AI986" s="43"/>
      <c r="AJ986" s="43"/>
      <c r="AK986" s="43"/>
      <c r="AL986" s="43"/>
      <c r="AM986" s="43"/>
      <c r="AN986" s="43"/>
      <c r="AO986" s="43"/>
      <c r="AP986" s="43"/>
      <c r="AQ986" s="43"/>
      <c r="AR986" s="43"/>
      <c r="AS986" s="43"/>
      <c r="AT986" s="43"/>
      <c r="AU986" s="43"/>
      <c r="AV986" s="43"/>
    </row>
    <row r="987" ht="15.75" spans="1:48">
      <c r="A987" s="12">
        <v>983</v>
      </c>
      <c r="B987" s="44">
        <v>3187</v>
      </c>
      <c r="C987" s="45" t="s">
        <v>52</v>
      </c>
      <c r="D987" s="46" t="s">
        <v>53</v>
      </c>
      <c r="E987" s="47" t="s">
        <v>250</v>
      </c>
      <c r="F987" s="48">
        <v>10.33</v>
      </c>
      <c r="G987" s="38">
        <v>1.67</v>
      </c>
      <c r="H987" s="39"/>
      <c r="I987" s="39"/>
      <c r="J987" s="39"/>
      <c r="K987" s="39">
        <v>0.33</v>
      </c>
      <c r="L987" s="39"/>
      <c r="M987" s="39"/>
      <c r="N987" s="39"/>
      <c r="O987" s="39"/>
      <c r="P987" s="39"/>
      <c r="Q987" s="39">
        <v>1.17</v>
      </c>
      <c r="R987" s="39"/>
      <c r="S987" s="39"/>
      <c r="T987" s="39"/>
      <c r="U987" s="39">
        <v>0.17</v>
      </c>
      <c r="V987" s="39"/>
      <c r="W987" s="39"/>
      <c r="X987" s="49" t="s">
        <v>55</v>
      </c>
      <c r="Y987" s="50">
        <v>17462.865</v>
      </c>
      <c r="Z987" s="51">
        <v>16960</v>
      </c>
      <c r="AA987" s="52">
        <f t="shared" si="23"/>
        <v>0.971203751503548</v>
      </c>
      <c r="AB987" s="12">
        <v>16960</v>
      </c>
      <c r="AC987" s="12">
        <v>0</v>
      </c>
      <c r="AD987" s="43"/>
      <c r="AE987" s="43"/>
      <c r="AF987" s="43"/>
      <c r="AG987" s="43"/>
      <c r="AH987" s="43"/>
      <c r="AI987" s="43"/>
      <c r="AJ987" s="43"/>
      <c r="AK987" s="43"/>
      <c r="AL987" s="43"/>
      <c r="AM987" s="43"/>
      <c r="AN987" s="43"/>
      <c r="AO987" s="43"/>
      <c r="AP987" s="43"/>
      <c r="AQ987" s="43"/>
      <c r="AR987" s="43"/>
      <c r="AS987" s="43"/>
      <c r="AT987" s="43"/>
      <c r="AU987" s="43"/>
      <c r="AV987" s="43"/>
    </row>
    <row r="988" ht="15.75" spans="1:48">
      <c r="A988" s="12">
        <v>984</v>
      </c>
      <c r="B988" s="44">
        <v>2516</v>
      </c>
      <c r="C988" s="45" t="s">
        <v>189</v>
      </c>
      <c r="D988" s="46" t="s">
        <v>49</v>
      </c>
      <c r="E988" s="47" t="s">
        <v>50</v>
      </c>
      <c r="F988" s="48">
        <v>10.17</v>
      </c>
      <c r="G988" s="38">
        <v>1.84</v>
      </c>
      <c r="H988" s="39"/>
      <c r="I988" s="39"/>
      <c r="J988" s="39"/>
      <c r="K988" s="39">
        <v>0.17</v>
      </c>
      <c r="L988" s="39"/>
      <c r="M988" s="39"/>
      <c r="N988" s="39"/>
      <c r="O988" s="39"/>
      <c r="P988" s="39"/>
      <c r="Q988" s="39">
        <v>1.17</v>
      </c>
      <c r="R988" s="39"/>
      <c r="S988" s="39"/>
      <c r="T988" s="39">
        <v>0.33</v>
      </c>
      <c r="U988" s="39">
        <v>0.17</v>
      </c>
      <c r="V988" s="39"/>
      <c r="W988" s="39"/>
      <c r="X988" s="49" t="s">
        <v>278</v>
      </c>
      <c r="Y988" s="50">
        <v>8136</v>
      </c>
      <c r="Z988" s="51">
        <v>8200</v>
      </c>
      <c r="AA988" s="52">
        <f t="shared" si="23"/>
        <v>1.007866273353</v>
      </c>
      <c r="AB988" s="12">
        <v>8200</v>
      </c>
      <c r="AC988" s="12">
        <v>0</v>
      </c>
      <c r="AD988" s="43"/>
      <c r="AE988" s="43"/>
      <c r="AF988" s="43"/>
      <c r="AG988" s="43"/>
      <c r="AH988" s="43"/>
      <c r="AI988" s="43"/>
      <c r="AJ988" s="43"/>
      <c r="AK988" s="43"/>
      <c r="AL988" s="43"/>
      <c r="AM988" s="43"/>
      <c r="AN988" s="43"/>
      <c r="AO988" s="43"/>
      <c r="AP988" s="43"/>
      <c r="AQ988" s="43"/>
      <c r="AR988" s="43"/>
      <c r="AS988" s="43"/>
      <c r="AT988" s="43"/>
      <c r="AU988" s="43"/>
      <c r="AV988" s="43"/>
    </row>
    <row r="989" ht="15.75" spans="1:48">
      <c r="A989" s="12">
        <v>985</v>
      </c>
      <c r="B989" s="44" t="s">
        <v>225</v>
      </c>
      <c r="C989" s="45" t="e">
        <v>#N/A</v>
      </c>
      <c r="D989" s="46" t="s">
        <v>112</v>
      </c>
      <c r="E989" s="47" t="s">
        <v>50</v>
      </c>
      <c r="F989" s="48">
        <v>10.33</v>
      </c>
      <c r="G989" s="38">
        <v>1.84</v>
      </c>
      <c r="H989" s="39"/>
      <c r="I989" s="39"/>
      <c r="J989" s="39"/>
      <c r="K989" s="39">
        <v>0.5</v>
      </c>
      <c r="L989" s="39"/>
      <c r="M989" s="39"/>
      <c r="N989" s="39"/>
      <c r="O989" s="39"/>
      <c r="P989" s="39"/>
      <c r="Q989" s="39">
        <v>1.17</v>
      </c>
      <c r="R989" s="39"/>
      <c r="S989" s="39"/>
      <c r="T989" s="39"/>
      <c r="U989" s="39">
        <v>0.17</v>
      </c>
      <c r="V989" s="39"/>
      <c r="W989" s="39"/>
      <c r="X989" s="49" t="s">
        <v>190</v>
      </c>
      <c r="Y989" s="50">
        <v>9297</v>
      </c>
      <c r="Z989" s="51">
        <v>7600</v>
      </c>
      <c r="AA989" s="52">
        <f t="shared" si="23"/>
        <v>0.817468000430246</v>
      </c>
      <c r="AB989" s="12">
        <v>7600</v>
      </c>
      <c r="AC989" s="12">
        <v>0</v>
      </c>
      <c r="AD989" s="43"/>
      <c r="AE989" s="43"/>
      <c r="AF989" s="43"/>
      <c r="AG989" s="43"/>
      <c r="AH989" s="43"/>
      <c r="AI989" s="43"/>
      <c r="AJ989" s="43"/>
      <c r="AK989" s="43"/>
      <c r="AL989" s="43"/>
      <c r="AM989" s="43"/>
      <c r="AN989" s="43"/>
      <c r="AO989" s="43"/>
      <c r="AP989" s="43"/>
      <c r="AQ989" s="43"/>
      <c r="AR989" s="43"/>
      <c r="AS989" s="43"/>
      <c r="AT989" s="43"/>
      <c r="AU989" s="43"/>
      <c r="AV989" s="43"/>
    </row>
    <row r="990" ht="15.75" spans="1:48">
      <c r="A990" s="12">
        <v>986</v>
      </c>
      <c r="B990" s="44" t="s">
        <v>279</v>
      </c>
      <c r="C990" s="45" t="e">
        <v>#N/A</v>
      </c>
      <c r="D990" s="46">
        <v>10</v>
      </c>
      <c r="E990" s="47" t="s">
        <v>50</v>
      </c>
      <c r="F990" s="48">
        <v>10.67</v>
      </c>
      <c r="G990" s="38">
        <v>1.34</v>
      </c>
      <c r="H990" s="39"/>
      <c r="I990" s="39"/>
      <c r="J990" s="39"/>
      <c r="K990" s="39"/>
      <c r="L990" s="39"/>
      <c r="M990" s="39"/>
      <c r="N990" s="39"/>
      <c r="O990" s="39"/>
      <c r="P990" s="39"/>
      <c r="Q990" s="39">
        <v>1.17</v>
      </c>
      <c r="R990" s="39"/>
      <c r="S990" s="39"/>
      <c r="T990" s="39"/>
      <c r="U990" s="39">
        <v>0.17</v>
      </c>
      <c r="V990" s="39"/>
      <c r="W990" s="39"/>
      <c r="X990" s="49">
        <v>127</v>
      </c>
      <c r="Y990" s="50">
        <v>5335</v>
      </c>
      <c r="Z990" s="51">
        <v>5400</v>
      </c>
      <c r="AA990" s="52">
        <f t="shared" si="23"/>
        <v>1.01218369259606</v>
      </c>
      <c r="AB990" s="12">
        <v>5400</v>
      </c>
      <c r="AC990" s="12">
        <v>0</v>
      </c>
      <c r="AD990" s="43"/>
      <c r="AE990" s="43"/>
      <c r="AF990" s="43"/>
      <c r="AG990" s="43"/>
      <c r="AH990" s="43"/>
      <c r="AI990" s="43"/>
      <c r="AJ990" s="43"/>
      <c r="AK990" s="43"/>
      <c r="AL990" s="43"/>
      <c r="AM990" s="43"/>
      <c r="AN990" s="43"/>
      <c r="AO990" s="43"/>
      <c r="AP990" s="43"/>
      <c r="AQ990" s="43"/>
      <c r="AR990" s="43"/>
      <c r="AS990" s="43"/>
      <c r="AT990" s="43"/>
      <c r="AU990" s="43"/>
      <c r="AV990" s="43"/>
    </row>
    <row r="991" ht="15.75" spans="1:48">
      <c r="A991" s="12">
        <v>987</v>
      </c>
      <c r="B991" s="44">
        <v>832</v>
      </c>
      <c r="C991" s="45" t="s">
        <v>280</v>
      </c>
      <c r="D991" s="46">
        <v>1</v>
      </c>
      <c r="E991" s="47" t="s">
        <v>281</v>
      </c>
      <c r="F991" s="48">
        <v>9.67</v>
      </c>
      <c r="G991" s="38">
        <v>2.34</v>
      </c>
      <c r="H991" s="39"/>
      <c r="I991" s="39"/>
      <c r="J991" s="39"/>
      <c r="K991" s="39"/>
      <c r="L991" s="39"/>
      <c r="M991" s="39"/>
      <c r="N991" s="39"/>
      <c r="O991" s="39"/>
      <c r="P991" s="39"/>
      <c r="Q991" s="39">
        <v>1.17</v>
      </c>
      <c r="R991" s="39"/>
      <c r="S991" s="39"/>
      <c r="T991" s="39">
        <v>1</v>
      </c>
      <c r="U991" s="39">
        <v>0.17</v>
      </c>
      <c r="V991" s="39"/>
      <c r="W991" s="39"/>
      <c r="X991" s="49" t="s">
        <v>58</v>
      </c>
      <c r="Y991" s="50">
        <v>3384.5</v>
      </c>
      <c r="Z991" s="51">
        <v>2599</v>
      </c>
      <c r="AA991" s="52">
        <f t="shared" si="23"/>
        <v>0.767912542473039</v>
      </c>
      <c r="AB991" s="12">
        <v>2217</v>
      </c>
      <c r="AC991" s="12">
        <v>382</v>
      </c>
      <c r="AD991" s="19">
        <v>382</v>
      </c>
      <c r="AE991" s="43"/>
      <c r="AF991" s="43"/>
      <c r="AG991" s="43"/>
      <c r="AH991" s="43"/>
      <c r="AI991" s="43"/>
      <c r="AJ991" s="43"/>
      <c r="AK991" s="43"/>
      <c r="AL991" s="43"/>
      <c r="AM991" s="43"/>
      <c r="AN991" s="43"/>
      <c r="AO991" s="43"/>
      <c r="AP991" s="43"/>
      <c r="AQ991" s="43"/>
      <c r="AR991" s="43"/>
      <c r="AS991" s="43"/>
      <c r="AT991" s="43"/>
      <c r="AU991" s="43"/>
      <c r="AV991" s="43"/>
    </row>
    <row r="992" ht="15.75" spans="1:48">
      <c r="A992" s="12">
        <v>988</v>
      </c>
      <c r="B992" s="57">
        <v>3353</v>
      </c>
      <c r="C992" s="58" t="s">
        <v>48</v>
      </c>
      <c r="D992" s="59">
        <v>4</v>
      </c>
      <c r="E992" s="60" t="s">
        <v>50</v>
      </c>
      <c r="F992" s="48">
        <v>5.67</v>
      </c>
      <c r="G992" s="38">
        <v>6.34</v>
      </c>
      <c r="H992" s="39"/>
      <c r="I992" s="39"/>
      <c r="J992" s="39"/>
      <c r="K992" s="39"/>
      <c r="L992" s="39"/>
      <c r="M992" s="39"/>
      <c r="N992" s="39"/>
      <c r="O992" s="39"/>
      <c r="P992" s="39"/>
      <c r="Q992" s="39">
        <v>1.17</v>
      </c>
      <c r="R992" s="39"/>
      <c r="S992" s="39">
        <v>5</v>
      </c>
      <c r="T992" s="39"/>
      <c r="U992" s="39">
        <v>0.17</v>
      </c>
      <c r="V992" s="39"/>
      <c r="W992" s="39"/>
      <c r="X992" s="49">
        <v>9116</v>
      </c>
      <c r="Y992" s="50">
        <v>1701</v>
      </c>
      <c r="Z992" s="51">
        <v>1740</v>
      </c>
      <c r="AA992" s="52">
        <f t="shared" si="23"/>
        <v>1.02292768959436</v>
      </c>
      <c r="AB992" s="12">
        <v>1740</v>
      </c>
      <c r="AC992" s="12">
        <v>0</v>
      </c>
      <c r="AD992" s="43"/>
      <c r="AE992" s="43"/>
      <c r="AF992" s="43"/>
      <c r="AG992" s="43"/>
      <c r="AH992" s="43"/>
      <c r="AI992" s="43"/>
      <c r="AJ992" s="43"/>
      <c r="AK992" s="43"/>
      <c r="AL992" s="43"/>
      <c r="AM992" s="43"/>
      <c r="AN992" s="43"/>
      <c r="AO992" s="43"/>
      <c r="AP992" s="43"/>
      <c r="AQ992" s="43"/>
      <c r="AR992" s="43"/>
      <c r="AS992" s="43"/>
      <c r="AT992" s="43"/>
      <c r="AU992" s="43"/>
      <c r="AV992" s="43"/>
    </row>
    <row r="993" ht="15.75" spans="1:48">
      <c r="A993" s="12">
        <v>989</v>
      </c>
      <c r="B993" s="44" t="s">
        <v>249</v>
      </c>
      <c r="C993" s="45" t="e">
        <v>#N/A</v>
      </c>
      <c r="D993" s="46">
        <v>12</v>
      </c>
      <c r="E993" s="47" t="s">
        <v>93</v>
      </c>
      <c r="F993" s="48">
        <v>7</v>
      </c>
      <c r="G993" s="38">
        <v>1</v>
      </c>
      <c r="H993" s="39"/>
      <c r="I993" s="39"/>
      <c r="J993" s="39"/>
      <c r="K993" s="39"/>
      <c r="L993" s="39"/>
      <c r="M993" s="39"/>
      <c r="N993" s="39"/>
      <c r="O993" s="39"/>
      <c r="P993" s="39"/>
      <c r="Q993" s="39">
        <v>0.83</v>
      </c>
      <c r="R993" s="39"/>
      <c r="S993" s="39"/>
      <c r="T993" s="39"/>
      <c r="U993" s="39">
        <v>0.17</v>
      </c>
      <c r="V993" s="39"/>
      <c r="W993" s="39"/>
      <c r="X993" s="49" t="s">
        <v>194</v>
      </c>
      <c r="Y993" s="50">
        <v>1876</v>
      </c>
      <c r="Z993" s="51">
        <v>1800</v>
      </c>
      <c r="AA993" s="52">
        <f t="shared" si="23"/>
        <v>0.959488272921109</v>
      </c>
      <c r="AB993" s="12">
        <v>1800</v>
      </c>
      <c r="AC993" s="12">
        <v>0</v>
      </c>
      <c r="AD993" s="43"/>
      <c r="AE993" s="43"/>
      <c r="AF993" s="43"/>
      <c r="AG993" s="43"/>
      <c r="AH993" s="43"/>
      <c r="AI993" s="43"/>
      <c r="AJ993" s="43"/>
      <c r="AK993" s="43"/>
      <c r="AL993" s="43"/>
      <c r="AM993" s="43"/>
      <c r="AN993" s="43"/>
      <c r="AO993" s="43"/>
      <c r="AP993" s="43"/>
      <c r="AQ993" s="43"/>
      <c r="AR993" s="43"/>
      <c r="AS993" s="43"/>
      <c r="AT993" s="43"/>
      <c r="AU993" s="43"/>
      <c r="AV993" s="43"/>
    </row>
    <row r="994" ht="15.75" spans="1:48">
      <c r="A994" s="12">
        <v>990</v>
      </c>
      <c r="B994" s="44" t="s">
        <v>247</v>
      </c>
      <c r="C994" s="45" t="e">
        <v>#N/A</v>
      </c>
      <c r="D994" s="46">
        <v>12</v>
      </c>
      <c r="E994" s="47" t="s">
        <v>93</v>
      </c>
      <c r="F994" s="48">
        <v>7</v>
      </c>
      <c r="G994" s="38">
        <v>1</v>
      </c>
      <c r="H994" s="39"/>
      <c r="I994" s="39"/>
      <c r="J994" s="39"/>
      <c r="K994" s="39"/>
      <c r="L994" s="39"/>
      <c r="M994" s="39"/>
      <c r="N994" s="39"/>
      <c r="O994" s="39"/>
      <c r="P994" s="39"/>
      <c r="Q994" s="39">
        <v>0.83</v>
      </c>
      <c r="R994" s="39"/>
      <c r="S994" s="39"/>
      <c r="T994" s="39"/>
      <c r="U994" s="39">
        <v>0.17</v>
      </c>
      <c r="V994" s="39"/>
      <c r="W994" s="39"/>
      <c r="X994" s="49" t="s">
        <v>194</v>
      </c>
      <c r="Y994" s="50">
        <v>1876</v>
      </c>
      <c r="Z994" s="51">
        <v>1800</v>
      </c>
      <c r="AA994" s="52">
        <f t="shared" si="23"/>
        <v>0.959488272921109</v>
      </c>
      <c r="AB994" s="12">
        <v>1800</v>
      </c>
      <c r="AC994" s="12">
        <v>0</v>
      </c>
      <c r="AD994" s="43"/>
      <c r="AE994" s="43"/>
      <c r="AF994" s="43"/>
      <c r="AG994" s="43"/>
      <c r="AH994" s="43"/>
      <c r="AI994" s="43"/>
      <c r="AJ994" s="43"/>
      <c r="AK994" s="43"/>
      <c r="AL994" s="43"/>
      <c r="AM994" s="43"/>
      <c r="AN994" s="43"/>
      <c r="AO994" s="43"/>
      <c r="AP994" s="43"/>
      <c r="AQ994" s="43"/>
      <c r="AR994" s="43"/>
      <c r="AS994" s="43"/>
      <c r="AT994" s="43"/>
      <c r="AU994" s="43"/>
      <c r="AV994" s="43"/>
    </row>
    <row r="995" ht="15.75" spans="1:48">
      <c r="A995" s="12">
        <v>991</v>
      </c>
      <c r="B995" s="44">
        <v>4031</v>
      </c>
      <c r="C995" s="45" t="s">
        <v>64</v>
      </c>
      <c r="D995" s="46"/>
      <c r="E995" s="47" t="s">
        <v>50</v>
      </c>
      <c r="F995" s="48">
        <v>10.83</v>
      </c>
      <c r="G995" s="38">
        <v>1.17</v>
      </c>
      <c r="H995" s="39"/>
      <c r="I995" s="39"/>
      <c r="J995" s="39"/>
      <c r="K995" s="39"/>
      <c r="L995" s="39"/>
      <c r="M995" s="39"/>
      <c r="N995" s="39"/>
      <c r="O995" s="39"/>
      <c r="P995" s="39"/>
      <c r="Q995" s="39">
        <v>1.17</v>
      </c>
      <c r="R995" s="39"/>
      <c r="S995" s="39"/>
      <c r="T995" s="39"/>
      <c r="U995" s="39"/>
      <c r="V995" s="39"/>
      <c r="W995" s="39"/>
      <c r="X995" s="49" t="s">
        <v>282</v>
      </c>
      <c r="Y995" s="50">
        <v>1299.6</v>
      </c>
      <c r="Z995" s="51">
        <v>1320</v>
      </c>
      <c r="AA995" s="52">
        <f t="shared" si="23"/>
        <v>1.01569713758079</v>
      </c>
      <c r="AB995" s="12">
        <v>1320</v>
      </c>
      <c r="AC995" s="12">
        <v>0</v>
      </c>
      <c r="AD995" s="43"/>
      <c r="AE995" s="43"/>
      <c r="AF995" s="43"/>
      <c r="AG995" s="43"/>
      <c r="AH995" s="43"/>
      <c r="AI995" s="43"/>
      <c r="AJ995" s="43"/>
      <c r="AK995" s="43"/>
      <c r="AL995" s="43"/>
      <c r="AM995" s="43"/>
      <c r="AN995" s="43"/>
      <c r="AO995" s="43"/>
      <c r="AP995" s="43"/>
      <c r="AQ995" s="43"/>
      <c r="AR995" s="43"/>
      <c r="AS995" s="43"/>
      <c r="AT995" s="43"/>
      <c r="AU995" s="43"/>
      <c r="AV995" s="43"/>
    </row>
    <row r="996" ht="15.75" spans="1:48">
      <c r="A996" s="12">
        <v>992</v>
      </c>
      <c r="B996" s="44">
        <v>3526</v>
      </c>
      <c r="C996" s="45" t="s">
        <v>65</v>
      </c>
      <c r="D996" s="46"/>
      <c r="E996" s="47" t="s">
        <v>50</v>
      </c>
      <c r="F996" s="48">
        <v>10.83</v>
      </c>
      <c r="G996" s="38">
        <v>1.17</v>
      </c>
      <c r="H996" s="39"/>
      <c r="I996" s="39"/>
      <c r="J996" s="39"/>
      <c r="K996" s="39"/>
      <c r="L996" s="39"/>
      <c r="M996" s="39"/>
      <c r="N996" s="39"/>
      <c r="O996" s="39"/>
      <c r="P996" s="39"/>
      <c r="Q996" s="39">
        <v>1.17</v>
      </c>
      <c r="R996" s="39"/>
      <c r="S996" s="39"/>
      <c r="T996" s="39"/>
      <c r="U996" s="39"/>
      <c r="V996" s="39"/>
      <c r="W996" s="39"/>
      <c r="X996" s="49" t="s">
        <v>191</v>
      </c>
      <c r="Y996" s="50">
        <v>3628.05</v>
      </c>
      <c r="Z996" s="51">
        <v>3400</v>
      </c>
      <c r="AA996" s="52">
        <f t="shared" si="23"/>
        <v>0.937142542136961</v>
      </c>
      <c r="AB996" s="12">
        <v>3400</v>
      </c>
      <c r="AC996" s="12">
        <v>0</v>
      </c>
      <c r="AD996" s="43"/>
      <c r="AE996" s="43"/>
      <c r="AF996" s="43"/>
      <c r="AG996" s="43"/>
      <c r="AH996" s="43"/>
      <c r="AI996" s="43"/>
      <c r="AJ996" s="43"/>
      <c r="AK996" s="43"/>
      <c r="AL996" s="43"/>
      <c r="AM996" s="43"/>
      <c r="AN996" s="43"/>
      <c r="AO996" s="43"/>
      <c r="AP996" s="43"/>
      <c r="AQ996" s="43"/>
      <c r="AR996" s="43"/>
      <c r="AS996" s="43"/>
      <c r="AT996" s="43"/>
      <c r="AU996" s="43"/>
      <c r="AV996" s="43"/>
    </row>
    <row r="997" ht="15.75" spans="1:48">
      <c r="A997" s="12">
        <v>993</v>
      </c>
      <c r="B997" s="44">
        <v>3352</v>
      </c>
      <c r="C997" s="45" t="s">
        <v>66</v>
      </c>
      <c r="D997" s="46"/>
      <c r="E997" s="47" t="s">
        <v>50</v>
      </c>
      <c r="F997" s="48">
        <v>10.83</v>
      </c>
      <c r="G997" s="38">
        <v>1.17</v>
      </c>
      <c r="H997" s="39"/>
      <c r="I997" s="39"/>
      <c r="J997" s="39"/>
      <c r="K997" s="39"/>
      <c r="L997" s="39"/>
      <c r="M997" s="39"/>
      <c r="N997" s="39"/>
      <c r="O997" s="39"/>
      <c r="P997" s="39"/>
      <c r="Q997" s="39">
        <v>1.17</v>
      </c>
      <c r="R997" s="39"/>
      <c r="S997" s="39"/>
      <c r="T997" s="39"/>
      <c r="U997" s="39"/>
      <c r="V997" s="39"/>
      <c r="W997" s="39"/>
      <c r="X997" s="49" t="s">
        <v>67</v>
      </c>
      <c r="Y997" s="50">
        <v>2707.5</v>
      </c>
      <c r="Z997" s="51">
        <v>2600</v>
      </c>
      <c r="AA997" s="52">
        <f t="shared" si="23"/>
        <v>0.960295475530933</v>
      </c>
      <c r="AB997" s="12">
        <v>2600</v>
      </c>
      <c r="AC997" s="12">
        <v>0</v>
      </c>
      <c r="AD997" s="43"/>
      <c r="AE997" s="43"/>
      <c r="AF997" s="43"/>
      <c r="AG997" s="43"/>
      <c r="AH997" s="43"/>
      <c r="AI997" s="43"/>
      <c r="AJ997" s="43"/>
      <c r="AK997" s="43"/>
      <c r="AL997" s="43"/>
      <c r="AM997" s="43"/>
      <c r="AN997" s="43"/>
      <c r="AO997" s="43"/>
      <c r="AP997" s="43"/>
      <c r="AQ997" s="43"/>
      <c r="AR997" s="43"/>
      <c r="AS997" s="43"/>
      <c r="AT997" s="43"/>
      <c r="AU997" s="43"/>
      <c r="AV997" s="43"/>
    </row>
    <row r="998" ht="15.75" spans="1:48">
      <c r="A998" s="12">
        <v>994</v>
      </c>
      <c r="B998" s="44">
        <v>2284</v>
      </c>
      <c r="C998" s="45" t="s">
        <v>59</v>
      </c>
      <c r="D998" s="46"/>
      <c r="E998" s="47" t="s">
        <v>50</v>
      </c>
      <c r="F998" s="48">
        <v>6</v>
      </c>
      <c r="G998" s="38">
        <v>6</v>
      </c>
      <c r="H998" s="39"/>
      <c r="I998" s="39"/>
      <c r="J998" s="39"/>
      <c r="K998" s="39"/>
      <c r="L998" s="39"/>
      <c r="M998" s="39"/>
      <c r="N998" s="39"/>
      <c r="O998" s="39"/>
      <c r="P998" s="39"/>
      <c r="Q998" s="39">
        <v>1.17</v>
      </c>
      <c r="R998" s="39"/>
      <c r="S998" s="39">
        <v>4.83</v>
      </c>
      <c r="T998" s="39"/>
      <c r="U998" s="39"/>
      <c r="V998" s="39"/>
      <c r="W998" s="39"/>
      <c r="X998" s="49">
        <v>2168</v>
      </c>
      <c r="Y998" s="50">
        <v>3600</v>
      </c>
      <c r="Z998" s="51">
        <v>3700</v>
      </c>
      <c r="AA998" s="52">
        <f t="shared" si="23"/>
        <v>1.02777777777778</v>
      </c>
      <c r="AB998" s="12">
        <v>3700</v>
      </c>
      <c r="AC998" s="12">
        <v>0</v>
      </c>
      <c r="AD998" s="43"/>
      <c r="AE998" s="43"/>
      <c r="AF998" s="43"/>
      <c r="AG998" s="43"/>
      <c r="AH998" s="43"/>
      <c r="AI998" s="43"/>
      <c r="AJ998" s="43"/>
      <c r="AK998" s="43"/>
      <c r="AL998" s="43"/>
      <c r="AM998" s="43"/>
      <c r="AN998" s="43"/>
      <c r="AO998" s="43"/>
      <c r="AP998" s="43"/>
      <c r="AQ998" s="43"/>
      <c r="AR998" s="43"/>
      <c r="AS998" s="43"/>
      <c r="AT998" s="43"/>
      <c r="AU998" s="43"/>
      <c r="AV998" s="43"/>
    </row>
    <row r="999" ht="15.75" spans="1:48">
      <c r="A999" s="12">
        <v>995</v>
      </c>
      <c r="B999" s="44">
        <v>698</v>
      </c>
      <c r="C999" s="45" t="s">
        <v>68</v>
      </c>
      <c r="D999" s="46"/>
      <c r="E999" s="47" t="s">
        <v>50</v>
      </c>
      <c r="F999" s="48">
        <v>10.33</v>
      </c>
      <c r="G999" s="38">
        <v>1.67</v>
      </c>
      <c r="H999" s="39"/>
      <c r="I999" s="39"/>
      <c r="J999" s="39"/>
      <c r="K999" s="39"/>
      <c r="L999" s="39"/>
      <c r="M999" s="39"/>
      <c r="N999" s="39"/>
      <c r="O999" s="39"/>
      <c r="P999" s="39"/>
      <c r="Q999" s="39">
        <v>1.17</v>
      </c>
      <c r="R999" s="39"/>
      <c r="S999" s="39"/>
      <c r="T999" s="39"/>
      <c r="U999" s="39">
        <v>0.5</v>
      </c>
      <c r="V999" s="39"/>
      <c r="W999" s="39"/>
      <c r="X999" s="49" t="s">
        <v>69</v>
      </c>
      <c r="Y999" s="50">
        <v>5268.3</v>
      </c>
      <c r="Z999" s="51">
        <v>5265</v>
      </c>
      <c r="AA999" s="52">
        <f t="shared" si="23"/>
        <v>0.999373611981094</v>
      </c>
      <c r="AB999" s="12">
        <v>5265</v>
      </c>
      <c r="AC999" s="12">
        <v>0</v>
      </c>
      <c r="AD999" s="43"/>
      <c r="AE999" s="43"/>
      <c r="AF999" s="43"/>
      <c r="AG999" s="43"/>
      <c r="AH999" s="43"/>
      <c r="AI999" s="43"/>
      <c r="AJ999" s="43"/>
      <c r="AK999" s="43"/>
      <c r="AL999" s="43"/>
      <c r="AM999" s="43"/>
      <c r="AN999" s="43"/>
      <c r="AO999" s="43"/>
      <c r="AP999" s="43"/>
      <c r="AQ999" s="43"/>
      <c r="AR999" s="43"/>
      <c r="AS999" s="43"/>
      <c r="AT999" s="43"/>
      <c r="AU999" s="43"/>
      <c r="AV999" s="43"/>
    </row>
    <row r="1000" ht="15.75" spans="1:48">
      <c r="A1000" s="12">
        <v>996</v>
      </c>
      <c r="B1000" s="44">
        <v>4456</v>
      </c>
      <c r="C1000" s="45" t="s">
        <v>119</v>
      </c>
      <c r="D1000" s="46"/>
      <c r="E1000" s="47" t="s">
        <v>113</v>
      </c>
      <c r="F1000" s="48">
        <v>10.66</v>
      </c>
      <c r="G1000" s="38">
        <v>1.5</v>
      </c>
      <c r="H1000" s="39"/>
      <c r="I1000" s="39"/>
      <c r="J1000" s="39"/>
      <c r="K1000" s="39"/>
      <c r="L1000" s="39"/>
      <c r="M1000" s="39"/>
      <c r="N1000" s="39"/>
      <c r="O1000" s="39"/>
      <c r="P1000" s="39"/>
      <c r="Q1000" s="39">
        <v>1.33</v>
      </c>
      <c r="R1000" s="39"/>
      <c r="S1000" s="39"/>
      <c r="T1000" s="39"/>
      <c r="U1000" s="39">
        <v>0.17</v>
      </c>
      <c r="V1000" s="39"/>
      <c r="W1000" s="39"/>
      <c r="X1000" s="49" t="s">
        <v>283</v>
      </c>
      <c r="Y1000" s="50">
        <v>2665</v>
      </c>
      <c r="Z1000" s="51">
        <v>2550</v>
      </c>
      <c r="AA1000" s="52">
        <f t="shared" si="23"/>
        <v>0.956848030018762</v>
      </c>
      <c r="AB1000" s="12">
        <v>2550</v>
      </c>
      <c r="AC1000" s="12">
        <v>0</v>
      </c>
      <c r="AD1000" s="43"/>
      <c r="AE1000" s="43"/>
      <c r="AF1000" s="43"/>
      <c r="AG1000" s="43"/>
      <c r="AH1000" s="43"/>
      <c r="AI1000" s="43"/>
      <c r="AJ1000" s="43"/>
      <c r="AK1000" s="43"/>
      <c r="AL1000" s="43"/>
      <c r="AM1000" s="43"/>
      <c r="AN1000" s="43"/>
      <c r="AO1000" s="43"/>
      <c r="AP1000" s="43"/>
      <c r="AQ1000" s="43"/>
      <c r="AR1000" s="43"/>
      <c r="AS1000" s="43"/>
      <c r="AT1000" s="43"/>
      <c r="AU1000" s="43"/>
      <c r="AV1000" s="43"/>
    </row>
    <row r="1001" ht="15.75" spans="1:48">
      <c r="A1001" s="12">
        <v>997</v>
      </c>
      <c r="B1001" s="44">
        <v>2649</v>
      </c>
      <c r="C1001" s="45" t="s">
        <v>121</v>
      </c>
      <c r="D1001" s="46"/>
      <c r="E1001" s="47" t="s">
        <v>113</v>
      </c>
      <c r="F1001" s="48">
        <v>8</v>
      </c>
      <c r="G1001" s="38">
        <v>1.33</v>
      </c>
      <c r="H1001" s="39"/>
      <c r="I1001" s="39"/>
      <c r="J1001" s="39"/>
      <c r="K1001" s="39"/>
      <c r="L1001" s="39"/>
      <c r="M1001" s="39"/>
      <c r="N1001" s="39"/>
      <c r="O1001" s="39"/>
      <c r="P1001" s="39"/>
      <c r="Q1001" s="39">
        <v>1.33</v>
      </c>
      <c r="R1001" s="39"/>
      <c r="S1001" s="39"/>
      <c r="T1001" s="39"/>
      <c r="U1001" s="39"/>
      <c r="V1001" s="39"/>
      <c r="W1001" s="39"/>
      <c r="X1001" s="49" t="s">
        <v>120</v>
      </c>
      <c r="Y1001" s="50">
        <v>2000</v>
      </c>
      <c r="Z1001" s="51">
        <v>1950</v>
      </c>
      <c r="AA1001" s="52">
        <f t="shared" si="23"/>
        <v>0.975</v>
      </c>
      <c r="AB1001" s="12">
        <v>1950</v>
      </c>
      <c r="AC1001" s="12">
        <v>0</v>
      </c>
      <c r="AD1001" s="43"/>
      <c r="AE1001" s="43"/>
      <c r="AF1001" s="43"/>
      <c r="AG1001" s="43"/>
      <c r="AH1001" s="43"/>
      <c r="AI1001" s="43"/>
      <c r="AJ1001" s="43"/>
      <c r="AK1001" s="43"/>
      <c r="AL1001" s="43"/>
      <c r="AM1001" s="43"/>
      <c r="AN1001" s="43"/>
      <c r="AO1001" s="43"/>
      <c r="AP1001" s="43"/>
      <c r="AQ1001" s="43"/>
      <c r="AR1001" s="43"/>
      <c r="AS1001" s="43"/>
      <c r="AT1001" s="43"/>
      <c r="AU1001" s="43"/>
      <c r="AV1001" s="43"/>
    </row>
    <row r="1002" ht="15.75" spans="1:48">
      <c r="A1002" s="12">
        <v>998</v>
      </c>
      <c r="B1002" s="44">
        <v>2649</v>
      </c>
      <c r="C1002" s="45" t="s">
        <v>121</v>
      </c>
      <c r="D1002" s="46"/>
      <c r="E1002" s="47" t="s">
        <v>113</v>
      </c>
      <c r="F1002" s="48">
        <v>2.66</v>
      </c>
      <c r="G1002" s="38">
        <v>0</v>
      </c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49" t="s">
        <v>122</v>
      </c>
      <c r="Y1002" s="50">
        <v>0</v>
      </c>
      <c r="Z1002" s="51"/>
      <c r="AA1002" s="52">
        <f t="shared" si="23"/>
        <v>0</v>
      </c>
      <c r="AB1002" s="12">
        <v>0</v>
      </c>
      <c r="AC1002" s="12">
        <v>0</v>
      </c>
      <c r="AD1002" s="43"/>
      <c r="AE1002" s="43"/>
      <c r="AF1002" s="43"/>
      <c r="AG1002" s="43"/>
      <c r="AH1002" s="43"/>
      <c r="AI1002" s="43"/>
      <c r="AJ1002" s="43"/>
      <c r="AK1002" s="43"/>
      <c r="AL1002" s="43"/>
      <c r="AM1002" s="43"/>
      <c r="AN1002" s="43"/>
      <c r="AO1002" s="43"/>
      <c r="AP1002" s="43"/>
      <c r="AQ1002" s="43"/>
      <c r="AR1002" s="43"/>
      <c r="AS1002" s="43"/>
      <c r="AT1002" s="43"/>
      <c r="AU1002" s="43"/>
      <c r="AV1002" s="43"/>
    </row>
    <row r="1003" ht="15.75" spans="1:48">
      <c r="A1003" s="12">
        <v>999</v>
      </c>
      <c r="B1003" s="44">
        <v>4418</v>
      </c>
      <c r="C1003" s="45" t="s">
        <v>125</v>
      </c>
      <c r="D1003" s="46">
        <v>11</v>
      </c>
      <c r="E1003" s="47" t="s">
        <v>113</v>
      </c>
      <c r="F1003" s="48">
        <v>10.5</v>
      </c>
      <c r="G1003" s="38">
        <v>1.5</v>
      </c>
      <c r="H1003" s="39"/>
      <c r="I1003" s="39"/>
      <c r="J1003" s="39"/>
      <c r="K1003" s="39"/>
      <c r="L1003" s="39"/>
      <c r="M1003" s="39"/>
      <c r="N1003" s="39"/>
      <c r="O1003" s="39"/>
      <c r="P1003" s="39"/>
      <c r="Q1003" s="39">
        <v>1.33</v>
      </c>
      <c r="R1003" s="39"/>
      <c r="S1003" s="39"/>
      <c r="T1003" s="39"/>
      <c r="U1003" s="39">
        <v>0.17</v>
      </c>
      <c r="V1003" s="39"/>
      <c r="W1003" s="39"/>
      <c r="X1003" s="49" t="s">
        <v>239</v>
      </c>
      <c r="Y1003" s="50">
        <v>5355</v>
      </c>
      <c r="Z1003" s="51">
        <v>5265</v>
      </c>
      <c r="AA1003" s="52">
        <f t="shared" si="23"/>
        <v>0.983193277310924</v>
      </c>
      <c r="AB1003" s="12">
        <v>5265</v>
      </c>
      <c r="AC1003" s="12">
        <v>0</v>
      </c>
      <c r="AD1003" s="43"/>
      <c r="AE1003" s="43"/>
      <c r="AF1003" s="43"/>
      <c r="AG1003" s="43"/>
      <c r="AH1003" s="43"/>
      <c r="AI1003" s="43"/>
      <c r="AJ1003" s="43"/>
      <c r="AK1003" s="43"/>
      <c r="AL1003" s="43"/>
      <c r="AM1003" s="43"/>
      <c r="AN1003" s="43"/>
      <c r="AO1003" s="43"/>
      <c r="AP1003" s="43"/>
      <c r="AQ1003" s="43"/>
      <c r="AR1003" s="43"/>
      <c r="AS1003" s="43"/>
      <c r="AT1003" s="43"/>
      <c r="AU1003" s="43"/>
      <c r="AV1003" s="43"/>
    </row>
    <row r="1004" ht="15.75" spans="1:48">
      <c r="A1004" s="12">
        <v>1000</v>
      </c>
      <c r="B1004" s="44">
        <v>4325</v>
      </c>
      <c r="C1004" s="45" t="s">
        <v>118</v>
      </c>
      <c r="D1004" s="46"/>
      <c r="E1004" s="47" t="s">
        <v>113</v>
      </c>
      <c r="F1004" s="48">
        <v>10.66</v>
      </c>
      <c r="G1004" s="38">
        <v>1.33</v>
      </c>
      <c r="H1004" s="39"/>
      <c r="I1004" s="39"/>
      <c r="J1004" s="39"/>
      <c r="K1004" s="39"/>
      <c r="L1004" s="39"/>
      <c r="M1004" s="39"/>
      <c r="N1004" s="39"/>
      <c r="O1004" s="39"/>
      <c r="P1004" s="39"/>
      <c r="Q1004" s="39">
        <v>1.33</v>
      </c>
      <c r="R1004" s="39"/>
      <c r="S1004" s="39"/>
      <c r="T1004" s="39"/>
      <c r="U1004" s="39"/>
      <c r="V1004" s="39"/>
      <c r="W1004" s="39"/>
      <c r="X1004" s="49" t="s">
        <v>213</v>
      </c>
      <c r="Y1004" s="50">
        <v>1279.2</v>
      </c>
      <c r="Z1004" s="51">
        <v>1300</v>
      </c>
      <c r="AA1004" s="52">
        <f t="shared" si="23"/>
        <v>1.01626016260163</v>
      </c>
      <c r="AB1004" s="12">
        <v>1300</v>
      </c>
      <c r="AC1004" s="12">
        <v>0</v>
      </c>
      <c r="AD1004" s="43"/>
      <c r="AE1004" s="43"/>
      <c r="AF1004" s="43"/>
      <c r="AG1004" s="43"/>
      <c r="AH1004" s="43"/>
      <c r="AI1004" s="43"/>
      <c r="AJ1004" s="43"/>
      <c r="AK1004" s="43"/>
      <c r="AL1004" s="43"/>
      <c r="AM1004" s="43"/>
      <c r="AN1004" s="43"/>
      <c r="AO1004" s="43"/>
      <c r="AP1004" s="43"/>
      <c r="AQ1004" s="43"/>
      <c r="AR1004" s="43"/>
      <c r="AS1004" s="43"/>
      <c r="AT1004" s="43"/>
      <c r="AU1004" s="43"/>
      <c r="AV1004" s="43"/>
    </row>
    <row r="1005" ht="15.75" spans="1:48">
      <c r="A1005" s="12">
        <v>1001</v>
      </c>
      <c r="B1005" s="44">
        <v>656</v>
      </c>
      <c r="C1005" s="45" t="s">
        <v>195</v>
      </c>
      <c r="D1005" s="46">
        <v>1</v>
      </c>
      <c r="E1005" s="47" t="s">
        <v>113</v>
      </c>
      <c r="F1005" s="48">
        <v>10.33</v>
      </c>
      <c r="G1005" s="38">
        <v>1.67</v>
      </c>
      <c r="H1005" s="39"/>
      <c r="I1005" s="39"/>
      <c r="J1005" s="39"/>
      <c r="K1005" s="39">
        <v>0.17</v>
      </c>
      <c r="L1005" s="39"/>
      <c r="M1005" s="39"/>
      <c r="N1005" s="39"/>
      <c r="O1005" s="39"/>
      <c r="P1005" s="39"/>
      <c r="Q1005" s="39">
        <v>1.33</v>
      </c>
      <c r="R1005" s="39"/>
      <c r="S1005" s="39"/>
      <c r="T1005" s="39"/>
      <c r="U1005" s="39">
        <v>0.17</v>
      </c>
      <c r="V1005" s="39"/>
      <c r="W1005" s="39"/>
      <c r="X1005" s="49" t="s">
        <v>199</v>
      </c>
      <c r="Y1005" s="50">
        <v>3615.5</v>
      </c>
      <c r="Z1005" s="51">
        <v>3600</v>
      </c>
      <c r="AA1005" s="52">
        <f t="shared" si="23"/>
        <v>0.995712902779698</v>
      </c>
      <c r="AB1005" s="12">
        <v>3600</v>
      </c>
      <c r="AC1005" s="12">
        <v>0</v>
      </c>
      <c r="AD1005" s="43"/>
      <c r="AE1005" s="43"/>
      <c r="AF1005" s="43"/>
      <c r="AG1005" s="43"/>
      <c r="AH1005" s="43"/>
      <c r="AI1005" s="43"/>
      <c r="AJ1005" s="43"/>
      <c r="AK1005" s="43"/>
      <c r="AL1005" s="43"/>
      <c r="AM1005" s="43"/>
      <c r="AN1005" s="43"/>
      <c r="AO1005" s="43"/>
      <c r="AP1005" s="43"/>
      <c r="AQ1005" s="43"/>
      <c r="AR1005" s="43"/>
      <c r="AS1005" s="43"/>
      <c r="AT1005" s="43"/>
      <c r="AU1005" s="43"/>
      <c r="AV1005" s="43"/>
    </row>
    <row r="1006" ht="15.75" spans="1:48">
      <c r="A1006" s="12">
        <v>1002</v>
      </c>
      <c r="B1006" s="44">
        <v>655</v>
      </c>
      <c r="C1006" s="45" t="s">
        <v>198</v>
      </c>
      <c r="D1006" s="46">
        <v>12</v>
      </c>
      <c r="E1006" s="47" t="s">
        <v>113</v>
      </c>
      <c r="F1006" s="48">
        <v>10.5</v>
      </c>
      <c r="G1006" s="38">
        <v>1.5</v>
      </c>
      <c r="H1006" s="39"/>
      <c r="I1006" s="39"/>
      <c r="J1006" s="39"/>
      <c r="K1006" s="39"/>
      <c r="L1006" s="39"/>
      <c r="M1006" s="39"/>
      <c r="N1006" s="39"/>
      <c r="O1006" s="39"/>
      <c r="P1006" s="39"/>
      <c r="Q1006" s="39">
        <v>1.33</v>
      </c>
      <c r="R1006" s="39"/>
      <c r="S1006" s="39"/>
      <c r="T1006" s="39"/>
      <c r="U1006" s="39">
        <v>0.17</v>
      </c>
      <c r="V1006" s="39"/>
      <c r="W1006" s="39"/>
      <c r="X1006" s="49" t="s">
        <v>71</v>
      </c>
      <c r="Y1006" s="50">
        <v>3517.5</v>
      </c>
      <c r="Z1006" s="51">
        <v>3480</v>
      </c>
      <c r="AA1006" s="52">
        <f t="shared" si="23"/>
        <v>0.989339019189765</v>
      </c>
      <c r="AB1006" s="12">
        <v>3480</v>
      </c>
      <c r="AC1006" s="12">
        <v>0</v>
      </c>
      <c r="AD1006" s="43"/>
      <c r="AE1006" s="43"/>
      <c r="AF1006" s="43"/>
      <c r="AG1006" s="43"/>
      <c r="AH1006" s="43"/>
      <c r="AI1006" s="43"/>
      <c r="AJ1006" s="43"/>
      <c r="AK1006" s="43"/>
      <c r="AL1006" s="43"/>
      <c r="AM1006" s="43"/>
      <c r="AN1006" s="43"/>
      <c r="AO1006" s="43"/>
      <c r="AP1006" s="43"/>
      <c r="AQ1006" s="43"/>
      <c r="AR1006" s="43"/>
      <c r="AS1006" s="43"/>
      <c r="AT1006" s="43"/>
      <c r="AU1006" s="43"/>
      <c r="AV1006" s="43"/>
    </row>
    <row r="1007" ht="15.75" spans="1:48">
      <c r="A1007" s="12">
        <v>1003</v>
      </c>
      <c r="B1007" s="44">
        <v>2890</v>
      </c>
      <c r="C1007" s="45" t="s">
        <v>111</v>
      </c>
      <c r="D1007" s="46" t="s">
        <v>116</v>
      </c>
      <c r="E1007" s="47" t="s">
        <v>113</v>
      </c>
      <c r="F1007" s="48">
        <v>10</v>
      </c>
      <c r="G1007" s="38">
        <v>2</v>
      </c>
      <c r="H1007" s="39"/>
      <c r="I1007" s="39"/>
      <c r="J1007" s="39"/>
      <c r="K1007" s="39"/>
      <c r="L1007" s="39"/>
      <c r="M1007" s="39"/>
      <c r="N1007" s="39"/>
      <c r="O1007" s="39"/>
      <c r="P1007" s="39"/>
      <c r="Q1007" s="39">
        <v>1.33</v>
      </c>
      <c r="R1007" s="39"/>
      <c r="S1007" s="39"/>
      <c r="T1007" s="39">
        <v>0.5</v>
      </c>
      <c r="U1007" s="39">
        <v>0.17</v>
      </c>
      <c r="V1007" s="39"/>
      <c r="W1007" s="39"/>
      <c r="X1007" s="49" t="s">
        <v>284</v>
      </c>
      <c r="Y1007" s="50">
        <v>8000</v>
      </c>
      <c r="Z1007" s="51">
        <v>8000</v>
      </c>
      <c r="AA1007" s="52">
        <f t="shared" si="23"/>
        <v>1</v>
      </c>
      <c r="AB1007" s="12">
        <v>7979</v>
      </c>
      <c r="AC1007" s="12">
        <v>21</v>
      </c>
      <c r="AD1007" s="43"/>
      <c r="AE1007" s="43"/>
      <c r="AF1007" s="43"/>
      <c r="AG1007" s="43"/>
      <c r="AH1007" s="43"/>
      <c r="AI1007" s="43"/>
      <c r="AJ1007" s="43"/>
      <c r="AK1007" s="19">
        <v>21</v>
      </c>
      <c r="AL1007" s="43"/>
      <c r="AM1007" s="43"/>
      <c r="AN1007" s="43"/>
      <c r="AO1007" s="43"/>
      <c r="AP1007" s="43"/>
      <c r="AQ1007" s="43"/>
      <c r="AR1007" s="43"/>
      <c r="AS1007" s="43"/>
      <c r="AT1007" s="43"/>
      <c r="AU1007" s="43"/>
      <c r="AV1007" s="43"/>
    </row>
    <row r="1008" ht="15.75" spans="1:48">
      <c r="A1008" s="12">
        <v>1004</v>
      </c>
      <c r="B1008" s="44">
        <v>3111</v>
      </c>
      <c r="C1008" s="45" t="s">
        <v>124</v>
      </c>
      <c r="D1008" s="46" t="s">
        <v>217</v>
      </c>
      <c r="E1008" s="47" t="s">
        <v>250</v>
      </c>
      <c r="F1008" s="48">
        <v>10.5</v>
      </c>
      <c r="G1008" s="38">
        <v>1.5</v>
      </c>
      <c r="H1008" s="39"/>
      <c r="I1008" s="39"/>
      <c r="J1008" s="39"/>
      <c r="K1008" s="39"/>
      <c r="L1008" s="39"/>
      <c r="M1008" s="39"/>
      <c r="N1008" s="39"/>
      <c r="O1008" s="39"/>
      <c r="P1008" s="39"/>
      <c r="Q1008" s="39">
        <v>1.33</v>
      </c>
      <c r="R1008" s="39"/>
      <c r="S1008" s="39"/>
      <c r="T1008" s="39"/>
      <c r="U1008" s="39">
        <v>0.17</v>
      </c>
      <c r="V1008" s="39"/>
      <c r="W1008" s="39"/>
      <c r="X1008" s="49" t="s">
        <v>55</v>
      </c>
      <c r="Y1008" s="50">
        <v>17750.25</v>
      </c>
      <c r="Z1008" s="51">
        <v>17200</v>
      </c>
      <c r="AA1008" s="52">
        <f t="shared" si="23"/>
        <v>0.969000436613569</v>
      </c>
      <c r="AB1008" s="12">
        <v>17200</v>
      </c>
      <c r="AC1008" s="12">
        <v>0</v>
      </c>
      <c r="AD1008" s="43"/>
      <c r="AE1008" s="43"/>
      <c r="AF1008" s="43"/>
      <c r="AG1008" s="43"/>
      <c r="AH1008" s="43"/>
      <c r="AI1008" s="43"/>
      <c r="AJ1008" s="43"/>
      <c r="AK1008" s="43"/>
      <c r="AL1008" s="43"/>
      <c r="AM1008" s="43"/>
      <c r="AN1008" s="43"/>
      <c r="AO1008" s="43"/>
      <c r="AP1008" s="43"/>
      <c r="AQ1008" s="43"/>
      <c r="AR1008" s="43"/>
      <c r="AS1008" s="43"/>
      <c r="AT1008" s="43"/>
      <c r="AU1008" s="43"/>
      <c r="AV1008" s="43"/>
    </row>
    <row r="1009" ht="15.75" spans="1:48">
      <c r="A1009" s="12">
        <v>1005</v>
      </c>
      <c r="B1009" s="44">
        <v>4496</v>
      </c>
      <c r="C1009" s="45" t="s">
        <v>133</v>
      </c>
      <c r="D1009" s="46" t="s">
        <v>129</v>
      </c>
      <c r="E1009" s="47" t="s">
        <v>113</v>
      </c>
      <c r="F1009" s="48">
        <v>9.83</v>
      </c>
      <c r="G1009" s="38">
        <v>2.17</v>
      </c>
      <c r="H1009" s="39"/>
      <c r="I1009" s="39"/>
      <c r="J1009" s="39"/>
      <c r="K1009" s="39">
        <v>0.67</v>
      </c>
      <c r="L1009" s="39"/>
      <c r="M1009" s="39"/>
      <c r="N1009" s="39"/>
      <c r="O1009" s="39"/>
      <c r="P1009" s="39"/>
      <c r="Q1009" s="39">
        <v>1.33</v>
      </c>
      <c r="R1009" s="39"/>
      <c r="S1009" s="39"/>
      <c r="T1009" s="39"/>
      <c r="U1009" s="39">
        <v>0.17</v>
      </c>
      <c r="V1009" s="39"/>
      <c r="W1009" s="39"/>
      <c r="X1009" s="49" t="s">
        <v>274</v>
      </c>
      <c r="Y1009" s="50">
        <v>23592</v>
      </c>
      <c r="Z1009" s="51">
        <v>20400</v>
      </c>
      <c r="AA1009" s="52">
        <f t="shared" si="23"/>
        <v>0.8646998982706</v>
      </c>
      <c r="AB1009" s="12">
        <v>20400</v>
      </c>
      <c r="AC1009" s="12">
        <v>0</v>
      </c>
      <c r="AD1009" s="43"/>
      <c r="AE1009" s="43"/>
      <c r="AF1009" s="43"/>
      <c r="AG1009" s="43"/>
      <c r="AH1009" s="43"/>
      <c r="AI1009" s="43"/>
      <c r="AJ1009" s="43"/>
      <c r="AK1009" s="43"/>
      <c r="AL1009" s="43"/>
      <c r="AM1009" s="43"/>
      <c r="AN1009" s="43"/>
      <c r="AO1009" s="43"/>
      <c r="AP1009" s="43"/>
      <c r="AQ1009" s="43"/>
      <c r="AR1009" s="43"/>
      <c r="AS1009" s="43"/>
      <c r="AT1009" s="43"/>
      <c r="AU1009" s="43"/>
      <c r="AV1009" s="43"/>
    </row>
    <row r="1010" ht="15.75" spans="1:48">
      <c r="A1010" s="12">
        <v>1006</v>
      </c>
      <c r="B1010" s="44">
        <v>4019</v>
      </c>
      <c r="C1010" s="45" t="s">
        <v>134</v>
      </c>
      <c r="D1010" s="46" t="s">
        <v>83</v>
      </c>
      <c r="E1010" s="47" t="s">
        <v>113</v>
      </c>
      <c r="F1010" s="48">
        <v>2.17</v>
      </c>
      <c r="G1010" s="38">
        <v>1.66</v>
      </c>
      <c r="H1010" s="39"/>
      <c r="I1010" s="39"/>
      <c r="J1010" s="39"/>
      <c r="K1010" s="39"/>
      <c r="L1010" s="39"/>
      <c r="M1010" s="39"/>
      <c r="N1010" s="39"/>
      <c r="O1010" s="39"/>
      <c r="P1010" s="39"/>
      <c r="Q1010" s="39">
        <v>1.33</v>
      </c>
      <c r="R1010" s="39"/>
      <c r="S1010" s="39"/>
      <c r="T1010" s="39"/>
      <c r="U1010" s="39">
        <v>0.33</v>
      </c>
      <c r="V1010" s="39"/>
      <c r="W1010" s="39"/>
      <c r="X1010" s="49" t="s">
        <v>84</v>
      </c>
      <c r="Y1010" s="50">
        <v>10850</v>
      </c>
      <c r="Z1010" s="51">
        <v>10182</v>
      </c>
      <c r="AA1010" s="52">
        <f t="shared" si="23"/>
        <v>0.938433179723502</v>
      </c>
      <c r="AB1010" s="12">
        <v>10164</v>
      </c>
      <c r="AC1010" s="12">
        <v>18</v>
      </c>
      <c r="AD1010" s="43"/>
      <c r="AE1010" s="43"/>
      <c r="AF1010" s="43"/>
      <c r="AG1010" s="19">
        <v>12</v>
      </c>
      <c r="AH1010" s="43"/>
      <c r="AI1010" s="43"/>
      <c r="AJ1010" s="43"/>
      <c r="AK1010" s="43"/>
      <c r="AL1010" s="43"/>
      <c r="AM1010" s="43"/>
      <c r="AN1010" s="19">
        <v>6</v>
      </c>
      <c r="AO1010" s="43"/>
      <c r="AP1010" s="43"/>
      <c r="AQ1010" s="43"/>
      <c r="AR1010" s="43"/>
      <c r="AS1010" s="43"/>
      <c r="AT1010" s="43"/>
      <c r="AU1010" s="43"/>
      <c r="AV1010" s="43"/>
    </row>
    <row r="1011" ht="15.75" spans="1:48">
      <c r="A1011" s="12">
        <v>1007</v>
      </c>
      <c r="B1011" s="44">
        <v>4019</v>
      </c>
      <c r="C1011" s="45" t="s">
        <v>134</v>
      </c>
      <c r="D1011" s="46" t="s">
        <v>207</v>
      </c>
      <c r="E1011" s="47" t="s">
        <v>113</v>
      </c>
      <c r="F1011" s="48">
        <v>7.67</v>
      </c>
      <c r="G1011" s="38">
        <v>1.83</v>
      </c>
      <c r="H1011" s="39"/>
      <c r="I1011" s="39"/>
      <c r="J1011" s="39"/>
      <c r="K1011" s="39">
        <v>0.17</v>
      </c>
      <c r="L1011" s="39"/>
      <c r="M1011" s="39"/>
      <c r="N1011" s="39"/>
      <c r="O1011" s="39"/>
      <c r="P1011" s="39"/>
      <c r="Q1011" s="39">
        <v>1.33</v>
      </c>
      <c r="R1011" s="39"/>
      <c r="S1011" s="39"/>
      <c r="T1011" s="39"/>
      <c r="U1011" s="39">
        <v>0.33</v>
      </c>
      <c r="V1011" s="39"/>
      <c r="W1011" s="39"/>
      <c r="X1011" s="49" t="s">
        <v>79</v>
      </c>
      <c r="Y1011" s="50">
        <v>51082.2</v>
      </c>
      <c r="Z1011" s="51">
        <v>47104</v>
      </c>
      <c r="AA1011" s="52">
        <f t="shared" si="23"/>
        <v>0.922121600087702</v>
      </c>
      <c r="AB1011" s="12">
        <v>47008</v>
      </c>
      <c r="AC1011" s="12">
        <v>96</v>
      </c>
      <c r="AD1011" s="43"/>
      <c r="AE1011" s="43"/>
      <c r="AF1011" s="43"/>
      <c r="AG1011" s="19">
        <v>48</v>
      </c>
      <c r="AH1011" s="43"/>
      <c r="AI1011" s="43"/>
      <c r="AJ1011" s="43"/>
      <c r="AK1011" s="43"/>
      <c r="AL1011" s="43"/>
      <c r="AM1011" s="43"/>
      <c r="AN1011" s="19">
        <v>48</v>
      </c>
      <c r="AO1011" s="43"/>
      <c r="AP1011" s="43"/>
      <c r="AQ1011" s="43"/>
      <c r="AR1011" s="43"/>
      <c r="AS1011" s="43"/>
      <c r="AT1011" s="43"/>
      <c r="AU1011" s="43"/>
      <c r="AV1011" s="43"/>
    </row>
    <row r="1012" ht="15.75" spans="1:48">
      <c r="A1012" s="12">
        <v>1008</v>
      </c>
      <c r="B1012" s="44">
        <v>4019</v>
      </c>
      <c r="C1012" s="45" t="s">
        <v>134</v>
      </c>
      <c r="D1012" s="46" t="s">
        <v>76</v>
      </c>
      <c r="E1012" s="47" t="s">
        <v>113</v>
      </c>
      <c r="F1012" s="48">
        <v>10.17</v>
      </c>
      <c r="G1012" s="38">
        <v>1.83</v>
      </c>
      <c r="H1012" s="39"/>
      <c r="I1012" s="39"/>
      <c r="J1012" s="39"/>
      <c r="K1012" s="39">
        <v>0.17</v>
      </c>
      <c r="L1012" s="39"/>
      <c r="M1012" s="39"/>
      <c r="N1012" s="39"/>
      <c r="O1012" s="39"/>
      <c r="P1012" s="39"/>
      <c r="Q1012" s="39">
        <v>1.33</v>
      </c>
      <c r="R1012" s="39"/>
      <c r="S1012" s="39"/>
      <c r="T1012" s="39"/>
      <c r="U1012" s="39">
        <v>0.33</v>
      </c>
      <c r="V1012" s="39"/>
      <c r="W1012" s="39"/>
      <c r="X1012" s="49" t="s">
        <v>77</v>
      </c>
      <c r="Y1012" s="50">
        <v>61020</v>
      </c>
      <c r="Z1012" s="51">
        <v>57800</v>
      </c>
      <c r="AA1012" s="52">
        <f t="shared" si="23"/>
        <v>0.947230416256965</v>
      </c>
      <c r="AB1012" s="12">
        <v>57680</v>
      </c>
      <c r="AC1012" s="12">
        <v>120</v>
      </c>
      <c r="AD1012" s="43"/>
      <c r="AE1012" s="43"/>
      <c r="AF1012" s="43"/>
      <c r="AG1012" s="19">
        <v>72</v>
      </c>
      <c r="AH1012" s="43"/>
      <c r="AI1012" s="43"/>
      <c r="AJ1012" s="43"/>
      <c r="AK1012" s="43"/>
      <c r="AL1012" s="43"/>
      <c r="AM1012" s="43"/>
      <c r="AN1012" s="19">
        <v>48</v>
      </c>
      <c r="AO1012" s="43"/>
      <c r="AP1012" s="43"/>
      <c r="AQ1012" s="43"/>
      <c r="AR1012" s="43"/>
      <c r="AS1012" s="43"/>
      <c r="AT1012" s="43"/>
      <c r="AU1012" s="43"/>
      <c r="AV1012" s="43"/>
    </row>
    <row r="1013" ht="15.75" spans="1:48">
      <c r="A1013" s="12">
        <v>1009</v>
      </c>
      <c r="B1013" s="44">
        <v>4019</v>
      </c>
      <c r="C1013" s="45" t="s">
        <v>134</v>
      </c>
      <c r="D1013" s="46" t="s">
        <v>78</v>
      </c>
      <c r="E1013" s="47" t="s">
        <v>113</v>
      </c>
      <c r="F1013" s="48">
        <v>10.17</v>
      </c>
      <c r="G1013" s="38">
        <v>1.83</v>
      </c>
      <c r="H1013" s="39"/>
      <c r="I1013" s="39"/>
      <c r="J1013" s="39"/>
      <c r="K1013" s="39">
        <v>0.17</v>
      </c>
      <c r="L1013" s="39"/>
      <c r="M1013" s="39"/>
      <c r="N1013" s="39"/>
      <c r="O1013" s="39"/>
      <c r="P1013" s="39"/>
      <c r="Q1013" s="39">
        <v>1.33</v>
      </c>
      <c r="R1013" s="39"/>
      <c r="S1013" s="39"/>
      <c r="T1013" s="39"/>
      <c r="U1013" s="39">
        <v>0.33</v>
      </c>
      <c r="V1013" s="39"/>
      <c r="W1013" s="39"/>
      <c r="X1013" s="49" t="s">
        <v>79</v>
      </c>
      <c r="Y1013" s="50">
        <v>67732.2</v>
      </c>
      <c r="Z1013" s="51">
        <v>61064</v>
      </c>
      <c r="AA1013" s="52">
        <f t="shared" ref="AA1013:AA1044" si="24">IFERROR(Z1013/Y1013,0)</f>
        <v>0.901550518069692</v>
      </c>
      <c r="AB1013" s="12">
        <v>60928</v>
      </c>
      <c r="AC1013" s="12">
        <v>136</v>
      </c>
      <c r="AD1013" s="43"/>
      <c r="AE1013" s="43"/>
      <c r="AF1013" s="43"/>
      <c r="AG1013" s="19">
        <v>72</v>
      </c>
      <c r="AH1013" s="43"/>
      <c r="AI1013" s="43"/>
      <c r="AJ1013" s="43"/>
      <c r="AK1013" s="43"/>
      <c r="AL1013" s="43"/>
      <c r="AM1013" s="43"/>
      <c r="AN1013" s="19">
        <v>64</v>
      </c>
      <c r="AO1013" s="43"/>
      <c r="AP1013" s="43"/>
      <c r="AQ1013" s="43"/>
      <c r="AR1013" s="43"/>
      <c r="AS1013" s="43"/>
      <c r="AT1013" s="43"/>
      <c r="AU1013" s="43"/>
      <c r="AV1013" s="43"/>
    </row>
    <row r="1014" ht="15.75" spans="1:48">
      <c r="A1014" s="12">
        <v>1010</v>
      </c>
      <c r="B1014" s="44">
        <v>4352</v>
      </c>
      <c r="C1014" s="45" t="s">
        <v>132</v>
      </c>
      <c r="D1014" s="46" t="s">
        <v>81</v>
      </c>
      <c r="E1014" s="47" t="s">
        <v>113</v>
      </c>
      <c r="F1014" s="48">
        <v>10.5</v>
      </c>
      <c r="G1014" s="38">
        <v>1.5</v>
      </c>
      <c r="H1014" s="39"/>
      <c r="I1014" s="39"/>
      <c r="J1014" s="39"/>
      <c r="K1014" s="39"/>
      <c r="L1014" s="39"/>
      <c r="M1014" s="39"/>
      <c r="N1014" s="39"/>
      <c r="O1014" s="39"/>
      <c r="P1014" s="39"/>
      <c r="Q1014" s="39">
        <v>1.33</v>
      </c>
      <c r="R1014" s="39"/>
      <c r="S1014" s="39"/>
      <c r="T1014" s="39"/>
      <c r="U1014" s="39">
        <v>0.17</v>
      </c>
      <c r="V1014" s="39"/>
      <c r="W1014" s="39"/>
      <c r="X1014" s="49" t="s">
        <v>201</v>
      </c>
      <c r="Y1014" s="50">
        <v>17062.5</v>
      </c>
      <c r="Z1014" s="51">
        <v>17070</v>
      </c>
      <c r="AA1014" s="52">
        <f t="shared" si="24"/>
        <v>1.00043956043956</v>
      </c>
      <c r="AB1014" s="12">
        <v>17060</v>
      </c>
      <c r="AC1014" s="12">
        <v>10</v>
      </c>
      <c r="AD1014" s="43"/>
      <c r="AE1014" s="43"/>
      <c r="AF1014" s="43"/>
      <c r="AG1014" s="19">
        <v>10</v>
      </c>
      <c r="AH1014" s="43"/>
      <c r="AI1014" s="43"/>
      <c r="AJ1014" s="43"/>
      <c r="AK1014" s="43"/>
      <c r="AL1014" s="43"/>
      <c r="AM1014" s="43"/>
      <c r="AN1014" s="43"/>
      <c r="AO1014" s="43"/>
      <c r="AP1014" s="43"/>
      <c r="AQ1014" s="43"/>
      <c r="AR1014" s="43"/>
      <c r="AS1014" s="43"/>
      <c r="AT1014" s="43"/>
      <c r="AU1014" s="43"/>
      <c r="AV1014" s="43"/>
    </row>
    <row r="1015" ht="15.75" spans="1:48">
      <c r="A1015" s="12">
        <v>1011</v>
      </c>
      <c r="B1015" s="44">
        <v>3919</v>
      </c>
      <c r="C1015" s="45" t="s">
        <v>137</v>
      </c>
      <c r="D1015" s="46" t="s">
        <v>138</v>
      </c>
      <c r="E1015" s="47" t="s">
        <v>113</v>
      </c>
      <c r="F1015" s="48">
        <v>3.17</v>
      </c>
      <c r="G1015" s="38">
        <v>1.33</v>
      </c>
      <c r="H1015" s="39"/>
      <c r="I1015" s="39"/>
      <c r="J1015" s="39"/>
      <c r="K1015" s="39"/>
      <c r="L1015" s="39"/>
      <c r="M1015" s="39"/>
      <c r="N1015" s="39"/>
      <c r="O1015" s="39"/>
      <c r="P1015" s="39"/>
      <c r="Q1015" s="39">
        <v>1.33</v>
      </c>
      <c r="R1015" s="39"/>
      <c r="S1015" s="39"/>
      <c r="T1015" s="39"/>
      <c r="U1015" s="39"/>
      <c r="V1015" s="39"/>
      <c r="W1015" s="39"/>
      <c r="X1015" s="49" t="s">
        <v>273</v>
      </c>
      <c r="Y1015" s="50">
        <v>2417.125</v>
      </c>
      <c r="Z1015" s="51">
        <v>2000</v>
      </c>
      <c r="AA1015" s="52">
        <f t="shared" si="24"/>
        <v>0.827429280653669</v>
      </c>
      <c r="AB1015" s="12">
        <v>2000</v>
      </c>
      <c r="AC1015" s="12">
        <v>0</v>
      </c>
      <c r="AD1015" s="43"/>
      <c r="AE1015" s="43"/>
      <c r="AF1015" s="43"/>
      <c r="AG1015" s="43"/>
      <c r="AH1015" s="43"/>
      <c r="AI1015" s="43"/>
      <c r="AJ1015" s="43"/>
      <c r="AK1015" s="43"/>
      <c r="AL1015" s="43"/>
      <c r="AM1015" s="43"/>
      <c r="AN1015" s="43"/>
      <c r="AO1015" s="43"/>
      <c r="AP1015" s="43"/>
      <c r="AQ1015" s="43"/>
      <c r="AR1015" s="43"/>
      <c r="AS1015" s="43"/>
      <c r="AT1015" s="43"/>
      <c r="AU1015" s="43"/>
      <c r="AV1015" s="43"/>
    </row>
    <row r="1016" ht="15.75" spans="1:48">
      <c r="A1016" s="12">
        <v>1012</v>
      </c>
      <c r="B1016" s="44">
        <v>3919</v>
      </c>
      <c r="C1016" s="45" t="s">
        <v>137</v>
      </c>
      <c r="D1016" s="46"/>
      <c r="E1016" s="47" t="s">
        <v>113</v>
      </c>
      <c r="F1016" s="48">
        <v>7.5</v>
      </c>
      <c r="G1016" s="38">
        <v>0</v>
      </c>
      <c r="H1016" s="39"/>
      <c r="I1016" s="39"/>
      <c r="J1016" s="39"/>
      <c r="K1016" s="39"/>
      <c r="L1016" s="39"/>
      <c r="M1016" s="39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49" t="s">
        <v>140</v>
      </c>
      <c r="Y1016" s="50">
        <v>0</v>
      </c>
      <c r="Z1016" s="51"/>
      <c r="AA1016" s="52">
        <f t="shared" si="24"/>
        <v>0</v>
      </c>
      <c r="AB1016" s="12">
        <v>0</v>
      </c>
      <c r="AC1016" s="12">
        <v>0</v>
      </c>
      <c r="AD1016" s="43"/>
      <c r="AE1016" s="43"/>
      <c r="AF1016" s="43"/>
      <c r="AG1016" s="43"/>
      <c r="AH1016" s="43"/>
      <c r="AI1016" s="43"/>
      <c r="AJ1016" s="43"/>
      <c r="AK1016" s="43"/>
      <c r="AL1016" s="43"/>
      <c r="AM1016" s="43"/>
      <c r="AN1016" s="43"/>
      <c r="AO1016" s="43"/>
      <c r="AP1016" s="43"/>
      <c r="AQ1016" s="43"/>
      <c r="AR1016" s="43"/>
      <c r="AS1016" s="43"/>
      <c r="AT1016" s="43"/>
      <c r="AU1016" s="43"/>
      <c r="AV1016" s="43"/>
    </row>
    <row r="1017" ht="15.75" spans="1:48">
      <c r="A1017" s="12">
        <v>1013</v>
      </c>
      <c r="B1017" s="44">
        <v>2865</v>
      </c>
      <c r="C1017" s="45" t="s">
        <v>149</v>
      </c>
      <c r="D1017" s="46">
        <v>7</v>
      </c>
      <c r="E1017" s="47" t="s">
        <v>113</v>
      </c>
      <c r="F1017" s="48">
        <v>10.5</v>
      </c>
      <c r="G1017" s="38">
        <v>1.5</v>
      </c>
      <c r="H1017" s="39"/>
      <c r="I1017" s="39"/>
      <c r="J1017" s="39"/>
      <c r="K1017" s="39"/>
      <c r="L1017" s="39"/>
      <c r="M1017" s="39"/>
      <c r="N1017" s="39"/>
      <c r="O1017" s="39"/>
      <c r="P1017" s="39"/>
      <c r="Q1017" s="39">
        <v>1.33</v>
      </c>
      <c r="R1017" s="39"/>
      <c r="S1017" s="39"/>
      <c r="T1017" s="39"/>
      <c r="U1017" s="39">
        <v>0.17</v>
      </c>
      <c r="V1017" s="39"/>
      <c r="W1017" s="39"/>
      <c r="X1017" s="49" t="s">
        <v>95</v>
      </c>
      <c r="Y1017" s="50">
        <v>14700</v>
      </c>
      <c r="Z1017" s="51">
        <v>14700</v>
      </c>
      <c r="AA1017" s="52">
        <f t="shared" si="24"/>
        <v>1</v>
      </c>
      <c r="AB1017" s="12">
        <v>14700</v>
      </c>
      <c r="AC1017" s="12">
        <v>0</v>
      </c>
      <c r="AD1017" s="43"/>
      <c r="AE1017" s="43"/>
      <c r="AF1017" s="43"/>
      <c r="AG1017" s="43"/>
      <c r="AH1017" s="43"/>
      <c r="AI1017" s="43"/>
      <c r="AJ1017" s="43"/>
      <c r="AK1017" s="43"/>
      <c r="AL1017" s="43"/>
      <c r="AM1017" s="43"/>
      <c r="AN1017" s="43"/>
      <c r="AO1017" s="43"/>
      <c r="AP1017" s="43"/>
      <c r="AQ1017" s="43"/>
      <c r="AR1017" s="43"/>
      <c r="AS1017" s="43"/>
      <c r="AT1017" s="43"/>
      <c r="AU1017" s="43"/>
      <c r="AV1017" s="43"/>
    </row>
    <row r="1018" ht="15.75" spans="1:48">
      <c r="A1018" s="12">
        <v>1014</v>
      </c>
      <c r="B1018" s="44">
        <v>4335</v>
      </c>
      <c r="C1018" s="45" t="s">
        <v>154</v>
      </c>
      <c r="D1018" s="46">
        <v>2</v>
      </c>
      <c r="E1018" s="47" t="s">
        <v>113</v>
      </c>
      <c r="F1018" s="48">
        <v>2.67</v>
      </c>
      <c r="G1018" s="38">
        <v>1.33</v>
      </c>
      <c r="H1018" s="39"/>
      <c r="I1018" s="39"/>
      <c r="J1018" s="39"/>
      <c r="K1018" s="39"/>
      <c r="L1018" s="39"/>
      <c r="M1018" s="39"/>
      <c r="N1018" s="39"/>
      <c r="O1018" s="39"/>
      <c r="P1018" s="39"/>
      <c r="Q1018" s="39">
        <v>1.33</v>
      </c>
      <c r="R1018" s="39"/>
      <c r="S1018" s="39"/>
      <c r="T1018" s="39"/>
      <c r="U1018" s="39"/>
      <c r="V1018" s="39"/>
      <c r="W1018" s="39"/>
      <c r="X1018" s="49">
        <v>8234</v>
      </c>
      <c r="Y1018" s="50">
        <v>1762.2</v>
      </c>
      <c r="Z1018" s="51">
        <v>2400</v>
      </c>
      <c r="AA1018" s="52">
        <f t="shared" si="24"/>
        <v>1.36193394620361</v>
      </c>
      <c r="AB1018" s="12">
        <v>2400</v>
      </c>
      <c r="AC1018" s="12">
        <v>0</v>
      </c>
      <c r="AD1018" s="43"/>
      <c r="AE1018" s="43"/>
      <c r="AF1018" s="43"/>
      <c r="AG1018" s="43"/>
      <c r="AH1018" s="43"/>
      <c r="AI1018" s="43"/>
      <c r="AJ1018" s="43"/>
      <c r="AK1018" s="43"/>
      <c r="AL1018" s="43"/>
      <c r="AM1018" s="43"/>
      <c r="AN1018" s="43"/>
      <c r="AO1018" s="43"/>
      <c r="AP1018" s="43"/>
      <c r="AQ1018" s="43"/>
      <c r="AR1018" s="43"/>
      <c r="AS1018" s="43"/>
      <c r="AT1018" s="43"/>
      <c r="AU1018" s="43"/>
      <c r="AV1018" s="43"/>
    </row>
    <row r="1019" ht="15.75" spans="1:48">
      <c r="A1019" s="12">
        <v>1015</v>
      </c>
      <c r="B1019" s="44">
        <v>4335</v>
      </c>
      <c r="C1019" s="45" t="s">
        <v>154</v>
      </c>
      <c r="D1019" s="46"/>
      <c r="E1019" s="47" t="s">
        <v>113</v>
      </c>
      <c r="F1019" s="48">
        <v>4.33</v>
      </c>
      <c r="G1019" s="38">
        <v>0</v>
      </c>
      <c r="H1019" s="39"/>
      <c r="I1019" s="39"/>
      <c r="J1019" s="39"/>
      <c r="K1019" s="39"/>
      <c r="L1019" s="39"/>
      <c r="M1019" s="39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49" t="s">
        <v>155</v>
      </c>
      <c r="Y1019" s="50">
        <v>0</v>
      </c>
      <c r="Z1019" s="51"/>
      <c r="AA1019" s="52">
        <f t="shared" si="24"/>
        <v>0</v>
      </c>
      <c r="AB1019" s="12">
        <v>0</v>
      </c>
      <c r="AC1019" s="12">
        <v>0</v>
      </c>
      <c r="AD1019" s="43"/>
      <c r="AE1019" s="43"/>
      <c r="AF1019" s="43"/>
      <c r="AG1019" s="43"/>
      <c r="AH1019" s="43"/>
      <c r="AI1019" s="43"/>
      <c r="AJ1019" s="43"/>
      <c r="AK1019" s="43"/>
      <c r="AL1019" s="43"/>
      <c r="AM1019" s="43"/>
      <c r="AN1019" s="43"/>
      <c r="AO1019" s="43"/>
      <c r="AP1019" s="43"/>
      <c r="AQ1019" s="43"/>
      <c r="AR1019" s="43"/>
      <c r="AS1019" s="43"/>
      <c r="AT1019" s="43"/>
      <c r="AU1019" s="43"/>
      <c r="AV1019" s="43"/>
    </row>
    <row r="1020" ht="15.75" spans="1:48">
      <c r="A1020" s="12">
        <v>1016</v>
      </c>
      <c r="B1020" s="44">
        <v>4342</v>
      </c>
      <c r="C1020" s="45" t="s">
        <v>147</v>
      </c>
      <c r="D1020" s="46"/>
      <c r="E1020" s="47" t="s">
        <v>113</v>
      </c>
      <c r="F1020" s="48">
        <v>9.83</v>
      </c>
      <c r="G1020" s="38">
        <v>2.17</v>
      </c>
      <c r="H1020" s="39"/>
      <c r="I1020" s="39"/>
      <c r="J1020" s="39"/>
      <c r="K1020" s="39"/>
      <c r="L1020" s="39"/>
      <c r="M1020" s="39"/>
      <c r="N1020" s="39"/>
      <c r="O1020" s="39"/>
      <c r="P1020" s="39"/>
      <c r="Q1020" s="39">
        <v>1.33</v>
      </c>
      <c r="R1020" s="39"/>
      <c r="S1020" s="39">
        <v>0.67</v>
      </c>
      <c r="T1020" s="39"/>
      <c r="U1020" s="39">
        <v>0.17</v>
      </c>
      <c r="V1020" s="39"/>
      <c r="W1020" s="39"/>
      <c r="X1020" s="49" t="s">
        <v>98</v>
      </c>
      <c r="Y1020" s="50">
        <v>4620.1</v>
      </c>
      <c r="Z1020" s="51">
        <v>4500</v>
      </c>
      <c r="AA1020" s="52">
        <f t="shared" si="24"/>
        <v>0.974004891669011</v>
      </c>
      <c r="AB1020" s="12">
        <v>4500</v>
      </c>
      <c r="AC1020" s="12">
        <v>0</v>
      </c>
      <c r="AD1020" s="43"/>
      <c r="AE1020" s="43"/>
      <c r="AF1020" s="43"/>
      <c r="AG1020" s="43"/>
      <c r="AH1020" s="43"/>
      <c r="AI1020" s="43"/>
      <c r="AJ1020" s="43"/>
      <c r="AK1020" s="43"/>
      <c r="AL1020" s="43"/>
      <c r="AM1020" s="43"/>
      <c r="AN1020" s="43"/>
      <c r="AO1020" s="43"/>
      <c r="AP1020" s="43"/>
      <c r="AQ1020" s="43"/>
      <c r="AR1020" s="43"/>
      <c r="AS1020" s="43"/>
      <c r="AT1020" s="43"/>
      <c r="AU1020" s="43"/>
      <c r="AV1020" s="43"/>
    </row>
    <row r="1021" ht="15.75" spans="1:48">
      <c r="A1021" s="12">
        <v>1017</v>
      </c>
      <c r="B1021" s="44">
        <v>4384</v>
      </c>
      <c r="C1021" s="45" t="s">
        <v>145</v>
      </c>
      <c r="D1021" s="46">
        <v>21</v>
      </c>
      <c r="E1021" s="47" t="s">
        <v>113</v>
      </c>
      <c r="F1021" s="48">
        <v>10.5</v>
      </c>
      <c r="G1021" s="38">
        <v>1.5</v>
      </c>
      <c r="H1021" s="39"/>
      <c r="I1021" s="39"/>
      <c r="J1021" s="39"/>
      <c r="K1021" s="39"/>
      <c r="L1021" s="39"/>
      <c r="M1021" s="39"/>
      <c r="N1021" s="39"/>
      <c r="O1021" s="39"/>
      <c r="P1021" s="39"/>
      <c r="Q1021" s="39">
        <v>1.33</v>
      </c>
      <c r="R1021" s="39"/>
      <c r="S1021" s="39"/>
      <c r="T1021" s="39"/>
      <c r="U1021" s="39">
        <v>0.17</v>
      </c>
      <c r="V1021" s="39"/>
      <c r="W1021" s="39"/>
      <c r="X1021" s="49" t="s">
        <v>222</v>
      </c>
      <c r="Y1021" s="50">
        <v>15225</v>
      </c>
      <c r="Z1021" s="51">
        <v>14913</v>
      </c>
      <c r="AA1021" s="52">
        <f t="shared" si="24"/>
        <v>0.979507389162562</v>
      </c>
      <c r="AB1021" s="12">
        <v>14913</v>
      </c>
      <c r="AC1021" s="12">
        <v>0</v>
      </c>
      <c r="AD1021" s="43"/>
      <c r="AE1021" s="43"/>
      <c r="AF1021" s="43"/>
      <c r="AG1021" s="43"/>
      <c r="AH1021" s="43"/>
      <c r="AI1021" s="43"/>
      <c r="AJ1021" s="43"/>
      <c r="AK1021" s="43"/>
      <c r="AL1021" s="43"/>
      <c r="AM1021" s="43"/>
      <c r="AN1021" s="43"/>
      <c r="AO1021" s="43"/>
      <c r="AP1021" s="43"/>
      <c r="AQ1021" s="43"/>
      <c r="AR1021" s="43"/>
      <c r="AS1021" s="43"/>
      <c r="AT1021" s="43"/>
      <c r="AU1021" s="43"/>
      <c r="AV1021" s="43"/>
    </row>
    <row r="1022" ht="15.75" spans="1:48">
      <c r="A1022" s="12">
        <v>1018</v>
      </c>
      <c r="B1022" s="44">
        <v>4110</v>
      </c>
      <c r="C1022" s="45" t="s">
        <v>135</v>
      </c>
      <c r="D1022" s="46">
        <v>8</v>
      </c>
      <c r="E1022" s="47" t="s">
        <v>113</v>
      </c>
      <c r="F1022" s="48">
        <v>10</v>
      </c>
      <c r="G1022" s="38">
        <v>2</v>
      </c>
      <c r="H1022" s="39"/>
      <c r="I1022" s="39"/>
      <c r="J1022" s="39">
        <v>0.17</v>
      </c>
      <c r="K1022" s="39"/>
      <c r="L1022" s="39"/>
      <c r="M1022" s="39"/>
      <c r="N1022" s="39"/>
      <c r="O1022" s="39"/>
      <c r="P1022" s="39"/>
      <c r="Q1022" s="39">
        <v>1.33</v>
      </c>
      <c r="R1022" s="39"/>
      <c r="S1022" s="39"/>
      <c r="T1022" s="39">
        <v>0.33</v>
      </c>
      <c r="U1022" s="39">
        <v>0.17</v>
      </c>
      <c r="V1022" s="39"/>
      <c r="W1022" s="39"/>
      <c r="X1022" s="49">
        <v>9968</v>
      </c>
      <c r="Y1022" s="50">
        <v>6050</v>
      </c>
      <c r="Z1022" s="51">
        <v>5816</v>
      </c>
      <c r="AA1022" s="52">
        <f t="shared" si="24"/>
        <v>0.961322314049587</v>
      </c>
      <c r="AB1022" s="12">
        <v>5675</v>
      </c>
      <c r="AC1022" s="12">
        <v>141</v>
      </c>
      <c r="AD1022" s="19">
        <v>141</v>
      </c>
      <c r="AE1022" s="43"/>
      <c r="AF1022" s="43"/>
      <c r="AG1022" s="43"/>
      <c r="AH1022" s="43"/>
      <c r="AI1022" s="43"/>
      <c r="AJ1022" s="43"/>
      <c r="AK1022" s="43"/>
      <c r="AL1022" s="43"/>
      <c r="AM1022" s="43"/>
      <c r="AN1022" s="43"/>
      <c r="AO1022" s="43"/>
      <c r="AP1022" s="43"/>
      <c r="AQ1022" s="43"/>
      <c r="AR1022" s="43"/>
      <c r="AS1022" s="43"/>
      <c r="AT1022" s="43"/>
      <c r="AU1022" s="43"/>
      <c r="AV1022" s="43"/>
    </row>
    <row r="1023" ht="15.75" spans="1:48">
      <c r="A1023" s="12">
        <v>1019</v>
      </c>
      <c r="B1023" s="44">
        <v>4017</v>
      </c>
      <c r="C1023" s="45" t="s">
        <v>148</v>
      </c>
      <c r="D1023" s="46">
        <v>3</v>
      </c>
      <c r="E1023" s="47" t="s">
        <v>113</v>
      </c>
      <c r="F1023" s="48">
        <v>5.5</v>
      </c>
      <c r="G1023" s="38">
        <v>2</v>
      </c>
      <c r="H1023" s="39"/>
      <c r="I1023" s="39"/>
      <c r="J1023" s="39">
        <v>0.17</v>
      </c>
      <c r="K1023" s="39"/>
      <c r="L1023" s="39"/>
      <c r="M1023" s="39"/>
      <c r="N1023" s="39"/>
      <c r="O1023" s="39"/>
      <c r="P1023" s="39"/>
      <c r="Q1023" s="39">
        <v>1.33</v>
      </c>
      <c r="R1023" s="39"/>
      <c r="S1023" s="39"/>
      <c r="T1023" s="39">
        <v>0.33</v>
      </c>
      <c r="U1023" s="39">
        <v>0.17</v>
      </c>
      <c r="V1023" s="39"/>
      <c r="W1023" s="39"/>
      <c r="X1023" s="49" t="s">
        <v>219</v>
      </c>
      <c r="Y1023" s="50">
        <v>2860</v>
      </c>
      <c r="Z1023" s="51">
        <v>2790</v>
      </c>
      <c r="AA1023" s="52">
        <f t="shared" si="24"/>
        <v>0.975524475524476</v>
      </c>
      <c r="AB1023" s="12">
        <v>2626</v>
      </c>
      <c r="AC1023" s="12">
        <v>164</v>
      </c>
      <c r="AD1023" s="19">
        <v>164</v>
      </c>
      <c r="AE1023" s="43"/>
      <c r="AF1023" s="43"/>
      <c r="AG1023" s="43"/>
      <c r="AH1023" s="43"/>
      <c r="AI1023" s="43"/>
      <c r="AJ1023" s="43"/>
      <c r="AK1023" s="43"/>
      <c r="AL1023" s="43"/>
      <c r="AM1023" s="43"/>
      <c r="AN1023" s="43"/>
      <c r="AO1023" s="43"/>
      <c r="AP1023" s="43"/>
      <c r="AQ1023" s="43"/>
      <c r="AR1023" s="43"/>
      <c r="AS1023" s="43"/>
      <c r="AT1023" s="43"/>
      <c r="AU1023" s="43"/>
      <c r="AV1023" s="43"/>
    </row>
    <row r="1024" ht="15.75" spans="1:48">
      <c r="A1024" s="12">
        <v>1020</v>
      </c>
      <c r="B1024" s="44">
        <v>4017</v>
      </c>
      <c r="C1024" s="45" t="s">
        <v>148</v>
      </c>
      <c r="D1024" s="46">
        <v>6</v>
      </c>
      <c r="E1024" s="47" t="s">
        <v>113</v>
      </c>
      <c r="F1024" s="48">
        <v>1.33</v>
      </c>
      <c r="G1024" s="38">
        <v>0.17</v>
      </c>
      <c r="H1024" s="39"/>
      <c r="I1024" s="39"/>
      <c r="J1024" s="39"/>
      <c r="K1024" s="39"/>
      <c r="L1024" s="39"/>
      <c r="M1024" s="39"/>
      <c r="N1024" s="39"/>
      <c r="O1024" s="39"/>
      <c r="P1024" s="39"/>
      <c r="Q1024" s="39"/>
      <c r="R1024" s="39"/>
      <c r="S1024" s="39"/>
      <c r="T1024" s="39">
        <v>0.17</v>
      </c>
      <c r="U1024" s="39"/>
      <c r="V1024" s="39"/>
      <c r="W1024" s="39"/>
      <c r="X1024" s="49">
        <v>8235</v>
      </c>
      <c r="Y1024" s="50">
        <v>877.8</v>
      </c>
      <c r="Z1024" s="51">
        <v>921</v>
      </c>
      <c r="AA1024" s="52">
        <f t="shared" si="24"/>
        <v>1.04921394395079</v>
      </c>
      <c r="AB1024" s="12">
        <v>885</v>
      </c>
      <c r="AC1024" s="12">
        <v>36</v>
      </c>
      <c r="AD1024" s="19">
        <v>36</v>
      </c>
      <c r="AE1024" s="43"/>
      <c r="AF1024" s="43"/>
      <c r="AG1024" s="43"/>
      <c r="AH1024" s="43"/>
      <c r="AI1024" s="43"/>
      <c r="AJ1024" s="43"/>
      <c r="AK1024" s="43"/>
      <c r="AL1024" s="43"/>
      <c r="AM1024" s="43"/>
      <c r="AN1024" s="43"/>
      <c r="AO1024" s="43"/>
      <c r="AP1024" s="43"/>
      <c r="AQ1024" s="43"/>
      <c r="AR1024" s="43"/>
      <c r="AS1024" s="43"/>
      <c r="AT1024" s="43"/>
      <c r="AU1024" s="43"/>
      <c r="AV1024" s="43"/>
    </row>
    <row r="1025" ht="15.75" spans="1:48">
      <c r="A1025" s="12">
        <v>1021</v>
      </c>
      <c r="B1025" s="44">
        <v>692</v>
      </c>
      <c r="C1025" s="45" t="s">
        <v>142</v>
      </c>
      <c r="D1025" s="46"/>
      <c r="E1025" s="47" t="s">
        <v>113</v>
      </c>
      <c r="F1025" s="48">
        <v>8</v>
      </c>
      <c r="G1025" s="38">
        <v>2</v>
      </c>
      <c r="H1025" s="39"/>
      <c r="I1025" s="39"/>
      <c r="J1025" s="39"/>
      <c r="K1025" s="39"/>
      <c r="L1025" s="39"/>
      <c r="M1025" s="39"/>
      <c r="N1025" s="39"/>
      <c r="O1025" s="39"/>
      <c r="P1025" s="39"/>
      <c r="Q1025" s="39">
        <v>1.33</v>
      </c>
      <c r="R1025" s="39"/>
      <c r="S1025" s="39">
        <v>0.5</v>
      </c>
      <c r="T1025" s="39"/>
      <c r="U1025" s="39">
        <v>0.17</v>
      </c>
      <c r="V1025" s="39"/>
      <c r="W1025" s="39"/>
      <c r="X1025" s="49" t="s">
        <v>98</v>
      </c>
      <c r="Y1025" s="50">
        <v>3760</v>
      </c>
      <c r="Z1025" s="51">
        <v>3600</v>
      </c>
      <c r="AA1025" s="52">
        <f t="shared" si="24"/>
        <v>0.957446808510638</v>
      </c>
      <c r="AB1025" s="12">
        <v>3600</v>
      </c>
      <c r="AC1025" s="12">
        <v>0</v>
      </c>
      <c r="AD1025" s="43"/>
      <c r="AE1025" s="43"/>
      <c r="AF1025" s="43"/>
      <c r="AG1025" s="43"/>
      <c r="AH1025" s="43"/>
      <c r="AI1025" s="43"/>
      <c r="AJ1025" s="43"/>
      <c r="AK1025" s="43"/>
      <c r="AL1025" s="43"/>
      <c r="AM1025" s="43"/>
      <c r="AN1025" s="43"/>
      <c r="AO1025" s="43"/>
      <c r="AP1025" s="43"/>
      <c r="AQ1025" s="43"/>
      <c r="AR1025" s="43"/>
      <c r="AS1025" s="43"/>
      <c r="AT1025" s="43"/>
      <c r="AU1025" s="43"/>
      <c r="AV1025" s="43"/>
    </row>
    <row r="1026" ht="15.75" spans="1:48">
      <c r="A1026" s="12">
        <v>1022</v>
      </c>
      <c r="B1026" s="44">
        <v>692</v>
      </c>
      <c r="C1026" s="45" t="s">
        <v>142</v>
      </c>
      <c r="D1026" s="46"/>
      <c r="E1026" s="47" t="s">
        <v>113</v>
      </c>
      <c r="F1026" s="48">
        <v>2</v>
      </c>
      <c r="G1026" s="38">
        <v>0</v>
      </c>
      <c r="H1026" s="39"/>
      <c r="I1026" s="39"/>
      <c r="J1026" s="39"/>
      <c r="K1026" s="39"/>
      <c r="L1026" s="39"/>
      <c r="M1026" s="39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49" t="s">
        <v>90</v>
      </c>
      <c r="Y1026" s="50">
        <v>940</v>
      </c>
      <c r="Z1026" s="51">
        <v>900</v>
      </c>
      <c r="AA1026" s="52">
        <f t="shared" si="24"/>
        <v>0.957446808510638</v>
      </c>
      <c r="AB1026" s="12">
        <v>900</v>
      </c>
      <c r="AC1026" s="12">
        <v>0</v>
      </c>
      <c r="AD1026" s="43"/>
      <c r="AE1026" s="43"/>
      <c r="AF1026" s="43"/>
      <c r="AG1026" s="43"/>
      <c r="AH1026" s="43"/>
      <c r="AI1026" s="43"/>
      <c r="AJ1026" s="43"/>
      <c r="AK1026" s="43"/>
      <c r="AL1026" s="43"/>
      <c r="AM1026" s="43"/>
      <c r="AN1026" s="43"/>
      <c r="AO1026" s="43"/>
      <c r="AP1026" s="43"/>
      <c r="AQ1026" s="43"/>
      <c r="AR1026" s="43"/>
      <c r="AS1026" s="43"/>
      <c r="AT1026" s="43"/>
      <c r="AU1026" s="43"/>
      <c r="AV1026" s="43"/>
    </row>
    <row r="1027" ht="15.75" spans="1:48">
      <c r="A1027" s="12">
        <v>1023</v>
      </c>
      <c r="B1027" s="44">
        <v>4335</v>
      </c>
      <c r="C1027" s="45" t="s">
        <v>154</v>
      </c>
      <c r="D1027" s="46"/>
      <c r="E1027" s="47" t="s">
        <v>113</v>
      </c>
      <c r="F1027" s="48">
        <v>3.67</v>
      </c>
      <c r="G1027" s="38">
        <v>0</v>
      </c>
      <c r="H1027" s="39"/>
      <c r="I1027" s="39"/>
      <c r="J1027" s="39"/>
      <c r="K1027" s="39"/>
      <c r="L1027" s="39"/>
      <c r="M1027" s="39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49" t="s">
        <v>105</v>
      </c>
      <c r="Y1027" s="50">
        <v>2422.2</v>
      </c>
      <c r="Z1027" s="51">
        <v>2400</v>
      </c>
      <c r="AA1027" s="52">
        <f t="shared" si="24"/>
        <v>0.990834778300718</v>
      </c>
      <c r="AB1027" s="12">
        <v>2400</v>
      </c>
      <c r="AC1027" s="12">
        <v>0</v>
      </c>
      <c r="AD1027" s="43"/>
      <c r="AE1027" s="43"/>
      <c r="AF1027" s="43"/>
      <c r="AG1027" s="43"/>
      <c r="AH1027" s="43"/>
      <c r="AI1027" s="43"/>
      <c r="AJ1027" s="43"/>
      <c r="AK1027" s="43"/>
      <c r="AL1027" s="43"/>
      <c r="AM1027" s="43"/>
      <c r="AN1027" s="43"/>
      <c r="AO1027" s="43"/>
      <c r="AP1027" s="43"/>
      <c r="AQ1027" s="43"/>
      <c r="AR1027" s="43"/>
      <c r="AS1027" s="43"/>
      <c r="AT1027" s="43"/>
      <c r="AU1027" s="43"/>
      <c r="AV1027" s="43"/>
    </row>
    <row r="1028" ht="15.75" spans="1:48">
      <c r="A1028" s="12">
        <v>1024</v>
      </c>
      <c r="B1028" s="44">
        <v>4017</v>
      </c>
      <c r="C1028" s="45" t="s">
        <v>148</v>
      </c>
      <c r="D1028" s="46"/>
      <c r="E1028" s="47" t="s">
        <v>113</v>
      </c>
      <c r="F1028" s="48">
        <v>2.83</v>
      </c>
      <c r="G1028" s="38">
        <v>0</v>
      </c>
      <c r="H1028" s="39"/>
      <c r="I1028" s="39"/>
      <c r="J1028" s="39"/>
      <c r="K1028" s="39"/>
      <c r="L1028" s="39"/>
      <c r="M1028" s="39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49" t="s">
        <v>103</v>
      </c>
      <c r="Y1028" s="50">
        <v>2377.2</v>
      </c>
      <c r="Z1028" s="51">
        <v>2310</v>
      </c>
      <c r="AA1028" s="52">
        <f t="shared" si="24"/>
        <v>0.971731448763251</v>
      </c>
      <c r="AB1028" s="12">
        <v>2310</v>
      </c>
      <c r="AC1028" s="12">
        <v>0</v>
      </c>
      <c r="AD1028" s="43"/>
      <c r="AE1028" s="43"/>
      <c r="AF1028" s="43"/>
      <c r="AG1028" s="43"/>
      <c r="AH1028" s="43"/>
      <c r="AI1028" s="43"/>
      <c r="AJ1028" s="43"/>
      <c r="AK1028" s="43"/>
      <c r="AL1028" s="43"/>
      <c r="AM1028" s="43"/>
      <c r="AN1028" s="43"/>
      <c r="AO1028" s="43"/>
      <c r="AP1028" s="43"/>
      <c r="AQ1028" s="43"/>
      <c r="AR1028" s="43"/>
      <c r="AS1028" s="43"/>
      <c r="AT1028" s="43"/>
      <c r="AU1028" s="43"/>
      <c r="AV1028" s="43"/>
    </row>
    <row r="1029" ht="15.75" spans="1:48">
      <c r="A1029" s="12">
        <v>1025</v>
      </c>
      <c r="B1029" s="44">
        <v>4017</v>
      </c>
      <c r="C1029" s="45" t="s">
        <v>148</v>
      </c>
      <c r="D1029" s="46"/>
      <c r="E1029" s="47" t="s">
        <v>113</v>
      </c>
      <c r="F1029" s="48">
        <v>0.17</v>
      </c>
      <c r="G1029" s="38">
        <v>0</v>
      </c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49" t="s">
        <v>105</v>
      </c>
      <c r="Y1029" s="50">
        <v>112.2</v>
      </c>
      <c r="Z1029" s="51">
        <v>121</v>
      </c>
      <c r="AA1029" s="52">
        <f t="shared" si="24"/>
        <v>1.07843137254902</v>
      </c>
      <c r="AB1029" s="12">
        <v>121</v>
      </c>
      <c r="AC1029" s="12">
        <v>0</v>
      </c>
      <c r="AD1029" s="43"/>
      <c r="AE1029" s="43"/>
      <c r="AF1029" s="43"/>
      <c r="AG1029" s="43"/>
      <c r="AH1029" s="43"/>
      <c r="AI1029" s="43"/>
      <c r="AJ1029" s="43"/>
      <c r="AK1029" s="43"/>
      <c r="AL1029" s="43"/>
      <c r="AM1029" s="43"/>
      <c r="AN1029" s="43"/>
      <c r="AO1029" s="43"/>
      <c r="AP1029" s="43"/>
      <c r="AQ1029" s="43"/>
      <c r="AR1029" s="43"/>
      <c r="AS1029" s="43"/>
      <c r="AT1029" s="43"/>
      <c r="AU1029" s="43"/>
      <c r="AV1029" s="43"/>
    </row>
    <row r="1030" ht="15.75" spans="1:48">
      <c r="A1030" s="12">
        <v>1026</v>
      </c>
      <c r="B1030" s="44">
        <v>666</v>
      </c>
      <c r="C1030" s="45" t="s">
        <v>151</v>
      </c>
      <c r="D1030" s="46"/>
      <c r="E1030" s="47" t="s">
        <v>113</v>
      </c>
      <c r="F1030" s="48">
        <v>1</v>
      </c>
      <c r="G1030" s="38">
        <v>1.33</v>
      </c>
      <c r="H1030" s="39"/>
      <c r="I1030" s="39"/>
      <c r="J1030" s="39"/>
      <c r="K1030" s="39"/>
      <c r="L1030" s="39"/>
      <c r="M1030" s="39"/>
      <c r="N1030" s="39"/>
      <c r="O1030" s="39"/>
      <c r="P1030" s="39"/>
      <c r="Q1030" s="39">
        <v>1.33</v>
      </c>
      <c r="R1030" s="39"/>
      <c r="S1030" s="39"/>
      <c r="T1030" s="39"/>
      <c r="U1030" s="39"/>
      <c r="V1030" s="39"/>
      <c r="W1030" s="39"/>
      <c r="X1030" s="49" t="s">
        <v>100</v>
      </c>
      <c r="Y1030" s="50">
        <v>1920</v>
      </c>
      <c r="Z1030" s="51">
        <v>1980</v>
      </c>
      <c r="AA1030" s="52">
        <f t="shared" si="24"/>
        <v>1.03125</v>
      </c>
      <c r="AB1030" s="12">
        <v>1980</v>
      </c>
      <c r="AC1030" s="12">
        <v>0</v>
      </c>
      <c r="AD1030" s="43"/>
      <c r="AE1030" s="43"/>
      <c r="AF1030" s="43"/>
      <c r="AG1030" s="43"/>
      <c r="AH1030" s="43"/>
      <c r="AI1030" s="43"/>
      <c r="AJ1030" s="43"/>
      <c r="AK1030" s="43"/>
      <c r="AL1030" s="43"/>
      <c r="AM1030" s="43"/>
      <c r="AN1030" s="43"/>
      <c r="AO1030" s="43"/>
      <c r="AP1030" s="43"/>
      <c r="AQ1030" s="43"/>
      <c r="AR1030" s="43"/>
      <c r="AS1030" s="43"/>
      <c r="AT1030" s="43"/>
      <c r="AU1030" s="43"/>
      <c r="AV1030" s="43"/>
    </row>
    <row r="1031" ht="15.75" spans="1:48">
      <c r="A1031" s="12">
        <v>1027</v>
      </c>
      <c r="B1031" s="44">
        <v>1733</v>
      </c>
      <c r="C1031" s="45" t="s">
        <v>153</v>
      </c>
      <c r="D1031" s="46"/>
      <c r="E1031" s="47" t="s">
        <v>113</v>
      </c>
      <c r="F1031" s="48">
        <v>9.34</v>
      </c>
      <c r="G1031" s="38">
        <v>1.33</v>
      </c>
      <c r="H1031" s="39"/>
      <c r="I1031" s="39"/>
      <c r="J1031" s="39"/>
      <c r="K1031" s="39"/>
      <c r="L1031" s="39"/>
      <c r="M1031" s="39"/>
      <c r="N1031" s="39"/>
      <c r="O1031" s="39"/>
      <c r="P1031" s="39"/>
      <c r="Q1031" s="39">
        <v>1.33</v>
      </c>
      <c r="R1031" s="39"/>
      <c r="S1031" s="39"/>
      <c r="T1031" s="39"/>
      <c r="U1031" s="39"/>
      <c r="V1031" s="39"/>
      <c r="W1031" s="39"/>
      <c r="X1031" s="49" t="s">
        <v>103</v>
      </c>
      <c r="Y1031" s="50">
        <v>7845.6</v>
      </c>
      <c r="Z1031" s="51">
        <v>6296</v>
      </c>
      <c r="AA1031" s="52">
        <f t="shared" si="24"/>
        <v>0.802488018762109</v>
      </c>
      <c r="AB1031" s="12">
        <v>6296</v>
      </c>
      <c r="AC1031" s="12">
        <v>0</v>
      </c>
      <c r="AD1031" s="43"/>
      <c r="AE1031" s="43"/>
      <c r="AF1031" s="43"/>
      <c r="AG1031" s="43"/>
      <c r="AH1031" s="43"/>
      <c r="AI1031" s="43"/>
      <c r="AJ1031" s="43"/>
      <c r="AK1031" s="43"/>
      <c r="AL1031" s="43"/>
      <c r="AM1031" s="43"/>
      <c r="AN1031" s="43"/>
      <c r="AO1031" s="43"/>
      <c r="AP1031" s="43"/>
      <c r="AQ1031" s="43"/>
      <c r="AR1031" s="43"/>
      <c r="AS1031" s="43"/>
      <c r="AT1031" s="43"/>
      <c r="AU1031" s="43"/>
      <c r="AV1031" s="43"/>
    </row>
    <row r="1032" ht="15.75" spans="1:48">
      <c r="A1032" s="12">
        <v>1028</v>
      </c>
      <c r="B1032" s="44">
        <v>1733</v>
      </c>
      <c r="C1032" s="45" t="s">
        <v>153</v>
      </c>
      <c r="D1032" s="46"/>
      <c r="E1032" s="47" t="s">
        <v>113</v>
      </c>
      <c r="F1032" s="48">
        <v>1.33</v>
      </c>
      <c r="G1032" s="38">
        <v>0</v>
      </c>
      <c r="H1032" s="39"/>
      <c r="I1032" s="39"/>
      <c r="J1032" s="39"/>
      <c r="K1032" s="39"/>
      <c r="L1032" s="39"/>
      <c r="M1032" s="39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49" t="s">
        <v>105</v>
      </c>
      <c r="Y1032" s="50">
        <v>877.8</v>
      </c>
      <c r="Z1032" s="51">
        <v>800</v>
      </c>
      <c r="AA1032" s="52">
        <f t="shared" si="24"/>
        <v>0.911369332421964</v>
      </c>
      <c r="AB1032" s="12">
        <v>800</v>
      </c>
      <c r="AC1032" s="12">
        <v>0</v>
      </c>
      <c r="AD1032" s="43"/>
      <c r="AE1032" s="43"/>
      <c r="AF1032" s="43"/>
      <c r="AG1032" s="43"/>
      <c r="AH1032" s="43"/>
      <c r="AI1032" s="43"/>
      <c r="AJ1032" s="43"/>
      <c r="AK1032" s="43"/>
      <c r="AL1032" s="43"/>
      <c r="AM1032" s="43"/>
      <c r="AN1032" s="43"/>
      <c r="AO1032" s="43"/>
      <c r="AP1032" s="43"/>
      <c r="AQ1032" s="43"/>
      <c r="AR1032" s="43"/>
      <c r="AS1032" s="43"/>
      <c r="AT1032" s="43"/>
      <c r="AU1032" s="43"/>
      <c r="AV1032" s="43"/>
    </row>
    <row r="1033" ht="15.75" spans="1:48">
      <c r="A1033" s="12">
        <v>1029</v>
      </c>
      <c r="B1033" s="44">
        <v>666</v>
      </c>
      <c r="C1033" s="45" t="s">
        <v>151</v>
      </c>
      <c r="D1033" s="46"/>
      <c r="E1033" s="47" t="s">
        <v>113</v>
      </c>
      <c r="F1033" s="48">
        <v>2.83</v>
      </c>
      <c r="G1033" s="38">
        <v>0.84</v>
      </c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  <c r="S1033" s="39">
        <v>0.67</v>
      </c>
      <c r="T1033" s="39"/>
      <c r="U1033" s="39">
        <v>0.17</v>
      </c>
      <c r="V1033" s="39"/>
      <c r="W1033" s="39"/>
      <c r="X1033" s="49" t="s">
        <v>152</v>
      </c>
      <c r="Y1033" s="50">
        <v>12310.5</v>
      </c>
      <c r="Z1033" s="51">
        <v>11200</v>
      </c>
      <c r="AA1033" s="52">
        <f t="shared" si="24"/>
        <v>0.909792453596523</v>
      </c>
      <c r="AB1033" s="12">
        <v>11200</v>
      </c>
      <c r="AC1033" s="12">
        <v>0</v>
      </c>
      <c r="AD1033" s="43"/>
      <c r="AE1033" s="43"/>
      <c r="AF1033" s="43"/>
      <c r="AG1033" s="43"/>
      <c r="AH1033" s="43"/>
      <c r="AI1033" s="43"/>
      <c r="AJ1033" s="43"/>
      <c r="AK1033" s="43"/>
      <c r="AL1033" s="43"/>
      <c r="AM1033" s="43"/>
      <c r="AN1033" s="43"/>
      <c r="AO1033" s="43"/>
      <c r="AP1033" s="43"/>
      <c r="AQ1033" s="43"/>
      <c r="AR1033" s="43"/>
      <c r="AS1033" s="43"/>
      <c r="AT1033" s="43"/>
      <c r="AU1033" s="43"/>
      <c r="AV1033" s="43"/>
    </row>
    <row r="1034" ht="15.75" spans="1:48">
      <c r="A1034" s="12">
        <v>1030</v>
      </c>
      <c r="B1034" s="44">
        <v>666</v>
      </c>
      <c r="C1034" s="45" t="s">
        <v>151</v>
      </c>
      <c r="D1034" s="46"/>
      <c r="E1034" s="47" t="s">
        <v>113</v>
      </c>
      <c r="F1034" s="48">
        <v>3</v>
      </c>
      <c r="G1034" s="38">
        <v>0</v>
      </c>
      <c r="H1034" s="39"/>
      <c r="I1034" s="39"/>
      <c r="J1034" s="39"/>
      <c r="K1034" s="39"/>
      <c r="L1034" s="39"/>
      <c r="M1034" s="39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49" t="s">
        <v>229</v>
      </c>
      <c r="Y1034" s="50">
        <v>11160</v>
      </c>
      <c r="Z1034" s="51">
        <v>9000</v>
      </c>
      <c r="AA1034" s="52">
        <f t="shared" si="24"/>
        <v>0.806451612903226</v>
      </c>
      <c r="AB1034" s="12">
        <v>9000</v>
      </c>
      <c r="AC1034" s="12">
        <v>0</v>
      </c>
      <c r="AD1034" s="43"/>
      <c r="AE1034" s="43"/>
      <c r="AF1034" s="43"/>
      <c r="AG1034" s="43"/>
      <c r="AH1034" s="43"/>
      <c r="AI1034" s="43"/>
      <c r="AJ1034" s="43"/>
      <c r="AK1034" s="43"/>
      <c r="AL1034" s="43"/>
      <c r="AM1034" s="43"/>
      <c r="AN1034" s="43"/>
      <c r="AO1034" s="43"/>
      <c r="AP1034" s="43"/>
      <c r="AQ1034" s="43"/>
      <c r="AR1034" s="43"/>
      <c r="AS1034" s="43"/>
      <c r="AT1034" s="43"/>
      <c r="AU1034" s="43"/>
      <c r="AV1034" s="43"/>
    </row>
    <row r="1035" ht="15.75" spans="1:48">
      <c r="A1035" s="12">
        <v>1031</v>
      </c>
      <c r="B1035" s="44">
        <v>666</v>
      </c>
      <c r="C1035" s="45" t="s">
        <v>151</v>
      </c>
      <c r="D1035" s="46"/>
      <c r="E1035" s="47" t="s">
        <v>113</v>
      </c>
      <c r="F1035" s="48">
        <v>3</v>
      </c>
      <c r="G1035" s="38">
        <v>0</v>
      </c>
      <c r="H1035" s="39"/>
      <c r="I1035" s="39"/>
      <c r="J1035" s="39"/>
      <c r="K1035" s="39"/>
      <c r="L1035" s="39"/>
      <c r="M1035" s="39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49" t="s">
        <v>101</v>
      </c>
      <c r="Y1035" s="50">
        <v>5760</v>
      </c>
      <c r="Z1035" s="51">
        <v>5400</v>
      </c>
      <c r="AA1035" s="52">
        <f t="shared" si="24"/>
        <v>0.9375</v>
      </c>
      <c r="AB1035" s="12">
        <v>5400</v>
      </c>
      <c r="AC1035" s="12">
        <v>0</v>
      </c>
      <c r="AD1035" s="43"/>
      <c r="AE1035" s="43"/>
      <c r="AF1035" s="43"/>
      <c r="AG1035" s="43"/>
      <c r="AH1035" s="43"/>
      <c r="AI1035" s="43"/>
      <c r="AJ1035" s="43"/>
      <c r="AK1035" s="43"/>
      <c r="AL1035" s="43"/>
      <c r="AM1035" s="43"/>
      <c r="AN1035" s="43"/>
      <c r="AO1035" s="43"/>
      <c r="AP1035" s="43"/>
      <c r="AQ1035" s="43"/>
      <c r="AR1035" s="43"/>
      <c r="AS1035" s="43"/>
      <c r="AT1035" s="43"/>
      <c r="AU1035" s="43"/>
      <c r="AV1035" s="43"/>
    </row>
    <row r="1036" ht="15.75" spans="1:48">
      <c r="A1036" s="12">
        <v>1032</v>
      </c>
      <c r="B1036" s="44">
        <v>2959</v>
      </c>
      <c r="C1036" s="45" t="s">
        <v>86</v>
      </c>
      <c r="D1036" s="46"/>
      <c r="E1036" s="47" t="s">
        <v>50</v>
      </c>
      <c r="F1036" s="48">
        <v>10.83</v>
      </c>
      <c r="G1036" s="38">
        <v>1.17</v>
      </c>
      <c r="H1036" s="39"/>
      <c r="I1036" s="39"/>
      <c r="J1036" s="39"/>
      <c r="K1036" s="39"/>
      <c r="L1036" s="39"/>
      <c r="M1036" s="39"/>
      <c r="N1036" s="39"/>
      <c r="O1036" s="39"/>
      <c r="P1036" s="39"/>
      <c r="Q1036" s="39">
        <v>1.17</v>
      </c>
      <c r="R1036" s="39"/>
      <c r="S1036" s="39"/>
      <c r="T1036" s="39"/>
      <c r="U1036" s="39"/>
      <c r="V1036" s="39"/>
      <c r="W1036" s="39"/>
      <c r="X1036" s="49" t="s">
        <v>140</v>
      </c>
      <c r="Y1036" s="50">
        <v>0</v>
      </c>
      <c r="Z1036" s="51"/>
      <c r="AA1036" s="52">
        <f t="shared" si="24"/>
        <v>0</v>
      </c>
      <c r="AB1036" s="12">
        <v>0</v>
      </c>
      <c r="AC1036" s="12">
        <v>0</v>
      </c>
      <c r="AD1036" s="43"/>
      <c r="AE1036" s="43"/>
      <c r="AF1036" s="43"/>
      <c r="AG1036" s="43"/>
      <c r="AH1036" s="43"/>
      <c r="AI1036" s="43"/>
      <c r="AJ1036" s="43"/>
      <c r="AK1036" s="43"/>
      <c r="AL1036" s="43"/>
      <c r="AM1036" s="43"/>
      <c r="AN1036" s="43"/>
      <c r="AO1036" s="43"/>
      <c r="AP1036" s="43"/>
      <c r="AQ1036" s="43"/>
      <c r="AR1036" s="43"/>
      <c r="AS1036" s="43"/>
      <c r="AT1036" s="43"/>
      <c r="AU1036" s="43"/>
      <c r="AV1036" s="43"/>
    </row>
    <row r="1037" ht="15.75" spans="1:48">
      <c r="A1037" s="12">
        <v>1033</v>
      </c>
      <c r="B1037" s="44">
        <v>4173</v>
      </c>
      <c r="C1037" s="45" t="s">
        <v>75</v>
      </c>
      <c r="D1037" s="46" t="s">
        <v>81</v>
      </c>
      <c r="E1037" s="47" t="s">
        <v>50</v>
      </c>
      <c r="F1037" s="48">
        <v>10.67</v>
      </c>
      <c r="G1037" s="38">
        <v>1.34</v>
      </c>
      <c r="H1037" s="39"/>
      <c r="I1037" s="39"/>
      <c r="J1037" s="39"/>
      <c r="K1037" s="39"/>
      <c r="L1037" s="39"/>
      <c r="M1037" s="39"/>
      <c r="N1037" s="39"/>
      <c r="O1037" s="39"/>
      <c r="P1037" s="39"/>
      <c r="Q1037" s="39">
        <v>1.17</v>
      </c>
      <c r="R1037" s="39"/>
      <c r="S1037" s="39"/>
      <c r="T1037" s="39"/>
      <c r="U1037" s="39">
        <v>0.17</v>
      </c>
      <c r="V1037" s="39"/>
      <c r="W1037" s="39"/>
      <c r="X1037" s="49" t="s">
        <v>201</v>
      </c>
      <c r="Y1037" s="50">
        <v>17338.75</v>
      </c>
      <c r="Z1037" s="51">
        <v>16790</v>
      </c>
      <c r="AA1037" s="52">
        <f t="shared" si="24"/>
        <v>0.968351236392474</v>
      </c>
      <c r="AB1037" s="12">
        <v>16780</v>
      </c>
      <c r="AC1037" s="12">
        <v>10</v>
      </c>
      <c r="AD1037" s="43"/>
      <c r="AE1037" s="43"/>
      <c r="AF1037" s="43"/>
      <c r="AG1037" s="19">
        <v>8</v>
      </c>
      <c r="AH1037" s="19">
        <v>2</v>
      </c>
      <c r="AI1037" s="43"/>
      <c r="AJ1037" s="43"/>
      <c r="AK1037" s="43"/>
      <c r="AL1037" s="43"/>
      <c r="AM1037" s="43"/>
      <c r="AN1037" s="43"/>
      <c r="AO1037" s="43"/>
      <c r="AP1037" s="43"/>
      <c r="AQ1037" s="43"/>
      <c r="AR1037" s="43"/>
      <c r="AS1037" s="43"/>
      <c r="AT1037" s="43"/>
      <c r="AU1037" s="43"/>
      <c r="AV1037" s="43"/>
    </row>
    <row r="1038" ht="15.75" spans="1:48">
      <c r="A1038" s="12">
        <v>1034</v>
      </c>
      <c r="B1038" s="44">
        <v>4185</v>
      </c>
      <c r="C1038" s="45" t="s">
        <v>72</v>
      </c>
      <c r="D1038" s="46" t="s">
        <v>83</v>
      </c>
      <c r="E1038" s="47" t="s">
        <v>50</v>
      </c>
      <c r="F1038" s="48">
        <v>9.83</v>
      </c>
      <c r="G1038" s="38">
        <v>2.17</v>
      </c>
      <c r="H1038" s="39"/>
      <c r="I1038" s="39"/>
      <c r="J1038" s="39"/>
      <c r="K1038" s="39">
        <v>0.67</v>
      </c>
      <c r="L1038" s="39"/>
      <c r="M1038" s="39"/>
      <c r="N1038" s="39"/>
      <c r="O1038" s="39"/>
      <c r="P1038" s="39"/>
      <c r="Q1038" s="39">
        <v>1.17</v>
      </c>
      <c r="R1038" s="39"/>
      <c r="S1038" s="39"/>
      <c r="T1038" s="39"/>
      <c r="U1038" s="39">
        <v>0.33</v>
      </c>
      <c r="V1038" s="39"/>
      <c r="W1038" s="39"/>
      <c r="X1038" s="49" t="s">
        <v>84</v>
      </c>
      <c r="Y1038" s="50">
        <v>49150</v>
      </c>
      <c r="Z1038" s="51">
        <v>43590</v>
      </c>
      <c r="AA1038" s="52">
        <f t="shared" si="24"/>
        <v>0.886876907426246</v>
      </c>
      <c r="AB1038" s="12">
        <v>43500</v>
      </c>
      <c r="AC1038" s="12">
        <v>90</v>
      </c>
      <c r="AD1038" s="43"/>
      <c r="AE1038" s="43"/>
      <c r="AF1038" s="43"/>
      <c r="AG1038" s="19">
        <v>90</v>
      </c>
      <c r="AH1038" s="43"/>
      <c r="AI1038" s="43"/>
      <c r="AJ1038" s="43"/>
      <c r="AK1038" s="43"/>
      <c r="AL1038" s="43"/>
      <c r="AM1038" s="43"/>
      <c r="AN1038" s="43"/>
      <c r="AO1038" s="43"/>
      <c r="AP1038" s="43"/>
      <c r="AQ1038" s="43"/>
      <c r="AR1038" s="43"/>
      <c r="AS1038" s="43"/>
      <c r="AT1038" s="43"/>
      <c r="AU1038" s="43"/>
      <c r="AV1038" s="43"/>
    </row>
    <row r="1039" ht="15.75" spans="1:48">
      <c r="A1039" s="12">
        <v>1035</v>
      </c>
      <c r="B1039" s="44">
        <v>4185</v>
      </c>
      <c r="C1039" s="45" t="s">
        <v>72</v>
      </c>
      <c r="D1039" s="46" t="s">
        <v>78</v>
      </c>
      <c r="E1039" s="47" t="s">
        <v>50</v>
      </c>
      <c r="F1039" s="48">
        <v>10</v>
      </c>
      <c r="G1039" s="38">
        <v>2</v>
      </c>
      <c r="H1039" s="39"/>
      <c r="I1039" s="39"/>
      <c r="J1039" s="39"/>
      <c r="K1039" s="39">
        <v>0.5</v>
      </c>
      <c r="L1039" s="39"/>
      <c r="M1039" s="39"/>
      <c r="N1039" s="39"/>
      <c r="O1039" s="39"/>
      <c r="P1039" s="39"/>
      <c r="Q1039" s="39">
        <v>1.17</v>
      </c>
      <c r="R1039" s="39"/>
      <c r="S1039" s="39"/>
      <c r="T1039" s="39"/>
      <c r="U1039" s="39">
        <v>0.33</v>
      </c>
      <c r="V1039" s="39"/>
      <c r="W1039" s="39"/>
      <c r="X1039" s="49" t="s">
        <v>79</v>
      </c>
      <c r="Y1039" s="50">
        <v>66600</v>
      </c>
      <c r="Z1039" s="51">
        <v>57984</v>
      </c>
      <c r="AA1039" s="52">
        <f t="shared" si="24"/>
        <v>0.870630630630631</v>
      </c>
      <c r="AB1039" s="12">
        <v>57888</v>
      </c>
      <c r="AC1039" s="12">
        <v>96</v>
      </c>
      <c r="AD1039" s="43"/>
      <c r="AE1039" s="43"/>
      <c r="AF1039" s="43"/>
      <c r="AG1039" s="19">
        <v>96</v>
      </c>
      <c r="AH1039" s="43"/>
      <c r="AI1039" s="43"/>
      <c r="AJ1039" s="43"/>
      <c r="AK1039" s="43"/>
      <c r="AL1039" s="43"/>
      <c r="AM1039" s="43"/>
      <c r="AN1039" s="43"/>
      <c r="AO1039" s="43"/>
      <c r="AP1039" s="43"/>
      <c r="AQ1039" s="43"/>
      <c r="AR1039" s="43"/>
      <c r="AS1039" s="43"/>
      <c r="AT1039" s="43"/>
      <c r="AU1039" s="43"/>
      <c r="AV1039" s="43"/>
    </row>
    <row r="1040" ht="15.75" spans="1:48">
      <c r="A1040" s="12">
        <v>1036</v>
      </c>
      <c r="B1040" s="44">
        <v>4185</v>
      </c>
      <c r="C1040" s="45" t="s">
        <v>72</v>
      </c>
      <c r="D1040" s="46" t="s">
        <v>76</v>
      </c>
      <c r="E1040" s="47" t="s">
        <v>50</v>
      </c>
      <c r="F1040" s="48">
        <v>9.83</v>
      </c>
      <c r="G1040" s="38">
        <v>2.17</v>
      </c>
      <c r="H1040" s="39"/>
      <c r="I1040" s="39"/>
      <c r="J1040" s="39"/>
      <c r="K1040" s="39">
        <v>0.67</v>
      </c>
      <c r="L1040" s="39"/>
      <c r="M1040" s="39"/>
      <c r="N1040" s="39"/>
      <c r="O1040" s="39"/>
      <c r="P1040" s="39"/>
      <c r="Q1040" s="39">
        <v>1.17</v>
      </c>
      <c r="R1040" s="39"/>
      <c r="S1040" s="39"/>
      <c r="T1040" s="39"/>
      <c r="U1040" s="39">
        <v>0.33</v>
      </c>
      <c r="V1040" s="39"/>
      <c r="W1040" s="39"/>
      <c r="X1040" s="49" t="s">
        <v>77</v>
      </c>
      <c r="Y1040" s="50">
        <v>58980</v>
      </c>
      <c r="Z1040" s="51">
        <v>54280</v>
      </c>
      <c r="AA1040" s="52">
        <f t="shared" si="24"/>
        <v>0.920311970159376</v>
      </c>
      <c r="AB1040" s="12">
        <v>54160</v>
      </c>
      <c r="AC1040" s="12">
        <v>120</v>
      </c>
      <c r="AD1040" s="43"/>
      <c r="AE1040" s="43"/>
      <c r="AF1040" s="43"/>
      <c r="AG1040" s="19">
        <v>120</v>
      </c>
      <c r="AH1040" s="43"/>
      <c r="AI1040" s="43"/>
      <c r="AJ1040" s="43"/>
      <c r="AK1040" s="43"/>
      <c r="AL1040" s="43"/>
      <c r="AM1040" s="43"/>
      <c r="AN1040" s="43"/>
      <c r="AO1040" s="43"/>
      <c r="AP1040" s="43"/>
      <c r="AQ1040" s="43"/>
      <c r="AR1040" s="43"/>
      <c r="AS1040" s="43"/>
      <c r="AT1040" s="43"/>
      <c r="AU1040" s="43"/>
      <c r="AV1040" s="43"/>
    </row>
    <row r="1041" ht="15.75" spans="1:48">
      <c r="A1041" s="12">
        <v>1037</v>
      </c>
      <c r="B1041" s="44">
        <v>3268</v>
      </c>
      <c r="C1041" s="45" t="s">
        <v>80</v>
      </c>
      <c r="D1041" s="46">
        <v>17</v>
      </c>
      <c r="E1041" s="47" t="s">
        <v>50</v>
      </c>
      <c r="F1041" s="48">
        <v>8.67</v>
      </c>
      <c r="G1041" s="38">
        <v>3.34</v>
      </c>
      <c r="H1041" s="39"/>
      <c r="I1041" s="39"/>
      <c r="J1041" s="39"/>
      <c r="K1041" s="39"/>
      <c r="L1041" s="39"/>
      <c r="M1041" s="39"/>
      <c r="N1041" s="39"/>
      <c r="O1041" s="39"/>
      <c r="P1041" s="39"/>
      <c r="Q1041" s="39">
        <v>1.17</v>
      </c>
      <c r="R1041" s="39"/>
      <c r="S1041" s="39">
        <v>0.67</v>
      </c>
      <c r="T1041" s="39">
        <v>1.33</v>
      </c>
      <c r="U1041" s="39">
        <v>0.17</v>
      </c>
      <c r="V1041" s="39"/>
      <c r="W1041" s="39"/>
      <c r="X1041" s="49">
        <v>977</v>
      </c>
      <c r="Y1041" s="50">
        <v>2601</v>
      </c>
      <c r="Z1041" s="51">
        <v>2389</v>
      </c>
      <c r="AA1041" s="52">
        <f t="shared" si="24"/>
        <v>0.918492887351019</v>
      </c>
      <c r="AB1041" s="12">
        <v>1750</v>
      </c>
      <c r="AC1041" s="12">
        <v>639</v>
      </c>
      <c r="AD1041" s="19">
        <v>639</v>
      </c>
      <c r="AE1041" s="43"/>
      <c r="AF1041" s="43"/>
      <c r="AG1041" s="43"/>
      <c r="AH1041" s="43"/>
      <c r="AI1041" s="43"/>
      <c r="AJ1041" s="43"/>
      <c r="AK1041" s="43"/>
      <c r="AL1041" s="43"/>
      <c r="AM1041" s="43"/>
      <c r="AN1041" s="43"/>
      <c r="AO1041" s="43"/>
      <c r="AP1041" s="43"/>
      <c r="AQ1041" s="43"/>
      <c r="AR1041" s="43"/>
      <c r="AS1041" s="43"/>
      <c r="AT1041" s="43"/>
      <c r="AU1041" s="43"/>
      <c r="AV1041" s="43"/>
    </row>
    <row r="1042" ht="15.75" spans="1:48">
      <c r="A1042" s="12">
        <v>1038</v>
      </c>
      <c r="B1042" s="44">
        <v>4490</v>
      </c>
      <c r="C1042" s="45" t="s">
        <v>91</v>
      </c>
      <c r="D1042" s="46">
        <v>2</v>
      </c>
      <c r="E1042" s="47" t="s">
        <v>50</v>
      </c>
      <c r="F1042" s="48">
        <v>8.17</v>
      </c>
      <c r="G1042" s="38">
        <v>2.34</v>
      </c>
      <c r="H1042" s="39"/>
      <c r="I1042" s="39"/>
      <c r="J1042" s="39"/>
      <c r="K1042" s="39"/>
      <c r="L1042" s="39"/>
      <c r="M1042" s="39"/>
      <c r="N1042" s="39"/>
      <c r="O1042" s="39"/>
      <c r="P1042" s="39"/>
      <c r="Q1042" s="39">
        <v>1.17</v>
      </c>
      <c r="R1042" s="39"/>
      <c r="S1042" s="39">
        <v>0.83</v>
      </c>
      <c r="T1042" s="39">
        <v>0.17</v>
      </c>
      <c r="U1042" s="39">
        <v>0.17</v>
      </c>
      <c r="V1042" s="39"/>
      <c r="W1042" s="39"/>
      <c r="X1042" s="49">
        <v>8234</v>
      </c>
      <c r="Y1042" s="50">
        <v>5392.2</v>
      </c>
      <c r="Z1042" s="51">
        <v>5627</v>
      </c>
      <c r="AA1042" s="52">
        <f t="shared" si="24"/>
        <v>1.0435443789177</v>
      </c>
      <c r="AB1042" s="12">
        <v>5606</v>
      </c>
      <c r="AC1042" s="12">
        <v>21</v>
      </c>
      <c r="AD1042" s="19">
        <v>21</v>
      </c>
      <c r="AE1042" s="43"/>
      <c r="AF1042" s="43"/>
      <c r="AG1042" s="43"/>
      <c r="AH1042" s="43"/>
      <c r="AI1042" s="43"/>
      <c r="AJ1042" s="43"/>
      <c r="AK1042" s="43"/>
      <c r="AL1042" s="43"/>
      <c r="AM1042" s="43"/>
      <c r="AN1042" s="43"/>
      <c r="AO1042" s="43"/>
      <c r="AP1042" s="43"/>
      <c r="AQ1042" s="43"/>
      <c r="AR1042" s="43"/>
      <c r="AS1042" s="43"/>
      <c r="AT1042" s="43"/>
      <c r="AU1042" s="43"/>
      <c r="AV1042" s="43"/>
    </row>
    <row r="1043" ht="15.75" spans="1:48">
      <c r="A1043" s="12">
        <v>1039</v>
      </c>
      <c r="B1043" s="44">
        <v>4360</v>
      </c>
      <c r="C1043" s="45" t="s">
        <v>97</v>
      </c>
      <c r="D1043" s="46">
        <v>6</v>
      </c>
      <c r="E1043" s="47" t="s">
        <v>50</v>
      </c>
      <c r="F1043" s="48">
        <v>9.17</v>
      </c>
      <c r="G1043" s="38">
        <v>2.84</v>
      </c>
      <c r="H1043" s="39"/>
      <c r="I1043" s="39"/>
      <c r="J1043" s="39"/>
      <c r="K1043" s="39"/>
      <c r="L1043" s="39"/>
      <c r="M1043" s="39"/>
      <c r="N1043" s="39"/>
      <c r="O1043" s="39"/>
      <c r="P1043" s="39"/>
      <c r="Q1043" s="39">
        <v>1.17</v>
      </c>
      <c r="R1043" s="39"/>
      <c r="S1043" s="39"/>
      <c r="T1043" s="39">
        <v>1.5</v>
      </c>
      <c r="U1043" s="39">
        <v>0.17</v>
      </c>
      <c r="V1043" s="39"/>
      <c r="W1043" s="39"/>
      <c r="X1043" s="49">
        <v>8235</v>
      </c>
      <c r="Y1043" s="50">
        <v>6052.2</v>
      </c>
      <c r="Z1043" s="51">
        <v>6387</v>
      </c>
      <c r="AA1043" s="52">
        <f t="shared" si="24"/>
        <v>1.05531872707445</v>
      </c>
      <c r="AB1043" s="12">
        <v>5920</v>
      </c>
      <c r="AC1043" s="12">
        <v>467</v>
      </c>
      <c r="AD1043" s="19">
        <v>467</v>
      </c>
      <c r="AE1043" s="43"/>
      <c r="AF1043" s="43"/>
      <c r="AG1043" s="43"/>
      <c r="AH1043" s="43"/>
      <c r="AI1043" s="43"/>
      <c r="AJ1043" s="43"/>
      <c r="AK1043" s="43"/>
      <c r="AL1043" s="43"/>
      <c r="AM1043" s="43"/>
      <c r="AN1043" s="43"/>
      <c r="AO1043" s="43"/>
      <c r="AP1043" s="43"/>
      <c r="AQ1043" s="43"/>
      <c r="AR1043" s="43"/>
      <c r="AS1043" s="43"/>
      <c r="AT1043" s="43"/>
      <c r="AU1043" s="43"/>
      <c r="AV1043" s="43"/>
    </row>
    <row r="1044" ht="15.75" spans="1:48">
      <c r="A1044" s="12">
        <v>1040</v>
      </c>
      <c r="B1044" s="44">
        <v>676</v>
      </c>
      <c r="C1044" s="45" t="s">
        <v>171</v>
      </c>
      <c r="D1044" s="46"/>
      <c r="E1044" s="47" t="s">
        <v>50</v>
      </c>
      <c r="F1044" s="48">
        <v>3</v>
      </c>
      <c r="G1044" s="38">
        <v>0</v>
      </c>
      <c r="H1044" s="39"/>
      <c r="I1044" s="39"/>
      <c r="J1044" s="39"/>
      <c r="K1044" s="39"/>
      <c r="L1044" s="39"/>
      <c r="M1044" s="39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49" t="s">
        <v>285</v>
      </c>
      <c r="Y1044" s="50">
        <v>1410</v>
      </c>
      <c r="Z1044" s="51">
        <v>1440</v>
      </c>
      <c r="AA1044" s="52">
        <f t="shared" si="24"/>
        <v>1.02127659574468</v>
      </c>
      <c r="AB1044" s="12">
        <v>1440</v>
      </c>
      <c r="AC1044" s="12">
        <v>0</v>
      </c>
      <c r="AD1044" s="43"/>
      <c r="AE1044" s="43"/>
      <c r="AF1044" s="43"/>
      <c r="AG1044" s="43"/>
      <c r="AH1044" s="43"/>
      <c r="AI1044" s="43"/>
      <c r="AJ1044" s="43"/>
      <c r="AK1044" s="43"/>
      <c r="AL1044" s="43"/>
      <c r="AM1044" s="43"/>
      <c r="AN1044" s="43"/>
      <c r="AO1044" s="43"/>
      <c r="AP1044" s="43"/>
      <c r="AQ1044" s="43"/>
      <c r="AR1044" s="43"/>
      <c r="AS1044" s="43"/>
      <c r="AT1044" s="43"/>
      <c r="AU1044" s="43"/>
      <c r="AV1044" s="43"/>
    </row>
    <row r="1045" ht="15.75" spans="1:48">
      <c r="A1045" s="12">
        <v>1041</v>
      </c>
      <c r="B1045" s="44">
        <v>4412</v>
      </c>
      <c r="C1045" s="45" t="s">
        <v>177</v>
      </c>
      <c r="D1045" s="46">
        <v>21</v>
      </c>
      <c r="E1045" s="47" t="s">
        <v>50</v>
      </c>
      <c r="F1045" s="48">
        <v>10.67</v>
      </c>
      <c r="G1045" s="38">
        <v>1.34</v>
      </c>
      <c r="H1045" s="39"/>
      <c r="I1045" s="39"/>
      <c r="J1045" s="39"/>
      <c r="K1045" s="39"/>
      <c r="L1045" s="39"/>
      <c r="M1045" s="39"/>
      <c r="N1045" s="39"/>
      <c r="O1045" s="39"/>
      <c r="P1045" s="39"/>
      <c r="Q1045" s="39">
        <v>1.17</v>
      </c>
      <c r="R1045" s="39"/>
      <c r="S1045" s="39"/>
      <c r="T1045" s="39"/>
      <c r="U1045" s="39">
        <v>0.17</v>
      </c>
      <c r="V1045" s="39"/>
      <c r="W1045" s="39"/>
      <c r="X1045" s="49" t="s">
        <v>222</v>
      </c>
      <c r="Y1045" s="50">
        <v>15471.5</v>
      </c>
      <c r="Z1045" s="51">
        <v>14400</v>
      </c>
      <c r="AA1045" s="52">
        <f t="shared" ref="AA1045:AA1073" si="25">IFERROR(Z1045/Y1045,0)</f>
        <v>0.930743625375691</v>
      </c>
      <c r="AB1045" s="12">
        <v>14400</v>
      </c>
      <c r="AC1045" s="12">
        <v>0</v>
      </c>
      <c r="AD1045" s="43"/>
      <c r="AE1045" s="43"/>
      <c r="AF1045" s="43"/>
      <c r="AG1045" s="43"/>
      <c r="AH1045" s="43"/>
      <c r="AI1045" s="43"/>
      <c r="AJ1045" s="43"/>
      <c r="AK1045" s="43"/>
      <c r="AL1045" s="43"/>
      <c r="AM1045" s="43"/>
      <c r="AN1045" s="43"/>
      <c r="AO1045" s="43"/>
      <c r="AP1045" s="43"/>
      <c r="AQ1045" s="43"/>
      <c r="AR1045" s="43"/>
      <c r="AS1045" s="43"/>
      <c r="AT1045" s="43"/>
      <c r="AU1045" s="43"/>
      <c r="AV1045" s="43"/>
    </row>
    <row r="1046" ht="15.75" spans="1:48">
      <c r="A1046" s="12">
        <v>1042</v>
      </c>
      <c r="B1046" s="44">
        <v>3277</v>
      </c>
      <c r="C1046" s="45" t="s">
        <v>106</v>
      </c>
      <c r="D1046" s="46"/>
      <c r="E1046" s="47" t="s">
        <v>50</v>
      </c>
      <c r="F1046" s="48">
        <v>10.83</v>
      </c>
      <c r="G1046" s="38">
        <v>1.17</v>
      </c>
      <c r="H1046" s="39"/>
      <c r="I1046" s="39"/>
      <c r="J1046" s="39"/>
      <c r="K1046" s="39"/>
      <c r="L1046" s="39"/>
      <c r="M1046" s="39"/>
      <c r="N1046" s="39"/>
      <c r="O1046" s="39"/>
      <c r="P1046" s="39"/>
      <c r="Q1046" s="39">
        <v>1.17</v>
      </c>
      <c r="R1046" s="39"/>
      <c r="S1046" s="39"/>
      <c r="T1046" s="39"/>
      <c r="U1046" s="39"/>
      <c r="V1046" s="39"/>
      <c r="W1046" s="39"/>
      <c r="X1046" s="49" t="s">
        <v>286</v>
      </c>
      <c r="Y1046" s="50">
        <v>0</v>
      </c>
      <c r="Z1046" s="51"/>
      <c r="AA1046" s="52">
        <f t="shared" si="25"/>
        <v>0</v>
      </c>
      <c r="AB1046" s="12">
        <v>0</v>
      </c>
      <c r="AC1046" s="12">
        <v>0</v>
      </c>
      <c r="AD1046" s="43"/>
      <c r="AE1046" s="43"/>
      <c r="AF1046" s="43"/>
      <c r="AG1046" s="43"/>
      <c r="AH1046" s="43"/>
      <c r="AI1046" s="43"/>
      <c r="AJ1046" s="43"/>
      <c r="AK1046" s="43"/>
      <c r="AL1046" s="43"/>
      <c r="AM1046" s="43"/>
      <c r="AN1046" s="43"/>
      <c r="AO1046" s="43"/>
      <c r="AP1046" s="43"/>
      <c r="AQ1046" s="43"/>
      <c r="AR1046" s="43"/>
      <c r="AS1046" s="43"/>
      <c r="AT1046" s="43"/>
      <c r="AU1046" s="43"/>
      <c r="AV1046" s="43"/>
    </row>
    <row r="1047" ht="15.75" spans="1:48">
      <c r="A1047" s="12">
        <v>1043</v>
      </c>
      <c r="B1047" s="44">
        <v>676</v>
      </c>
      <c r="C1047" s="45" t="s">
        <v>171</v>
      </c>
      <c r="D1047" s="46"/>
      <c r="E1047" s="47" t="s">
        <v>50</v>
      </c>
      <c r="F1047" s="48">
        <v>2</v>
      </c>
      <c r="G1047" s="38">
        <v>2.17</v>
      </c>
      <c r="H1047" s="39"/>
      <c r="I1047" s="39"/>
      <c r="J1047" s="39"/>
      <c r="K1047" s="39"/>
      <c r="L1047" s="39"/>
      <c r="M1047" s="39"/>
      <c r="N1047" s="39"/>
      <c r="O1047" s="39"/>
      <c r="P1047" s="39"/>
      <c r="Q1047" s="39">
        <v>1.17</v>
      </c>
      <c r="R1047" s="39"/>
      <c r="S1047" s="39">
        <v>1</v>
      </c>
      <c r="T1047" s="39"/>
      <c r="U1047" s="39"/>
      <c r="V1047" s="39"/>
      <c r="W1047" s="39"/>
      <c r="X1047" s="49" t="s">
        <v>98</v>
      </c>
      <c r="Y1047" s="50">
        <v>940</v>
      </c>
      <c r="Z1047" s="51">
        <v>900</v>
      </c>
      <c r="AA1047" s="52">
        <f t="shared" si="25"/>
        <v>0.957446808510638</v>
      </c>
      <c r="AB1047" s="12">
        <v>900</v>
      </c>
      <c r="AC1047" s="12">
        <v>0</v>
      </c>
      <c r="AD1047" s="43"/>
      <c r="AE1047" s="43"/>
      <c r="AF1047" s="43"/>
      <c r="AG1047" s="43"/>
      <c r="AH1047" s="43"/>
      <c r="AI1047" s="43"/>
      <c r="AJ1047" s="43"/>
      <c r="AK1047" s="43"/>
      <c r="AL1047" s="43"/>
      <c r="AM1047" s="43"/>
      <c r="AN1047" s="43"/>
      <c r="AO1047" s="43"/>
      <c r="AP1047" s="43"/>
      <c r="AQ1047" s="43"/>
      <c r="AR1047" s="43"/>
      <c r="AS1047" s="43"/>
      <c r="AT1047" s="43"/>
      <c r="AU1047" s="43"/>
      <c r="AV1047" s="43"/>
    </row>
    <row r="1048" ht="15.75" spans="1:48">
      <c r="A1048" s="12">
        <v>1044</v>
      </c>
      <c r="B1048" s="44">
        <v>676</v>
      </c>
      <c r="C1048" s="45" t="s">
        <v>171</v>
      </c>
      <c r="D1048" s="46"/>
      <c r="E1048" s="47" t="s">
        <v>50</v>
      </c>
      <c r="F1048" s="48">
        <v>4.83</v>
      </c>
      <c r="G1048" s="38">
        <v>0</v>
      </c>
      <c r="H1048" s="39"/>
      <c r="I1048" s="39"/>
      <c r="J1048" s="39"/>
      <c r="K1048" s="39"/>
      <c r="L1048" s="39"/>
      <c r="M1048" s="39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49" t="s">
        <v>90</v>
      </c>
      <c r="Y1048" s="50">
        <v>2270.1</v>
      </c>
      <c r="Z1048" s="51">
        <v>2160</v>
      </c>
      <c r="AA1048" s="52">
        <f t="shared" si="25"/>
        <v>0.951499933923616</v>
      </c>
      <c r="AB1048" s="12">
        <v>2160</v>
      </c>
      <c r="AC1048" s="12">
        <v>0</v>
      </c>
      <c r="AD1048" s="43"/>
      <c r="AE1048" s="43"/>
      <c r="AF1048" s="43"/>
      <c r="AG1048" s="43"/>
      <c r="AH1048" s="43"/>
      <c r="AI1048" s="43"/>
      <c r="AJ1048" s="43"/>
      <c r="AK1048" s="43"/>
      <c r="AL1048" s="43"/>
      <c r="AM1048" s="43"/>
      <c r="AN1048" s="43"/>
      <c r="AO1048" s="43"/>
      <c r="AP1048" s="43"/>
      <c r="AQ1048" s="43"/>
      <c r="AR1048" s="43"/>
      <c r="AS1048" s="43"/>
      <c r="AT1048" s="43"/>
      <c r="AU1048" s="43"/>
      <c r="AV1048" s="43"/>
    </row>
    <row r="1049" ht="15.75" spans="1:48">
      <c r="A1049" s="12">
        <v>1045</v>
      </c>
      <c r="B1049" s="44">
        <v>4489</v>
      </c>
      <c r="C1049" s="45" t="s">
        <v>88</v>
      </c>
      <c r="D1049" s="46">
        <v>18</v>
      </c>
      <c r="E1049" s="47" t="s">
        <v>50</v>
      </c>
      <c r="F1049" s="48">
        <v>9.5</v>
      </c>
      <c r="G1049" s="38">
        <v>2.01</v>
      </c>
      <c r="H1049" s="39"/>
      <c r="I1049" s="39"/>
      <c r="J1049" s="39"/>
      <c r="K1049" s="39">
        <v>0.17</v>
      </c>
      <c r="L1049" s="39"/>
      <c r="M1049" s="39"/>
      <c r="N1049" s="39"/>
      <c r="O1049" s="39"/>
      <c r="P1049" s="39"/>
      <c r="Q1049" s="39">
        <v>1.17</v>
      </c>
      <c r="R1049" s="39"/>
      <c r="S1049" s="39"/>
      <c r="T1049" s="39">
        <v>0.5</v>
      </c>
      <c r="U1049" s="39">
        <v>0.17</v>
      </c>
      <c r="V1049" s="39"/>
      <c r="W1049" s="39"/>
      <c r="X1049" s="49">
        <v>2801</v>
      </c>
      <c r="Y1049" s="50">
        <v>5747.5</v>
      </c>
      <c r="Z1049" s="51">
        <v>5852</v>
      </c>
      <c r="AA1049" s="52">
        <f t="shared" si="25"/>
        <v>1.01818181818182</v>
      </c>
      <c r="AB1049" s="12">
        <v>5519</v>
      </c>
      <c r="AC1049" s="12">
        <v>333</v>
      </c>
      <c r="AD1049" s="19">
        <v>333</v>
      </c>
      <c r="AE1049" s="43"/>
      <c r="AF1049" s="43"/>
      <c r="AG1049" s="43"/>
      <c r="AH1049" s="43"/>
      <c r="AI1049" s="43"/>
      <c r="AJ1049" s="43"/>
      <c r="AK1049" s="43"/>
      <c r="AL1049" s="43"/>
      <c r="AM1049" s="43"/>
      <c r="AN1049" s="43"/>
      <c r="AO1049" s="43"/>
      <c r="AP1049" s="43"/>
      <c r="AQ1049" s="43"/>
      <c r="AR1049" s="43"/>
      <c r="AS1049" s="43"/>
      <c r="AT1049" s="43"/>
      <c r="AU1049" s="43"/>
      <c r="AV1049" s="43"/>
    </row>
    <row r="1050" ht="15.75" spans="1:48">
      <c r="A1050" s="12">
        <v>1046</v>
      </c>
      <c r="B1050" s="44">
        <v>4310</v>
      </c>
      <c r="C1050" s="45" t="s">
        <v>99</v>
      </c>
      <c r="D1050" s="46">
        <v>5</v>
      </c>
      <c r="E1050" s="47" t="s">
        <v>50</v>
      </c>
      <c r="F1050" s="48">
        <v>10.67</v>
      </c>
      <c r="G1050" s="38">
        <v>1.34</v>
      </c>
      <c r="H1050" s="39"/>
      <c r="I1050" s="39"/>
      <c r="J1050" s="39"/>
      <c r="K1050" s="39"/>
      <c r="L1050" s="39"/>
      <c r="M1050" s="39"/>
      <c r="N1050" s="39"/>
      <c r="O1050" s="39"/>
      <c r="P1050" s="39"/>
      <c r="Q1050" s="39">
        <v>1.17</v>
      </c>
      <c r="R1050" s="39"/>
      <c r="S1050" s="39"/>
      <c r="T1050" s="39">
        <v>0.17</v>
      </c>
      <c r="U1050" s="39"/>
      <c r="V1050" s="39"/>
      <c r="W1050" s="39"/>
      <c r="X1050" s="49">
        <v>5770</v>
      </c>
      <c r="Y1050" s="50">
        <v>6455.35</v>
      </c>
      <c r="Z1050" s="51">
        <v>6231</v>
      </c>
      <c r="AA1050" s="52">
        <f t="shared" si="25"/>
        <v>0.965245881323243</v>
      </c>
      <c r="AB1050" s="12">
        <v>6000</v>
      </c>
      <c r="AC1050" s="12">
        <v>231</v>
      </c>
      <c r="AD1050" s="19">
        <v>231</v>
      </c>
      <c r="AE1050" s="43"/>
      <c r="AF1050" s="43"/>
      <c r="AG1050" s="43"/>
      <c r="AH1050" s="43"/>
      <c r="AI1050" s="43"/>
      <c r="AJ1050" s="43"/>
      <c r="AK1050" s="43"/>
      <c r="AL1050" s="43"/>
      <c r="AM1050" s="43"/>
      <c r="AN1050" s="43"/>
      <c r="AO1050" s="43"/>
      <c r="AP1050" s="43"/>
      <c r="AQ1050" s="43"/>
      <c r="AR1050" s="43"/>
      <c r="AS1050" s="43"/>
      <c r="AT1050" s="43"/>
      <c r="AU1050" s="43"/>
      <c r="AV1050" s="43"/>
    </row>
    <row r="1051" ht="15.75" spans="1:48">
      <c r="A1051" s="12">
        <v>1047</v>
      </c>
      <c r="B1051" s="44">
        <v>4382</v>
      </c>
      <c r="C1051" s="45" t="s">
        <v>173</v>
      </c>
      <c r="D1051" s="46"/>
      <c r="E1051" s="47" t="s">
        <v>50</v>
      </c>
      <c r="F1051" s="48">
        <v>8.17</v>
      </c>
      <c r="G1051" s="38">
        <v>1.34</v>
      </c>
      <c r="H1051" s="39"/>
      <c r="I1051" s="39"/>
      <c r="J1051" s="39"/>
      <c r="K1051" s="39"/>
      <c r="L1051" s="39"/>
      <c r="M1051" s="39"/>
      <c r="N1051" s="39"/>
      <c r="O1051" s="39"/>
      <c r="P1051" s="39"/>
      <c r="Q1051" s="39">
        <v>1.17</v>
      </c>
      <c r="R1051" s="39"/>
      <c r="S1051" s="39"/>
      <c r="T1051" s="39"/>
      <c r="U1051" s="39">
        <v>0.17</v>
      </c>
      <c r="V1051" s="39"/>
      <c r="W1051" s="39"/>
      <c r="X1051" s="49" t="s">
        <v>98</v>
      </c>
      <c r="Y1051" s="50">
        <v>3839.9</v>
      </c>
      <c r="Z1051" s="51">
        <v>3780</v>
      </c>
      <c r="AA1051" s="52">
        <f t="shared" si="25"/>
        <v>0.984400635433214</v>
      </c>
      <c r="AB1051" s="12">
        <v>3780</v>
      </c>
      <c r="AC1051" s="12">
        <v>0</v>
      </c>
      <c r="AD1051" s="43"/>
      <c r="AE1051" s="43"/>
      <c r="AF1051" s="43"/>
      <c r="AG1051" s="43"/>
      <c r="AH1051" s="43"/>
      <c r="AI1051" s="43"/>
      <c r="AJ1051" s="43"/>
      <c r="AK1051" s="43"/>
      <c r="AL1051" s="43"/>
      <c r="AM1051" s="43"/>
      <c r="AN1051" s="43"/>
      <c r="AO1051" s="43"/>
      <c r="AP1051" s="43"/>
      <c r="AQ1051" s="43"/>
      <c r="AR1051" s="43"/>
      <c r="AS1051" s="43"/>
      <c r="AT1051" s="43"/>
      <c r="AU1051" s="43"/>
      <c r="AV1051" s="43"/>
    </row>
    <row r="1052" ht="15.75" spans="1:48">
      <c r="A1052" s="12">
        <v>1048</v>
      </c>
      <c r="B1052" s="44">
        <v>4382</v>
      </c>
      <c r="C1052" s="45" t="s">
        <v>173</v>
      </c>
      <c r="D1052" s="46"/>
      <c r="E1052" s="47" t="s">
        <v>50</v>
      </c>
      <c r="F1052" s="48">
        <v>1.5</v>
      </c>
      <c r="G1052" s="38">
        <v>0</v>
      </c>
      <c r="H1052" s="39"/>
      <c r="I1052" s="39"/>
      <c r="J1052" s="39"/>
      <c r="K1052" s="39"/>
      <c r="L1052" s="39"/>
      <c r="M1052" s="39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49" t="s">
        <v>285</v>
      </c>
      <c r="Y1052" s="50">
        <v>705</v>
      </c>
      <c r="Z1052" s="51">
        <v>720</v>
      </c>
      <c r="AA1052" s="52">
        <f t="shared" si="25"/>
        <v>1.02127659574468</v>
      </c>
      <c r="AB1052" s="12">
        <v>720</v>
      </c>
      <c r="AC1052" s="12">
        <v>0</v>
      </c>
      <c r="AD1052" s="43"/>
      <c r="AE1052" s="43"/>
      <c r="AF1052" s="43"/>
      <c r="AG1052" s="43"/>
      <c r="AH1052" s="43"/>
      <c r="AI1052" s="43"/>
      <c r="AJ1052" s="43"/>
      <c r="AK1052" s="43"/>
      <c r="AL1052" s="43"/>
      <c r="AM1052" s="43"/>
      <c r="AN1052" s="43"/>
      <c r="AO1052" s="43"/>
      <c r="AP1052" s="43"/>
      <c r="AQ1052" s="43"/>
      <c r="AR1052" s="43"/>
      <c r="AS1052" s="43"/>
      <c r="AT1052" s="43"/>
      <c r="AU1052" s="43"/>
      <c r="AV1052" s="43"/>
    </row>
    <row r="1053" ht="15.75" spans="1:48">
      <c r="A1053" s="12">
        <v>1049</v>
      </c>
      <c r="B1053" s="44" t="s">
        <v>211</v>
      </c>
      <c r="C1053" s="45" t="s">
        <v>176</v>
      </c>
      <c r="D1053" s="46">
        <v>8</v>
      </c>
      <c r="E1053" s="47" t="s">
        <v>50</v>
      </c>
      <c r="F1053" s="48">
        <v>9.66</v>
      </c>
      <c r="G1053" s="38">
        <v>1.17</v>
      </c>
      <c r="H1053" s="39"/>
      <c r="I1053" s="39"/>
      <c r="J1053" s="39"/>
      <c r="K1053" s="39"/>
      <c r="L1053" s="39"/>
      <c r="M1053" s="39"/>
      <c r="N1053" s="39"/>
      <c r="O1053" s="39"/>
      <c r="P1053" s="39"/>
      <c r="Q1053" s="39">
        <v>1.17</v>
      </c>
      <c r="R1053" s="39"/>
      <c r="S1053" s="39"/>
      <c r="T1053" s="39"/>
      <c r="U1053" s="39"/>
      <c r="V1053" s="39"/>
      <c r="W1053" s="39"/>
      <c r="X1053" s="49">
        <v>9968</v>
      </c>
      <c r="Y1053" s="50">
        <v>5844.3</v>
      </c>
      <c r="Z1053" s="51">
        <v>5682</v>
      </c>
      <c r="AA1053" s="52">
        <f t="shared" si="25"/>
        <v>0.972229351675992</v>
      </c>
      <c r="AB1053" s="12">
        <v>5682</v>
      </c>
      <c r="AC1053" s="12">
        <v>0</v>
      </c>
      <c r="AD1053" s="43"/>
      <c r="AE1053" s="43"/>
      <c r="AF1053" s="43"/>
      <c r="AG1053" s="43"/>
      <c r="AH1053" s="43"/>
      <c r="AI1053" s="43"/>
      <c r="AJ1053" s="43"/>
      <c r="AK1053" s="43"/>
      <c r="AL1053" s="43"/>
      <c r="AM1053" s="43"/>
      <c r="AN1053" s="43"/>
      <c r="AO1053" s="43"/>
      <c r="AP1053" s="43"/>
      <c r="AQ1053" s="43"/>
      <c r="AR1053" s="43"/>
      <c r="AS1053" s="43"/>
      <c r="AT1053" s="43"/>
      <c r="AU1053" s="43"/>
      <c r="AV1053" s="43"/>
    </row>
    <row r="1054" ht="15.75" spans="1:48">
      <c r="A1054" s="12">
        <v>1050</v>
      </c>
      <c r="B1054" s="44" t="s">
        <v>211</v>
      </c>
      <c r="C1054" s="45" t="s">
        <v>176</v>
      </c>
      <c r="D1054" s="46"/>
      <c r="E1054" s="47" t="s">
        <v>50</v>
      </c>
      <c r="F1054" s="48">
        <v>1.17</v>
      </c>
      <c r="G1054" s="38">
        <v>0</v>
      </c>
      <c r="H1054" s="39"/>
      <c r="I1054" s="39"/>
      <c r="J1054" s="39"/>
      <c r="K1054" s="39"/>
      <c r="L1054" s="39"/>
      <c r="M1054" s="39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49" t="s">
        <v>103</v>
      </c>
      <c r="Y1054" s="50">
        <v>982.8</v>
      </c>
      <c r="Z1054" s="51">
        <v>882</v>
      </c>
      <c r="AA1054" s="52">
        <f t="shared" si="25"/>
        <v>0.897435897435897</v>
      </c>
      <c r="AB1054" s="12">
        <v>882</v>
      </c>
      <c r="AC1054" s="12">
        <v>0</v>
      </c>
      <c r="AD1054" s="43"/>
      <c r="AE1054" s="43"/>
      <c r="AF1054" s="43"/>
      <c r="AG1054" s="43"/>
      <c r="AH1054" s="43"/>
      <c r="AI1054" s="43"/>
      <c r="AJ1054" s="43"/>
      <c r="AK1054" s="43"/>
      <c r="AL1054" s="43"/>
      <c r="AM1054" s="43"/>
      <c r="AN1054" s="43"/>
      <c r="AO1054" s="43"/>
      <c r="AP1054" s="43"/>
      <c r="AQ1054" s="43"/>
      <c r="AR1054" s="43"/>
      <c r="AS1054" s="43"/>
      <c r="AT1054" s="43"/>
      <c r="AU1054" s="43"/>
      <c r="AV1054" s="43"/>
    </row>
    <row r="1055" ht="15.75" spans="1:48">
      <c r="A1055" s="12">
        <v>1051</v>
      </c>
      <c r="B1055" s="44">
        <v>959</v>
      </c>
      <c r="C1055" s="45" t="s">
        <v>168</v>
      </c>
      <c r="D1055" s="46"/>
      <c r="E1055" s="47" t="s">
        <v>50</v>
      </c>
      <c r="F1055" s="48">
        <v>6.67</v>
      </c>
      <c r="G1055" s="38">
        <v>1.33</v>
      </c>
      <c r="H1055" s="39"/>
      <c r="I1055" s="39"/>
      <c r="J1055" s="39"/>
      <c r="K1055" s="39"/>
      <c r="L1055" s="39"/>
      <c r="M1055" s="39"/>
      <c r="N1055" s="39"/>
      <c r="O1055" s="39"/>
      <c r="P1055" s="39"/>
      <c r="Q1055" s="39">
        <v>0.83</v>
      </c>
      <c r="R1055" s="39"/>
      <c r="S1055" s="39"/>
      <c r="T1055" s="39"/>
      <c r="U1055" s="39"/>
      <c r="V1055" s="39"/>
      <c r="W1055" s="39">
        <v>0.5</v>
      </c>
      <c r="X1055" s="49" t="s">
        <v>105</v>
      </c>
      <c r="Y1055" s="50">
        <v>4402.2</v>
      </c>
      <c r="Z1055" s="51">
        <v>4600</v>
      </c>
      <c r="AA1055" s="52">
        <f t="shared" si="25"/>
        <v>1.04493207941484</v>
      </c>
      <c r="AB1055" s="12">
        <v>4600</v>
      </c>
      <c r="AC1055" s="12">
        <v>0</v>
      </c>
      <c r="AD1055" s="43"/>
      <c r="AE1055" s="43"/>
      <c r="AF1055" s="43"/>
      <c r="AG1055" s="43"/>
      <c r="AH1055" s="43"/>
      <c r="AI1055" s="43"/>
      <c r="AJ1055" s="43"/>
      <c r="AK1055" s="43"/>
      <c r="AL1055" s="43"/>
      <c r="AM1055" s="43"/>
      <c r="AN1055" s="43"/>
      <c r="AO1055" s="43"/>
      <c r="AP1055" s="43"/>
      <c r="AQ1055" s="43"/>
      <c r="AR1055" s="43"/>
      <c r="AS1055" s="43"/>
      <c r="AT1055" s="43"/>
      <c r="AU1055" s="43"/>
      <c r="AV1055" s="43"/>
    </row>
    <row r="1056" ht="15.75" spans="1:48">
      <c r="A1056" s="12">
        <v>1052</v>
      </c>
      <c r="B1056" s="44">
        <v>849</v>
      </c>
      <c r="C1056" s="45" t="s">
        <v>108</v>
      </c>
      <c r="D1056" s="46"/>
      <c r="E1056" s="47" t="s">
        <v>50</v>
      </c>
      <c r="F1056" s="48">
        <v>7.17</v>
      </c>
      <c r="G1056" s="38">
        <v>0.83</v>
      </c>
      <c r="H1056" s="39"/>
      <c r="I1056" s="39"/>
      <c r="J1056" s="39"/>
      <c r="K1056" s="39"/>
      <c r="L1056" s="39"/>
      <c r="M1056" s="39"/>
      <c r="N1056" s="39"/>
      <c r="O1056" s="39"/>
      <c r="P1056" s="39"/>
      <c r="Q1056" s="39">
        <v>0.83</v>
      </c>
      <c r="R1056" s="39"/>
      <c r="S1056" s="39"/>
      <c r="T1056" s="39"/>
      <c r="U1056" s="39"/>
      <c r="V1056" s="39"/>
      <c r="W1056" s="39"/>
      <c r="X1056" s="49" t="s">
        <v>103</v>
      </c>
      <c r="Y1056" s="50">
        <v>5119.38</v>
      </c>
      <c r="Z1056" s="51">
        <v>4800</v>
      </c>
      <c r="AA1056" s="52">
        <f t="shared" si="25"/>
        <v>0.937613539139505</v>
      </c>
      <c r="AB1056" s="12">
        <v>4800</v>
      </c>
      <c r="AC1056" s="12">
        <v>0</v>
      </c>
      <c r="AD1056" s="43"/>
      <c r="AE1056" s="43"/>
      <c r="AF1056" s="43"/>
      <c r="AG1056" s="43"/>
      <c r="AH1056" s="43"/>
      <c r="AI1056" s="43"/>
      <c r="AJ1056" s="43"/>
      <c r="AK1056" s="43"/>
      <c r="AL1056" s="43"/>
      <c r="AM1056" s="43"/>
      <c r="AN1056" s="43"/>
      <c r="AO1056" s="43"/>
      <c r="AP1056" s="43"/>
      <c r="AQ1056" s="43"/>
      <c r="AR1056" s="43"/>
      <c r="AS1056" s="43"/>
      <c r="AT1056" s="43"/>
      <c r="AU1056" s="43"/>
      <c r="AV1056" s="43"/>
    </row>
    <row r="1057" ht="15.75" spans="1:48">
      <c r="A1057" s="12">
        <v>1053</v>
      </c>
      <c r="B1057" s="44">
        <v>850</v>
      </c>
      <c r="C1057" s="45" t="s">
        <v>109</v>
      </c>
      <c r="D1057" s="46"/>
      <c r="E1057" s="47" t="s">
        <v>50</v>
      </c>
      <c r="F1057" s="48">
        <v>7.17</v>
      </c>
      <c r="G1057" s="38">
        <v>0.83</v>
      </c>
      <c r="H1057" s="39"/>
      <c r="I1057" s="39"/>
      <c r="J1057" s="39"/>
      <c r="K1057" s="39"/>
      <c r="L1057" s="39"/>
      <c r="M1057" s="39"/>
      <c r="N1057" s="39"/>
      <c r="O1057" s="39"/>
      <c r="P1057" s="39"/>
      <c r="Q1057" s="39">
        <v>0.83</v>
      </c>
      <c r="R1057" s="39"/>
      <c r="S1057" s="39"/>
      <c r="T1057" s="39"/>
      <c r="U1057" s="39"/>
      <c r="V1057" s="39"/>
      <c r="W1057" s="39"/>
      <c r="X1057" s="49" t="s">
        <v>103</v>
      </c>
      <c r="Y1057" s="50">
        <v>5119.38</v>
      </c>
      <c r="Z1057" s="51">
        <v>5400</v>
      </c>
      <c r="AA1057" s="52">
        <f t="shared" si="25"/>
        <v>1.05481523153194</v>
      </c>
      <c r="AB1057" s="12">
        <v>5400</v>
      </c>
      <c r="AC1057" s="12">
        <v>0</v>
      </c>
      <c r="AD1057" s="43"/>
      <c r="AE1057" s="43"/>
      <c r="AF1057" s="43"/>
      <c r="AG1057" s="43"/>
      <c r="AH1057" s="43"/>
      <c r="AI1057" s="43"/>
      <c r="AJ1057" s="43"/>
      <c r="AK1057" s="43"/>
      <c r="AL1057" s="43"/>
      <c r="AM1057" s="43"/>
      <c r="AN1057" s="43"/>
      <c r="AO1057" s="43"/>
      <c r="AP1057" s="43"/>
      <c r="AQ1057" s="43"/>
      <c r="AR1057" s="43"/>
      <c r="AS1057" s="43"/>
      <c r="AT1057" s="43"/>
      <c r="AU1057" s="43"/>
      <c r="AV1057" s="43"/>
    </row>
    <row r="1058" ht="15.75" spans="1:48">
      <c r="A1058" s="12">
        <v>1054</v>
      </c>
      <c r="B1058" s="44">
        <v>4284</v>
      </c>
      <c r="C1058" s="45" t="s">
        <v>287</v>
      </c>
      <c r="D1058" s="46"/>
      <c r="E1058" s="47" t="s">
        <v>50</v>
      </c>
      <c r="F1058" s="48">
        <v>9</v>
      </c>
      <c r="G1058" s="38">
        <v>1</v>
      </c>
      <c r="H1058" s="39"/>
      <c r="I1058" s="39"/>
      <c r="J1058" s="39"/>
      <c r="K1058" s="39"/>
      <c r="L1058" s="39"/>
      <c r="M1058" s="39"/>
      <c r="N1058" s="39"/>
      <c r="O1058" s="39"/>
      <c r="P1058" s="39"/>
      <c r="Q1058" s="39">
        <v>1</v>
      </c>
      <c r="R1058" s="39"/>
      <c r="S1058" s="39"/>
      <c r="T1058" s="39"/>
      <c r="U1058" s="39"/>
      <c r="V1058" s="39"/>
      <c r="W1058" s="39"/>
      <c r="X1058" s="49" t="s">
        <v>103</v>
      </c>
      <c r="Y1058" s="50">
        <v>7560</v>
      </c>
      <c r="Z1058" s="51">
        <v>6000</v>
      </c>
      <c r="AA1058" s="52">
        <f t="shared" si="25"/>
        <v>0.793650793650794</v>
      </c>
      <c r="AB1058" s="12">
        <v>6000</v>
      </c>
      <c r="AC1058" s="12">
        <v>0</v>
      </c>
      <c r="AD1058" s="43"/>
      <c r="AE1058" s="43"/>
      <c r="AF1058" s="43"/>
      <c r="AG1058" s="43"/>
      <c r="AH1058" s="43"/>
      <c r="AI1058" s="43"/>
      <c r="AJ1058" s="43"/>
      <c r="AK1058" s="43"/>
      <c r="AL1058" s="43"/>
      <c r="AM1058" s="43"/>
      <c r="AN1058" s="43"/>
      <c r="AO1058" s="43"/>
      <c r="AP1058" s="43"/>
      <c r="AQ1058" s="43"/>
      <c r="AR1058" s="43"/>
      <c r="AS1058" s="43"/>
      <c r="AT1058" s="43"/>
      <c r="AU1058" s="43"/>
      <c r="AV1058" s="43"/>
    </row>
    <row r="1059" ht="15.75" spans="1:48">
      <c r="A1059" s="12">
        <v>1055</v>
      </c>
      <c r="B1059" s="44" t="s">
        <v>187</v>
      </c>
      <c r="C1059" s="45" t="s">
        <v>188</v>
      </c>
      <c r="D1059" s="46"/>
      <c r="E1059" s="47" t="s">
        <v>50</v>
      </c>
      <c r="F1059" s="48">
        <v>9.83</v>
      </c>
      <c r="G1059" s="38">
        <v>2.17</v>
      </c>
      <c r="H1059" s="39"/>
      <c r="I1059" s="39"/>
      <c r="J1059" s="39"/>
      <c r="K1059" s="39"/>
      <c r="L1059" s="39"/>
      <c r="M1059" s="39"/>
      <c r="N1059" s="39"/>
      <c r="O1059" s="39"/>
      <c r="P1059" s="39"/>
      <c r="Q1059" s="39">
        <v>1.17</v>
      </c>
      <c r="R1059" s="39"/>
      <c r="S1059" s="39"/>
      <c r="T1059" s="39"/>
      <c r="U1059" s="39"/>
      <c r="V1059" s="39"/>
      <c r="W1059" s="39">
        <v>1</v>
      </c>
      <c r="X1059" s="49" t="s">
        <v>105</v>
      </c>
      <c r="Y1059" s="50">
        <v>6487.8</v>
      </c>
      <c r="Z1059" s="51">
        <v>5920</v>
      </c>
      <c r="AA1059" s="52">
        <f t="shared" si="25"/>
        <v>0.912481889084127</v>
      </c>
      <c r="AB1059" s="12">
        <v>5920</v>
      </c>
      <c r="AC1059" s="12">
        <v>0</v>
      </c>
      <c r="AD1059" s="43"/>
      <c r="AE1059" s="43"/>
      <c r="AF1059" s="43"/>
      <c r="AG1059" s="43"/>
      <c r="AH1059" s="43"/>
      <c r="AI1059" s="43"/>
      <c r="AJ1059" s="43"/>
      <c r="AK1059" s="43"/>
      <c r="AL1059" s="43"/>
      <c r="AM1059" s="43"/>
      <c r="AN1059" s="43"/>
      <c r="AO1059" s="43"/>
      <c r="AP1059" s="43"/>
      <c r="AQ1059" s="43"/>
      <c r="AR1059" s="43"/>
      <c r="AS1059" s="43"/>
      <c r="AT1059" s="43"/>
      <c r="AU1059" s="43"/>
      <c r="AV1059" s="43"/>
    </row>
    <row r="1060" ht="15.75" spans="1:48">
      <c r="A1060" s="12">
        <v>1056</v>
      </c>
      <c r="B1060" s="44">
        <v>4490</v>
      </c>
      <c r="C1060" s="45" t="s">
        <v>91</v>
      </c>
      <c r="D1060" s="46"/>
      <c r="E1060" s="47" t="s">
        <v>50</v>
      </c>
      <c r="F1060" s="48">
        <v>1.5</v>
      </c>
      <c r="G1060" s="38">
        <v>0</v>
      </c>
      <c r="H1060" s="39"/>
      <c r="I1060" s="39"/>
      <c r="J1060" s="39"/>
      <c r="K1060" s="39"/>
      <c r="L1060" s="39"/>
      <c r="M1060" s="39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49" t="s">
        <v>105</v>
      </c>
      <c r="Y1060" s="50">
        <v>990</v>
      </c>
      <c r="Z1060" s="51">
        <v>1006</v>
      </c>
      <c r="AA1060" s="52">
        <f t="shared" si="25"/>
        <v>1.01616161616162</v>
      </c>
      <c r="AB1060" s="12">
        <v>1006</v>
      </c>
      <c r="AC1060" s="12">
        <v>0</v>
      </c>
      <c r="AD1060" s="43"/>
      <c r="AE1060" s="43"/>
      <c r="AF1060" s="43"/>
      <c r="AG1060" s="43"/>
      <c r="AH1060" s="43"/>
      <c r="AI1060" s="43"/>
      <c r="AJ1060" s="43"/>
      <c r="AK1060" s="43"/>
      <c r="AL1060" s="43"/>
      <c r="AM1060" s="43"/>
      <c r="AN1060" s="43"/>
      <c r="AO1060" s="43"/>
      <c r="AP1060" s="43"/>
      <c r="AQ1060" s="43"/>
      <c r="AR1060" s="43"/>
      <c r="AS1060" s="43"/>
      <c r="AT1060" s="43"/>
      <c r="AU1060" s="43"/>
      <c r="AV1060" s="43"/>
    </row>
    <row r="1061" ht="15.75" spans="1:48">
      <c r="A1061" s="12">
        <v>1057</v>
      </c>
      <c r="B1061" s="44">
        <v>4489</v>
      </c>
      <c r="C1061" s="45" t="s">
        <v>88</v>
      </c>
      <c r="D1061" s="46"/>
      <c r="E1061" s="47" t="s">
        <v>50</v>
      </c>
      <c r="F1061" s="48">
        <v>0.5</v>
      </c>
      <c r="G1061" s="38">
        <v>0</v>
      </c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49" t="s">
        <v>103</v>
      </c>
      <c r="Y1061" s="50">
        <v>420</v>
      </c>
      <c r="Z1061" s="51">
        <v>453</v>
      </c>
      <c r="AA1061" s="52">
        <f t="shared" si="25"/>
        <v>1.07857142857143</v>
      </c>
      <c r="AB1061" s="12">
        <v>453</v>
      </c>
      <c r="AC1061" s="12">
        <v>0</v>
      </c>
      <c r="AD1061" s="43"/>
      <c r="AE1061" s="43"/>
      <c r="AF1061" s="43"/>
      <c r="AG1061" s="43"/>
      <c r="AH1061" s="43"/>
      <c r="AI1061" s="43"/>
      <c r="AJ1061" s="43"/>
      <c r="AK1061" s="43"/>
      <c r="AL1061" s="43"/>
      <c r="AM1061" s="43"/>
      <c r="AN1061" s="43"/>
      <c r="AO1061" s="43"/>
      <c r="AP1061" s="43"/>
      <c r="AQ1061" s="43"/>
      <c r="AR1061" s="43"/>
      <c r="AS1061" s="43"/>
      <c r="AT1061" s="43"/>
      <c r="AU1061" s="43"/>
      <c r="AV1061" s="43"/>
    </row>
    <row r="1062" ht="15.75" spans="1:48">
      <c r="A1062" s="12">
        <v>1058</v>
      </c>
      <c r="B1062" s="44">
        <v>4382</v>
      </c>
      <c r="C1062" s="45" t="s">
        <v>173</v>
      </c>
      <c r="D1062" s="46"/>
      <c r="E1062" s="47" t="s">
        <v>50</v>
      </c>
      <c r="F1062" s="48">
        <v>1</v>
      </c>
      <c r="G1062" s="38">
        <v>0</v>
      </c>
      <c r="H1062" s="39"/>
      <c r="I1062" s="39"/>
      <c r="J1062" s="39"/>
      <c r="K1062" s="39"/>
      <c r="L1062" s="39"/>
      <c r="M1062" s="39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49" t="s">
        <v>229</v>
      </c>
      <c r="Y1062" s="50">
        <v>3720</v>
      </c>
      <c r="Z1062" s="51">
        <v>3600</v>
      </c>
      <c r="AA1062" s="52">
        <f t="shared" si="25"/>
        <v>0.967741935483871</v>
      </c>
      <c r="AB1062" s="12">
        <v>3600</v>
      </c>
      <c r="AC1062" s="12">
        <v>0</v>
      </c>
      <c r="AD1062" s="43"/>
      <c r="AE1062" s="43"/>
      <c r="AF1062" s="43"/>
      <c r="AG1062" s="43"/>
      <c r="AH1062" s="43"/>
      <c r="AI1062" s="43"/>
      <c r="AJ1062" s="43"/>
      <c r="AK1062" s="43"/>
      <c r="AL1062" s="43"/>
      <c r="AM1062" s="43"/>
      <c r="AN1062" s="43"/>
      <c r="AO1062" s="43"/>
      <c r="AP1062" s="43"/>
      <c r="AQ1062" s="43"/>
      <c r="AR1062" s="43"/>
      <c r="AS1062" s="43"/>
      <c r="AT1062" s="43"/>
      <c r="AU1062" s="43"/>
      <c r="AV1062" s="43"/>
    </row>
    <row r="1063" ht="15.75" spans="1:48">
      <c r="A1063" s="12">
        <v>1059</v>
      </c>
      <c r="B1063" s="44">
        <v>761</v>
      </c>
      <c r="C1063" s="45" t="s">
        <v>89</v>
      </c>
      <c r="D1063" s="46"/>
      <c r="E1063" s="47" t="s">
        <v>50</v>
      </c>
      <c r="F1063" s="48">
        <v>3.83</v>
      </c>
      <c r="G1063" s="38">
        <v>1.34</v>
      </c>
      <c r="H1063" s="39"/>
      <c r="I1063" s="39"/>
      <c r="J1063" s="39"/>
      <c r="K1063" s="39"/>
      <c r="L1063" s="39"/>
      <c r="M1063" s="39"/>
      <c r="N1063" s="39"/>
      <c r="O1063" s="39"/>
      <c r="P1063" s="39"/>
      <c r="Q1063" s="39">
        <v>1.17</v>
      </c>
      <c r="R1063" s="39"/>
      <c r="S1063" s="39"/>
      <c r="T1063" s="39"/>
      <c r="U1063" s="39">
        <v>0.17</v>
      </c>
      <c r="V1063" s="39"/>
      <c r="W1063" s="39"/>
      <c r="X1063" s="49" t="s">
        <v>101</v>
      </c>
      <c r="Y1063" s="50">
        <v>7353.6</v>
      </c>
      <c r="Z1063" s="51">
        <v>7380</v>
      </c>
      <c r="AA1063" s="52">
        <f t="shared" si="25"/>
        <v>1.00359007832898</v>
      </c>
      <c r="AB1063" s="12">
        <v>7380</v>
      </c>
      <c r="AC1063" s="12">
        <v>0</v>
      </c>
      <c r="AD1063" s="43"/>
      <c r="AE1063" s="43"/>
      <c r="AF1063" s="43"/>
      <c r="AG1063" s="43"/>
      <c r="AH1063" s="43"/>
      <c r="AI1063" s="43"/>
      <c r="AJ1063" s="43"/>
      <c r="AK1063" s="43"/>
      <c r="AL1063" s="43"/>
      <c r="AM1063" s="43"/>
      <c r="AN1063" s="43"/>
      <c r="AO1063" s="43"/>
      <c r="AP1063" s="43"/>
      <c r="AQ1063" s="43"/>
      <c r="AR1063" s="43"/>
      <c r="AS1063" s="43"/>
      <c r="AT1063" s="43"/>
      <c r="AU1063" s="43"/>
      <c r="AV1063" s="43"/>
    </row>
    <row r="1064" ht="15.75" spans="1:48">
      <c r="A1064" s="12">
        <v>1060</v>
      </c>
      <c r="B1064" s="44">
        <v>761</v>
      </c>
      <c r="C1064" s="45" t="s">
        <v>89</v>
      </c>
      <c r="D1064" s="46"/>
      <c r="E1064" s="47" t="s">
        <v>50</v>
      </c>
      <c r="F1064" s="48">
        <v>3</v>
      </c>
      <c r="G1064" s="38">
        <v>0</v>
      </c>
      <c r="H1064" s="39"/>
      <c r="I1064" s="39"/>
      <c r="J1064" s="39"/>
      <c r="K1064" s="39"/>
      <c r="L1064" s="39"/>
      <c r="M1064" s="39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49" t="s">
        <v>229</v>
      </c>
      <c r="Y1064" s="50">
        <v>11160</v>
      </c>
      <c r="Z1064" s="51">
        <v>11250</v>
      </c>
      <c r="AA1064" s="52">
        <f t="shared" si="25"/>
        <v>1.00806451612903</v>
      </c>
      <c r="AB1064" s="12">
        <v>11250</v>
      </c>
      <c r="AC1064" s="12">
        <v>0</v>
      </c>
      <c r="AD1064" s="43"/>
      <c r="AE1064" s="43"/>
      <c r="AF1064" s="43"/>
      <c r="AG1064" s="43"/>
      <c r="AH1064" s="43"/>
      <c r="AI1064" s="43"/>
      <c r="AJ1064" s="43"/>
      <c r="AK1064" s="43"/>
      <c r="AL1064" s="43"/>
      <c r="AM1064" s="43"/>
      <c r="AN1064" s="43"/>
      <c r="AO1064" s="43"/>
      <c r="AP1064" s="43"/>
      <c r="AQ1064" s="43"/>
      <c r="AR1064" s="43"/>
      <c r="AS1064" s="43"/>
      <c r="AT1064" s="43"/>
      <c r="AU1064" s="43"/>
      <c r="AV1064" s="43"/>
    </row>
    <row r="1065" ht="15.75" spans="1:48">
      <c r="A1065" s="12">
        <v>1061</v>
      </c>
      <c r="B1065" s="44">
        <v>761</v>
      </c>
      <c r="C1065" s="45" t="s">
        <v>89</v>
      </c>
      <c r="D1065" s="46"/>
      <c r="E1065" s="47" t="s">
        <v>50</v>
      </c>
      <c r="F1065" s="48">
        <v>1.67</v>
      </c>
      <c r="G1065" s="38">
        <v>0</v>
      </c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49" t="s">
        <v>100</v>
      </c>
      <c r="Y1065" s="50">
        <v>3206.4</v>
      </c>
      <c r="Z1065" s="51">
        <v>2880</v>
      </c>
      <c r="AA1065" s="52">
        <f t="shared" si="25"/>
        <v>0.898203592814371</v>
      </c>
      <c r="AB1065" s="12">
        <v>2880</v>
      </c>
      <c r="AC1065" s="12">
        <v>0</v>
      </c>
      <c r="AD1065" s="43"/>
      <c r="AE1065" s="43"/>
      <c r="AF1065" s="43"/>
      <c r="AG1065" s="43"/>
      <c r="AH1065" s="43"/>
      <c r="AI1065" s="43"/>
      <c r="AJ1065" s="43"/>
      <c r="AK1065" s="43"/>
      <c r="AL1065" s="43"/>
      <c r="AM1065" s="43"/>
      <c r="AN1065" s="43"/>
      <c r="AO1065" s="43"/>
      <c r="AP1065" s="43"/>
      <c r="AQ1065" s="43"/>
      <c r="AR1065" s="43"/>
      <c r="AS1065" s="43"/>
      <c r="AT1065" s="43"/>
      <c r="AU1065" s="43"/>
      <c r="AV1065" s="43"/>
    </row>
    <row r="1066" ht="15.75" spans="1:48">
      <c r="A1066" s="12">
        <v>1062</v>
      </c>
      <c r="B1066" s="44">
        <v>761</v>
      </c>
      <c r="C1066" s="45" t="s">
        <v>89</v>
      </c>
      <c r="D1066" s="46"/>
      <c r="E1066" s="47" t="s">
        <v>50</v>
      </c>
      <c r="F1066" s="48">
        <v>2.17</v>
      </c>
      <c r="G1066" s="38">
        <v>0</v>
      </c>
      <c r="H1066" s="39"/>
      <c r="I1066" s="39"/>
      <c r="J1066" s="39"/>
      <c r="K1066" s="39"/>
      <c r="L1066" s="39"/>
      <c r="M1066" s="39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49" t="s">
        <v>152</v>
      </c>
      <c r="Y1066" s="50">
        <v>9439.5</v>
      </c>
      <c r="Z1066" s="51">
        <v>9100</v>
      </c>
      <c r="AA1066" s="52">
        <f t="shared" si="25"/>
        <v>0.96403411197627</v>
      </c>
      <c r="AB1066" s="12">
        <v>9100</v>
      </c>
      <c r="AC1066" s="12">
        <v>0</v>
      </c>
      <c r="AD1066" s="43"/>
      <c r="AE1066" s="43"/>
      <c r="AF1066" s="43"/>
      <c r="AG1066" s="43"/>
      <c r="AH1066" s="43"/>
      <c r="AI1066" s="43"/>
      <c r="AJ1066" s="43"/>
      <c r="AK1066" s="43"/>
      <c r="AL1066" s="43"/>
      <c r="AM1066" s="43"/>
      <c r="AN1066" s="43"/>
      <c r="AO1066" s="43"/>
      <c r="AP1066" s="43"/>
      <c r="AQ1066" s="43"/>
      <c r="AR1066" s="43"/>
      <c r="AS1066" s="43"/>
      <c r="AT1066" s="43"/>
      <c r="AU1066" s="43"/>
      <c r="AV1066" s="43"/>
    </row>
    <row r="1067" ht="15.75" spans="1:48">
      <c r="A1067" s="12">
        <v>1063</v>
      </c>
      <c r="B1067" s="44">
        <v>2284</v>
      </c>
      <c r="C1067" s="45" t="s">
        <v>59</v>
      </c>
      <c r="D1067" s="46"/>
      <c r="E1067" s="47" t="s">
        <v>50</v>
      </c>
      <c r="F1067" s="48">
        <v>10.83</v>
      </c>
      <c r="G1067" s="38">
        <v>1.17</v>
      </c>
      <c r="H1067" s="39"/>
      <c r="I1067" s="39"/>
      <c r="J1067" s="39"/>
      <c r="K1067" s="39"/>
      <c r="L1067" s="39"/>
      <c r="M1067" s="39"/>
      <c r="N1067" s="39"/>
      <c r="O1067" s="39"/>
      <c r="P1067" s="39"/>
      <c r="Q1067" s="39">
        <v>1.17</v>
      </c>
      <c r="R1067" s="39"/>
      <c r="S1067" s="39"/>
      <c r="T1067" s="39"/>
      <c r="U1067" s="39"/>
      <c r="V1067" s="39"/>
      <c r="W1067" s="39"/>
      <c r="X1067" s="49" t="s">
        <v>140</v>
      </c>
      <c r="Y1067" s="50">
        <v>0</v>
      </c>
      <c r="Z1067" s="51"/>
      <c r="AA1067" s="52">
        <f t="shared" si="25"/>
        <v>0</v>
      </c>
      <c r="AB1067" s="12">
        <v>0</v>
      </c>
      <c r="AC1067" s="12">
        <v>0</v>
      </c>
      <c r="AD1067" s="43"/>
      <c r="AE1067" s="43"/>
      <c r="AF1067" s="43"/>
      <c r="AG1067" s="43"/>
      <c r="AH1067" s="43"/>
      <c r="AI1067" s="43"/>
      <c r="AJ1067" s="43"/>
      <c r="AK1067" s="43"/>
      <c r="AL1067" s="43"/>
      <c r="AM1067" s="43"/>
      <c r="AN1067" s="43"/>
      <c r="AO1067" s="43"/>
      <c r="AP1067" s="43"/>
      <c r="AQ1067" s="43"/>
      <c r="AR1067" s="43"/>
      <c r="AS1067" s="43"/>
      <c r="AT1067" s="43"/>
      <c r="AU1067" s="43"/>
      <c r="AV1067" s="43"/>
    </row>
    <row r="1068" ht="15.75" spans="1:48">
      <c r="A1068" s="12">
        <v>1064</v>
      </c>
      <c r="B1068" s="44">
        <v>4435</v>
      </c>
      <c r="C1068" s="45" t="s">
        <v>288</v>
      </c>
      <c r="D1068" s="46">
        <v>19</v>
      </c>
      <c r="E1068" s="47" t="s">
        <v>50</v>
      </c>
      <c r="F1068" s="48">
        <v>10.67</v>
      </c>
      <c r="G1068" s="38">
        <v>1.34</v>
      </c>
      <c r="H1068" s="39"/>
      <c r="I1068" s="39"/>
      <c r="J1068" s="39"/>
      <c r="K1068" s="39"/>
      <c r="L1068" s="39"/>
      <c r="M1068" s="39"/>
      <c r="N1068" s="39"/>
      <c r="O1068" s="39"/>
      <c r="P1068" s="39"/>
      <c r="Q1068" s="39">
        <v>1.17</v>
      </c>
      <c r="R1068" s="39"/>
      <c r="S1068" s="39"/>
      <c r="T1068" s="39"/>
      <c r="U1068" s="39">
        <v>0.17</v>
      </c>
      <c r="V1068" s="39"/>
      <c r="W1068" s="39"/>
      <c r="X1068" s="49" t="s">
        <v>194</v>
      </c>
      <c r="Y1068" s="50">
        <v>3574.45</v>
      </c>
      <c r="Z1068" s="51">
        <v>3480</v>
      </c>
      <c r="AA1068" s="52">
        <f t="shared" si="25"/>
        <v>0.973576354404174</v>
      </c>
      <c r="AB1068" s="12">
        <v>3480</v>
      </c>
      <c r="AC1068" s="12">
        <v>0</v>
      </c>
      <c r="AD1068" s="43"/>
      <c r="AE1068" s="43"/>
      <c r="AF1068" s="43"/>
      <c r="AG1068" s="43"/>
      <c r="AH1068" s="43"/>
      <c r="AI1068" s="43"/>
      <c r="AJ1068" s="43"/>
      <c r="AK1068" s="43"/>
      <c r="AL1068" s="43"/>
      <c r="AM1068" s="43"/>
      <c r="AN1068" s="43"/>
      <c r="AO1068" s="43"/>
      <c r="AP1068" s="43"/>
      <c r="AQ1068" s="43"/>
      <c r="AR1068" s="43"/>
      <c r="AS1068" s="43"/>
      <c r="AT1068" s="43"/>
      <c r="AU1068" s="43"/>
      <c r="AV1068" s="43"/>
    </row>
    <row r="1069" ht="15.75" spans="1:48">
      <c r="A1069" s="12">
        <v>1065</v>
      </c>
      <c r="B1069" s="44" t="s">
        <v>289</v>
      </c>
      <c r="C1069" s="45" t="e">
        <v>#N/A</v>
      </c>
      <c r="D1069" s="46">
        <v>10</v>
      </c>
      <c r="E1069" s="47" t="s">
        <v>50</v>
      </c>
      <c r="F1069" s="48">
        <v>7</v>
      </c>
      <c r="G1069" s="38">
        <v>1</v>
      </c>
      <c r="H1069" s="39"/>
      <c r="I1069" s="39"/>
      <c r="J1069" s="39"/>
      <c r="K1069" s="39"/>
      <c r="L1069" s="39"/>
      <c r="M1069" s="39"/>
      <c r="N1069" s="39"/>
      <c r="O1069" s="39"/>
      <c r="P1069" s="39"/>
      <c r="Q1069" s="39">
        <v>0.83</v>
      </c>
      <c r="R1069" s="39"/>
      <c r="S1069" s="39"/>
      <c r="T1069" s="39"/>
      <c r="U1069" s="39">
        <v>0.17</v>
      </c>
      <c r="V1069" s="39"/>
      <c r="W1069" s="39"/>
      <c r="X1069" s="49">
        <v>127</v>
      </c>
      <c r="Y1069" s="50">
        <v>2625</v>
      </c>
      <c r="Z1069" s="51">
        <v>2160</v>
      </c>
      <c r="AA1069" s="52">
        <f t="shared" si="25"/>
        <v>0.822857142857143</v>
      </c>
      <c r="AB1069" s="12">
        <v>2160</v>
      </c>
      <c r="AC1069" s="12">
        <v>0</v>
      </c>
      <c r="AD1069" s="43"/>
      <c r="AE1069" s="43"/>
      <c r="AF1069" s="43"/>
      <c r="AG1069" s="43"/>
      <c r="AH1069" s="43"/>
      <c r="AI1069" s="43"/>
      <c r="AJ1069" s="43"/>
      <c r="AK1069" s="43"/>
      <c r="AL1069" s="43"/>
      <c r="AM1069" s="43"/>
      <c r="AN1069" s="43"/>
      <c r="AO1069" s="43"/>
      <c r="AP1069" s="43"/>
      <c r="AQ1069" s="43"/>
      <c r="AR1069" s="43"/>
      <c r="AS1069" s="43"/>
      <c r="AT1069" s="43"/>
      <c r="AU1069" s="43"/>
      <c r="AV1069" s="43"/>
    </row>
    <row r="1070" ht="15.75" spans="1:48">
      <c r="A1070" s="12">
        <v>1066</v>
      </c>
      <c r="B1070" s="44" t="s">
        <v>290</v>
      </c>
      <c r="C1070" s="45" t="e">
        <v>#N/A</v>
      </c>
      <c r="D1070" s="46">
        <v>11</v>
      </c>
      <c r="E1070" s="47" t="s">
        <v>50</v>
      </c>
      <c r="F1070" s="48">
        <v>10.67</v>
      </c>
      <c r="G1070" s="38">
        <v>1.34</v>
      </c>
      <c r="H1070" s="39"/>
      <c r="I1070" s="39"/>
      <c r="J1070" s="39"/>
      <c r="K1070" s="39"/>
      <c r="L1070" s="39"/>
      <c r="M1070" s="39"/>
      <c r="N1070" s="39"/>
      <c r="O1070" s="39"/>
      <c r="P1070" s="39"/>
      <c r="Q1070" s="39">
        <v>1.17</v>
      </c>
      <c r="R1070" s="39"/>
      <c r="S1070" s="39"/>
      <c r="T1070" s="39"/>
      <c r="U1070" s="39"/>
      <c r="V1070" s="39">
        <v>0.17</v>
      </c>
      <c r="W1070" s="39"/>
      <c r="X1070" s="49" t="s">
        <v>69</v>
      </c>
      <c r="Y1070" s="50">
        <v>4353.36</v>
      </c>
      <c r="Z1070" s="51">
        <v>4185</v>
      </c>
      <c r="AA1070" s="52">
        <f t="shared" si="25"/>
        <v>0.961326423727879</v>
      </c>
      <c r="AB1070" s="12">
        <v>4185</v>
      </c>
      <c r="AC1070" s="12">
        <v>0</v>
      </c>
      <c r="AD1070" s="43"/>
      <c r="AE1070" s="43"/>
      <c r="AF1070" s="43"/>
      <c r="AG1070" s="43"/>
      <c r="AH1070" s="43"/>
      <c r="AI1070" s="43"/>
      <c r="AJ1070" s="43"/>
      <c r="AK1070" s="43"/>
      <c r="AL1070" s="43"/>
      <c r="AM1070" s="43"/>
      <c r="AN1070" s="43"/>
      <c r="AO1070" s="43"/>
      <c r="AP1070" s="43"/>
      <c r="AQ1070" s="43"/>
      <c r="AR1070" s="43"/>
      <c r="AS1070" s="43"/>
      <c r="AT1070" s="43"/>
      <c r="AU1070" s="43"/>
      <c r="AV1070" s="43"/>
    </row>
    <row r="1071" ht="15.75" spans="1:48">
      <c r="A1071" s="12">
        <v>1067</v>
      </c>
      <c r="B1071" s="44">
        <v>4031</v>
      </c>
      <c r="C1071" s="45" t="s">
        <v>64</v>
      </c>
      <c r="D1071" s="46"/>
      <c r="E1071" s="47" t="s">
        <v>50</v>
      </c>
      <c r="F1071" s="48">
        <v>10.83</v>
      </c>
      <c r="G1071" s="38">
        <v>1.17</v>
      </c>
      <c r="H1071" s="39"/>
      <c r="I1071" s="39"/>
      <c r="J1071" s="39"/>
      <c r="K1071" s="39"/>
      <c r="L1071" s="39"/>
      <c r="M1071" s="39"/>
      <c r="N1071" s="39"/>
      <c r="O1071" s="39"/>
      <c r="P1071" s="39"/>
      <c r="Q1071" s="39">
        <v>1.17</v>
      </c>
      <c r="R1071" s="39"/>
      <c r="S1071" s="39"/>
      <c r="T1071" s="39"/>
      <c r="U1071" s="39"/>
      <c r="V1071" s="39"/>
      <c r="W1071" s="39"/>
      <c r="X1071" s="49" t="s">
        <v>282</v>
      </c>
      <c r="Y1071" s="50">
        <v>1299.6</v>
      </c>
      <c r="Z1071" s="51">
        <v>1320</v>
      </c>
      <c r="AA1071" s="52">
        <f t="shared" si="25"/>
        <v>1.01569713758079</v>
      </c>
      <c r="AB1071" s="12">
        <v>1320</v>
      </c>
      <c r="AC1071" s="12">
        <v>0</v>
      </c>
      <c r="AD1071" s="43"/>
      <c r="AE1071" s="43"/>
      <c r="AF1071" s="43"/>
      <c r="AG1071" s="43"/>
      <c r="AH1071" s="43"/>
      <c r="AI1071" s="43"/>
      <c r="AJ1071" s="43"/>
      <c r="AK1071" s="43"/>
      <c r="AL1071" s="43"/>
      <c r="AM1071" s="43"/>
      <c r="AN1071" s="43"/>
      <c r="AO1071" s="43"/>
      <c r="AP1071" s="43"/>
      <c r="AQ1071" s="43"/>
      <c r="AR1071" s="43"/>
      <c r="AS1071" s="43"/>
      <c r="AT1071" s="43"/>
      <c r="AU1071" s="43"/>
      <c r="AV1071" s="43"/>
    </row>
    <row r="1072" ht="15.75" spans="1:48">
      <c r="A1072" s="12">
        <v>1068</v>
      </c>
      <c r="B1072" s="44">
        <v>3526</v>
      </c>
      <c r="C1072" s="45" t="s">
        <v>65</v>
      </c>
      <c r="D1072" s="46"/>
      <c r="E1072" s="47" t="s">
        <v>50</v>
      </c>
      <c r="F1072" s="48">
        <v>10.83</v>
      </c>
      <c r="G1072" s="38">
        <v>1.17</v>
      </c>
      <c r="H1072" s="39"/>
      <c r="I1072" s="39"/>
      <c r="J1072" s="39"/>
      <c r="K1072" s="39"/>
      <c r="L1072" s="39"/>
      <c r="M1072" s="39"/>
      <c r="N1072" s="39"/>
      <c r="O1072" s="39"/>
      <c r="P1072" s="39"/>
      <c r="Q1072" s="39">
        <v>1.17</v>
      </c>
      <c r="R1072" s="39"/>
      <c r="S1072" s="39"/>
      <c r="T1072" s="39"/>
      <c r="U1072" s="39"/>
      <c r="V1072" s="39"/>
      <c r="W1072" s="39"/>
      <c r="X1072" s="49" t="s">
        <v>191</v>
      </c>
      <c r="Y1072" s="50">
        <v>3628.05</v>
      </c>
      <c r="Z1072" s="51">
        <v>3400</v>
      </c>
      <c r="AA1072" s="52">
        <f t="shared" si="25"/>
        <v>0.937142542136961</v>
      </c>
      <c r="AB1072" s="12">
        <v>3400</v>
      </c>
      <c r="AC1072" s="12">
        <v>0</v>
      </c>
      <c r="AD1072" s="43"/>
      <c r="AE1072" s="43"/>
      <c r="AF1072" s="43"/>
      <c r="AG1072" s="43"/>
      <c r="AH1072" s="43"/>
      <c r="AI1072" s="43"/>
      <c r="AJ1072" s="43"/>
      <c r="AK1072" s="43"/>
      <c r="AL1072" s="43"/>
      <c r="AM1072" s="43"/>
      <c r="AN1072" s="43"/>
      <c r="AO1072" s="43"/>
      <c r="AP1072" s="43"/>
      <c r="AQ1072" s="43"/>
      <c r="AR1072" s="43"/>
      <c r="AS1072" s="43"/>
      <c r="AT1072" s="43"/>
      <c r="AU1072" s="43"/>
      <c r="AV1072" s="43"/>
    </row>
    <row r="1073" ht="15.75" spans="1:48">
      <c r="A1073" s="12">
        <v>1069</v>
      </c>
      <c r="B1073" s="44">
        <v>3352</v>
      </c>
      <c r="C1073" s="45" t="s">
        <v>66</v>
      </c>
      <c r="D1073" s="46"/>
      <c r="E1073" s="47" t="s">
        <v>50</v>
      </c>
      <c r="F1073" s="48">
        <v>3.83</v>
      </c>
      <c r="G1073" s="38">
        <v>0</v>
      </c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49" t="s">
        <v>283</v>
      </c>
      <c r="Y1073" s="50">
        <v>957.5</v>
      </c>
      <c r="Z1073" s="51">
        <v>920</v>
      </c>
      <c r="AA1073" s="52">
        <f t="shared" si="25"/>
        <v>0.960835509138381</v>
      </c>
      <c r="AB1073" s="12">
        <v>920</v>
      </c>
      <c r="AC1073" s="12">
        <v>0</v>
      </c>
      <c r="AD1073" s="43"/>
      <c r="AE1073" s="43"/>
      <c r="AF1073" s="43"/>
      <c r="AG1073" s="43"/>
      <c r="AH1073" s="43"/>
      <c r="AI1073" s="43"/>
      <c r="AJ1073" s="43"/>
      <c r="AK1073" s="43"/>
      <c r="AL1073" s="43"/>
      <c r="AM1073" s="43"/>
      <c r="AN1073" s="43"/>
      <c r="AO1073" s="43"/>
      <c r="AP1073" s="43"/>
      <c r="AQ1073" s="43"/>
      <c r="AR1073" s="43"/>
      <c r="AS1073" s="43"/>
      <c r="AT1073" s="43"/>
      <c r="AU1073" s="43"/>
      <c r="AV1073" s="43"/>
    </row>
    <row r="1074" ht="15.75" spans="1:48">
      <c r="A1074" s="12">
        <v>1070</v>
      </c>
      <c r="B1074" s="44">
        <v>3352</v>
      </c>
      <c r="C1074" s="45" t="s">
        <v>66</v>
      </c>
      <c r="D1074" s="46"/>
      <c r="E1074" s="47" t="s">
        <v>50</v>
      </c>
      <c r="F1074" s="48">
        <v>7</v>
      </c>
      <c r="G1074" s="38">
        <v>1.17</v>
      </c>
      <c r="H1074" s="39"/>
      <c r="I1074" s="39"/>
      <c r="J1074" s="39"/>
      <c r="K1074" s="39"/>
      <c r="L1074" s="39"/>
      <c r="M1074" s="39"/>
      <c r="N1074" s="39"/>
      <c r="O1074" s="39"/>
      <c r="P1074" s="39"/>
      <c r="Q1074" s="39">
        <v>1.17</v>
      </c>
      <c r="R1074" s="39"/>
      <c r="S1074" s="39"/>
      <c r="T1074" s="39"/>
      <c r="U1074" s="39"/>
      <c r="V1074" s="39"/>
      <c r="W1074" s="39"/>
      <c r="X1074" s="49" t="s">
        <v>67</v>
      </c>
      <c r="Y1074" s="50">
        <v>1750</v>
      </c>
      <c r="Z1074" s="51">
        <v>1680</v>
      </c>
      <c r="AA1074" s="52">
        <f t="shared" ref="AA1074:AA1137" si="26">IFERROR(Z1074/Y1074,0)</f>
        <v>0.96</v>
      </c>
      <c r="AB1074" s="12">
        <v>1680</v>
      </c>
      <c r="AC1074" s="12">
        <v>0</v>
      </c>
      <c r="AD1074" s="43"/>
      <c r="AE1074" s="43"/>
      <c r="AF1074" s="43"/>
      <c r="AG1074" s="43"/>
      <c r="AH1074" s="43"/>
      <c r="AI1074" s="43"/>
      <c r="AJ1074" s="43"/>
      <c r="AK1074" s="43"/>
      <c r="AL1074" s="43"/>
      <c r="AM1074" s="43"/>
      <c r="AN1074" s="43"/>
      <c r="AO1074" s="43"/>
      <c r="AP1074" s="43"/>
      <c r="AQ1074" s="43"/>
      <c r="AR1074" s="43"/>
      <c r="AS1074" s="43"/>
      <c r="AT1074" s="43"/>
      <c r="AU1074" s="43"/>
      <c r="AV1074" s="43"/>
    </row>
    <row r="1075" ht="15.75" spans="1:48">
      <c r="A1075" s="12">
        <v>1071</v>
      </c>
      <c r="B1075" s="44">
        <v>3353</v>
      </c>
      <c r="C1075" s="45" t="s">
        <v>48</v>
      </c>
      <c r="D1075" s="46"/>
      <c r="E1075" s="47" t="s">
        <v>50</v>
      </c>
      <c r="F1075" s="48">
        <v>7</v>
      </c>
      <c r="G1075" s="38">
        <v>1.17</v>
      </c>
      <c r="H1075" s="39"/>
      <c r="I1075" s="39"/>
      <c r="J1075" s="39"/>
      <c r="K1075" s="39"/>
      <c r="L1075" s="39"/>
      <c r="M1075" s="39"/>
      <c r="N1075" s="39"/>
      <c r="O1075" s="39"/>
      <c r="P1075" s="39"/>
      <c r="Q1075" s="39">
        <v>1.17</v>
      </c>
      <c r="R1075" s="39"/>
      <c r="S1075" s="39"/>
      <c r="T1075" s="39"/>
      <c r="U1075" s="39"/>
      <c r="V1075" s="39"/>
      <c r="W1075" s="39"/>
      <c r="X1075" s="49" t="s">
        <v>291</v>
      </c>
      <c r="Y1075" s="50">
        <v>9100</v>
      </c>
      <c r="Z1075" s="51">
        <v>9855</v>
      </c>
      <c r="AA1075" s="52">
        <f t="shared" si="26"/>
        <v>1.08296703296703</v>
      </c>
      <c r="AB1075" s="12">
        <v>9855</v>
      </c>
      <c r="AC1075" s="12">
        <v>0</v>
      </c>
      <c r="AD1075" s="43"/>
      <c r="AE1075" s="43"/>
      <c r="AF1075" s="43"/>
      <c r="AG1075" s="43"/>
      <c r="AH1075" s="43"/>
      <c r="AI1075" s="43"/>
      <c r="AJ1075" s="43"/>
      <c r="AK1075" s="43"/>
      <c r="AL1075" s="43"/>
      <c r="AM1075" s="43"/>
      <c r="AN1075" s="43"/>
      <c r="AO1075" s="43"/>
      <c r="AP1075" s="43"/>
      <c r="AQ1075" s="43"/>
      <c r="AR1075" s="43"/>
      <c r="AS1075" s="43"/>
      <c r="AT1075" s="43"/>
      <c r="AU1075" s="43"/>
      <c r="AV1075" s="43"/>
    </row>
    <row r="1076" ht="15.75" spans="1:48">
      <c r="A1076" s="12">
        <v>1072</v>
      </c>
      <c r="B1076" s="44">
        <v>3353</v>
      </c>
      <c r="C1076" s="45" t="s">
        <v>48</v>
      </c>
      <c r="D1076" s="46"/>
      <c r="E1076" s="47" t="s">
        <v>50</v>
      </c>
      <c r="F1076" s="48">
        <v>3.83</v>
      </c>
      <c r="G1076" s="38">
        <v>0</v>
      </c>
      <c r="H1076" s="39"/>
      <c r="I1076" s="39"/>
      <c r="J1076" s="39"/>
      <c r="K1076" s="39"/>
      <c r="L1076" s="39"/>
      <c r="M1076" s="39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49" t="s">
        <v>155</v>
      </c>
      <c r="Y1076" s="50">
        <v>0</v>
      </c>
      <c r="Z1076" s="51"/>
      <c r="AA1076" s="52">
        <f t="shared" si="26"/>
        <v>0</v>
      </c>
      <c r="AB1076" s="12">
        <v>0</v>
      </c>
      <c r="AC1076" s="12">
        <v>0</v>
      </c>
      <c r="AD1076" s="43"/>
      <c r="AE1076" s="43"/>
      <c r="AF1076" s="43"/>
      <c r="AG1076" s="43"/>
      <c r="AH1076" s="43"/>
      <c r="AI1076" s="43"/>
      <c r="AJ1076" s="43"/>
      <c r="AK1076" s="43"/>
      <c r="AL1076" s="43"/>
      <c r="AM1076" s="43"/>
      <c r="AN1076" s="43"/>
      <c r="AO1076" s="43"/>
      <c r="AP1076" s="43"/>
      <c r="AQ1076" s="43"/>
      <c r="AR1076" s="43"/>
      <c r="AS1076" s="43"/>
      <c r="AT1076" s="43"/>
      <c r="AU1076" s="43"/>
      <c r="AV1076" s="43"/>
    </row>
    <row r="1077" ht="15.75" spans="1:48">
      <c r="A1077" s="12">
        <v>1073</v>
      </c>
      <c r="B1077" s="57">
        <v>2516</v>
      </c>
      <c r="C1077" s="58" t="s">
        <v>189</v>
      </c>
      <c r="D1077" s="59" t="s">
        <v>49</v>
      </c>
      <c r="E1077" s="47" t="s">
        <v>50</v>
      </c>
      <c r="F1077" s="48">
        <v>10.33</v>
      </c>
      <c r="G1077" s="38">
        <v>1.67</v>
      </c>
      <c r="H1077" s="39"/>
      <c r="I1077" s="39"/>
      <c r="J1077" s="39"/>
      <c r="K1077" s="39"/>
      <c r="L1077" s="39"/>
      <c r="M1077" s="39"/>
      <c r="N1077" s="39"/>
      <c r="O1077" s="39"/>
      <c r="P1077" s="39"/>
      <c r="Q1077" s="39">
        <v>1.17</v>
      </c>
      <c r="R1077" s="39"/>
      <c r="S1077" s="39"/>
      <c r="T1077" s="39"/>
      <c r="U1077" s="39">
        <v>0.5</v>
      </c>
      <c r="V1077" s="39"/>
      <c r="W1077" s="39"/>
      <c r="X1077" s="49" t="s">
        <v>278</v>
      </c>
      <c r="Y1077" s="50">
        <v>8264</v>
      </c>
      <c r="Z1077" s="51">
        <v>8300</v>
      </c>
      <c r="AA1077" s="52">
        <f t="shared" si="26"/>
        <v>1.00435624394966</v>
      </c>
      <c r="AB1077" s="12">
        <v>8285</v>
      </c>
      <c r="AC1077" s="12">
        <v>15</v>
      </c>
      <c r="AD1077" s="43"/>
      <c r="AE1077" s="43"/>
      <c r="AF1077" s="43"/>
      <c r="AG1077" s="43"/>
      <c r="AH1077" s="43"/>
      <c r="AI1077" s="43"/>
      <c r="AJ1077" s="43"/>
      <c r="AK1077" s="43"/>
      <c r="AL1077" s="43"/>
      <c r="AM1077" s="43"/>
      <c r="AN1077" s="19">
        <v>15</v>
      </c>
      <c r="AO1077" s="43"/>
      <c r="AP1077" s="43"/>
      <c r="AQ1077" s="43"/>
      <c r="AR1077" s="43"/>
      <c r="AS1077" s="43"/>
      <c r="AT1077" s="43"/>
      <c r="AU1077" s="43"/>
      <c r="AV1077" s="43"/>
    </row>
    <row r="1078" ht="15.75" spans="1:48">
      <c r="A1078" s="12">
        <v>1074</v>
      </c>
      <c r="B1078" s="44">
        <v>3187</v>
      </c>
      <c r="C1078" s="45" t="s">
        <v>52</v>
      </c>
      <c r="D1078" s="46" t="s">
        <v>292</v>
      </c>
      <c r="E1078" s="47" t="s">
        <v>250</v>
      </c>
      <c r="F1078" s="48">
        <v>2.17</v>
      </c>
      <c r="G1078" s="38">
        <v>0</v>
      </c>
      <c r="H1078" s="39"/>
      <c r="I1078" s="39"/>
      <c r="J1078" s="39"/>
      <c r="K1078" s="39"/>
      <c r="L1078" s="39"/>
      <c r="M1078" s="39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49" t="s">
        <v>55</v>
      </c>
      <c r="Y1078" s="50">
        <v>3668.385</v>
      </c>
      <c r="Z1078" s="51">
        <v>3764</v>
      </c>
      <c r="AA1078" s="52">
        <f t="shared" si="26"/>
        <v>1.02606460336088</v>
      </c>
      <c r="AB1078" s="12">
        <v>3764</v>
      </c>
      <c r="AC1078" s="12">
        <v>0</v>
      </c>
      <c r="AD1078" s="43"/>
      <c r="AE1078" s="43"/>
      <c r="AF1078" s="43"/>
      <c r="AG1078" s="43"/>
      <c r="AH1078" s="43"/>
      <c r="AI1078" s="43"/>
      <c r="AJ1078" s="43"/>
      <c r="AK1078" s="43"/>
      <c r="AL1078" s="43"/>
      <c r="AM1078" s="43"/>
      <c r="AN1078" s="43"/>
      <c r="AO1078" s="43"/>
      <c r="AP1078" s="43"/>
      <c r="AQ1078" s="43"/>
      <c r="AR1078" s="43"/>
      <c r="AS1078" s="43"/>
      <c r="AT1078" s="43"/>
      <c r="AU1078" s="43"/>
      <c r="AV1078" s="43"/>
    </row>
    <row r="1079" ht="15.75" spans="1:48">
      <c r="A1079" s="12">
        <v>1075</v>
      </c>
      <c r="B1079" s="44">
        <v>3187</v>
      </c>
      <c r="C1079" s="45" t="s">
        <v>52</v>
      </c>
      <c r="D1079" s="46" t="s">
        <v>53</v>
      </c>
      <c r="E1079" s="47" t="s">
        <v>50</v>
      </c>
      <c r="F1079" s="48">
        <v>8.17</v>
      </c>
      <c r="G1079" s="38">
        <v>1.67</v>
      </c>
      <c r="H1079" s="39"/>
      <c r="I1079" s="39"/>
      <c r="J1079" s="39"/>
      <c r="K1079" s="39">
        <v>0.33</v>
      </c>
      <c r="L1079" s="39"/>
      <c r="M1079" s="39"/>
      <c r="N1079" s="39"/>
      <c r="O1079" s="39"/>
      <c r="P1079" s="39"/>
      <c r="Q1079" s="39">
        <v>1.17</v>
      </c>
      <c r="R1079" s="39"/>
      <c r="S1079" s="39"/>
      <c r="T1079" s="39"/>
      <c r="U1079" s="39">
        <v>0.17</v>
      </c>
      <c r="V1079" s="39"/>
      <c r="W1079" s="39"/>
      <c r="X1079" s="49" t="s">
        <v>55</v>
      </c>
      <c r="Y1079" s="50">
        <v>19730.55</v>
      </c>
      <c r="Z1079" s="51">
        <v>20100</v>
      </c>
      <c r="AA1079" s="52">
        <f t="shared" si="26"/>
        <v>1.0187247694565</v>
      </c>
      <c r="AB1079" s="12">
        <v>20100</v>
      </c>
      <c r="AC1079" s="12">
        <v>0</v>
      </c>
      <c r="AD1079" s="43"/>
      <c r="AE1079" s="43"/>
      <c r="AF1079" s="43"/>
      <c r="AG1079" s="43"/>
      <c r="AH1079" s="43"/>
      <c r="AI1079" s="43"/>
      <c r="AJ1079" s="43"/>
      <c r="AK1079" s="43"/>
      <c r="AL1079" s="43"/>
      <c r="AM1079" s="43"/>
      <c r="AN1079" s="43"/>
      <c r="AO1079" s="43"/>
      <c r="AP1079" s="43"/>
      <c r="AQ1079" s="43"/>
      <c r="AR1079" s="43"/>
      <c r="AS1079" s="43"/>
      <c r="AT1079" s="43"/>
      <c r="AU1079" s="43"/>
      <c r="AV1079" s="43"/>
    </row>
    <row r="1080" ht="15.75" spans="1:48">
      <c r="A1080" s="12">
        <v>1076</v>
      </c>
      <c r="B1080" s="44" t="s">
        <v>225</v>
      </c>
      <c r="C1080" s="45" t="e">
        <v>#N/A</v>
      </c>
      <c r="D1080" s="46" t="s">
        <v>112</v>
      </c>
      <c r="E1080" s="47" t="s">
        <v>293</v>
      </c>
      <c r="F1080" s="48">
        <v>10.5</v>
      </c>
      <c r="G1080" s="38">
        <v>1.5</v>
      </c>
      <c r="H1080" s="39"/>
      <c r="I1080" s="39"/>
      <c r="J1080" s="39"/>
      <c r="K1080" s="39"/>
      <c r="L1080" s="39"/>
      <c r="M1080" s="39"/>
      <c r="N1080" s="39"/>
      <c r="O1080" s="39"/>
      <c r="P1080" s="39"/>
      <c r="Q1080" s="39">
        <v>1.33</v>
      </c>
      <c r="R1080" s="39"/>
      <c r="S1080" s="39"/>
      <c r="T1080" s="39"/>
      <c r="U1080" s="39">
        <v>0.17</v>
      </c>
      <c r="V1080" s="39"/>
      <c r="W1080" s="39"/>
      <c r="X1080" s="49" t="s">
        <v>114</v>
      </c>
      <c r="Y1080" s="50">
        <v>8032.5</v>
      </c>
      <c r="Z1080" s="51">
        <v>8000</v>
      </c>
      <c r="AA1080" s="52">
        <f t="shared" si="26"/>
        <v>0.995953937130408</v>
      </c>
      <c r="AB1080" s="12">
        <v>8000</v>
      </c>
      <c r="AC1080" s="12">
        <v>0</v>
      </c>
      <c r="AD1080" s="43"/>
      <c r="AE1080" s="43"/>
      <c r="AF1080" s="43"/>
      <c r="AG1080" s="43"/>
      <c r="AH1080" s="43"/>
      <c r="AI1080" s="43"/>
      <c r="AJ1080" s="43"/>
      <c r="AK1080" s="43"/>
      <c r="AL1080" s="43"/>
      <c r="AM1080" s="43"/>
      <c r="AN1080" s="43"/>
      <c r="AO1080" s="43"/>
      <c r="AP1080" s="43"/>
      <c r="AQ1080" s="43"/>
      <c r="AR1080" s="43"/>
      <c r="AS1080" s="43"/>
      <c r="AT1080" s="43"/>
      <c r="AU1080" s="43"/>
      <c r="AV1080" s="43"/>
    </row>
    <row r="1081" ht="15.75" spans="1:48">
      <c r="A1081" s="12">
        <v>1077</v>
      </c>
      <c r="B1081" s="44">
        <v>3111</v>
      </c>
      <c r="C1081" s="45" t="s">
        <v>124</v>
      </c>
      <c r="D1081" s="46" t="s">
        <v>217</v>
      </c>
      <c r="E1081" s="47" t="s">
        <v>113</v>
      </c>
      <c r="F1081" s="48">
        <v>10</v>
      </c>
      <c r="G1081" s="38">
        <v>1.5</v>
      </c>
      <c r="H1081" s="39"/>
      <c r="I1081" s="39"/>
      <c r="J1081" s="39"/>
      <c r="K1081" s="39"/>
      <c r="L1081" s="39"/>
      <c r="M1081" s="39"/>
      <c r="N1081" s="39"/>
      <c r="O1081" s="39"/>
      <c r="P1081" s="39"/>
      <c r="Q1081" s="39">
        <v>1.33</v>
      </c>
      <c r="R1081" s="39"/>
      <c r="S1081" s="39"/>
      <c r="T1081" s="39"/>
      <c r="U1081" s="39">
        <v>0.17</v>
      </c>
      <c r="V1081" s="39"/>
      <c r="W1081" s="39"/>
      <c r="X1081" s="49" t="s">
        <v>55</v>
      </c>
      <c r="Y1081" s="50">
        <v>24150</v>
      </c>
      <c r="Z1081" s="51">
        <v>24600</v>
      </c>
      <c r="AA1081" s="52">
        <f t="shared" si="26"/>
        <v>1.01863354037267</v>
      </c>
      <c r="AB1081" s="12">
        <v>24600</v>
      </c>
      <c r="AC1081" s="12">
        <v>0</v>
      </c>
      <c r="AD1081" s="43"/>
      <c r="AE1081" s="43"/>
      <c r="AF1081" s="43"/>
      <c r="AG1081" s="43"/>
      <c r="AH1081" s="43"/>
      <c r="AI1081" s="43"/>
      <c r="AJ1081" s="43"/>
      <c r="AK1081" s="43"/>
      <c r="AL1081" s="43"/>
      <c r="AM1081" s="43"/>
      <c r="AN1081" s="43"/>
      <c r="AO1081" s="43"/>
      <c r="AP1081" s="43"/>
      <c r="AQ1081" s="43"/>
      <c r="AR1081" s="43"/>
      <c r="AS1081" s="43"/>
      <c r="AT1081" s="43"/>
      <c r="AU1081" s="43"/>
      <c r="AV1081" s="43"/>
    </row>
    <row r="1082" ht="15.75" spans="1:48">
      <c r="A1082" s="12">
        <v>1078</v>
      </c>
      <c r="B1082" s="44">
        <v>3111</v>
      </c>
      <c r="C1082" s="45" t="s">
        <v>124</v>
      </c>
      <c r="D1082" s="46"/>
      <c r="E1082" s="47" t="s">
        <v>113</v>
      </c>
      <c r="F1082" s="48">
        <v>0.5</v>
      </c>
      <c r="G1082" s="38">
        <v>0</v>
      </c>
      <c r="H1082" s="39"/>
      <c r="I1082" s="39"/>
      <c r="J1082" s="39"/>
      <c r="K1082" s="39"/>
      <c r="L1082" s="39"/>
      <c r="M1082" s="39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49" t="s">
        <v>294</v>
      </c>
      <c r="Y1082" s="50">
        <v>0</v>
      </c>
      <c r="Z1082" s="51"/>
      <c r="AA1082" s="52">
        <f t="shared" si="26"/>
        <v>0</v>
      </c>
      <c r="AB1082" s="12">
        <v>0</v>
      </c>
      <c r="AC1082" s="12">
        <v>0</v>
      </c>
      <c r="AD1082" s="43"/>
      <c r="AE1082" s="43"/>
      <c r="AF1082" s="43"/>
      <c r="AG1082" s="43"/>
      <c r="AH1082" s="43"/>
      <c r="AI1082" s="43"/>
      <c r="AJ1082" s="43"/>
      <c r="AK1082" s="43"/>
      <c r="AL1082" s="43"/>
      <c r="AM1082" s="43"/>
      <c r="AN1082" s="43"/>
      <c r="AO1082" s="43"/>
      <c r="AP1082" s="43"/>
      <c r="AQ1082" s="43"/>
      <c r="AR1082" s="43"/>
      <c r="AS1082" s="43"/>
      <c r="AT1082" s="43"/>
      <c r="AU1082" s="43"/>
      <c r="AV1082" s="43"/>
    </row>
    <row r="1083" ht="15.75" spans="1:48">
      <c r="A1083" s="12">
        <v>1079</v>
      </c>
      <c r="B1083" s="44">
        <v>2890</v>
      </c>
      <c r="C1083" s="45" t="s">
        <v>111</v>
      </c>
      <c r="D1083" s="46" t="s">
        <v>116</v>
      </c>
      <c r="E1083" s="47" t="s">
        <v>113</v>
      </c>
      <c r="F1083" s="48">
        <v>10.17</v>
      </c>
      <c r="G1083" s="38">
        <v>1.83</v>
      </c>
      <c r="H1083" s="39"/>
      <c r="I1083" s="39"/>
      <c r="J1083" s="39"/>
      <c r="K1083" s="39"/>
      <c r="L1083" s="39"/>
      <c r="M1083" s="39"/>
      <c r="N1083" s="39"/>
      <c r="O1083" s="39"/>
      <c r="P1083" s="39"/>
      <c r="Q1083" s="39">
        <v>1.33</v>
      </c>
      <c r="R1083" s="39"/>
      <c r="S1083" s="39"/>
      <c r="T1083" s="39"/>
      <c r="U1083" s="39">
        <v>0.5</v>
      </c>
      <c r="V1083" s="39"/>
      <c r="W1083" s="39"/>
      <c r="X1083" s="49" t="s">
        <v>284</v>
      </c>
      <c r="Y1083" s="50">
        <v>8136</v>
      </c>
      <c r="Z1083" s="51">
        <v>8200</v>
      </c>
      <c r="AA1083" s="52">
        <f t="shared" si="26"/>
        <v>1.007866273353</v>
      </c>
      <c r="AB1083" s="12">
        <v>8193</v>
      </c>
      <c r="AC1083" s="12">
        <v>7</v>
      </c>
      <c r="AD1083" s="43"/>
      <c r="AE1083" s="43"/>
      <c r="AF1083" s="43"/>
      <c r="AG1083" s="19">
        <v>4</v>
      </c>
      <c r="AH1083" s="43"/>
      <c r="AI1083" s="43"/>
      <c r="AJ1083" s="43"/>
      <c r="AK1083" s="19">
        <v>3</v>
      </c>
      <c r="AL1083" s="43"/>
      <c r="AM1083" s="43"/>
      <c r="AN1083" s="43"/>
      <c r="AO1083" s="43"/>
      <c r="AP1083" s="43"/>
      <c r="AQ1083" s="43"/>
      <c r="AR1083" s="43"/>
      <c r="AS1083" s="43"/>
      <c r="AT1083" s="43"/>
      <c r="AU1083" s="43"/>
      <c r="AV1083" s="43"/>
    </row>
    <row r="1084" ht="15.75" spans="1:48">
      <c r="A1084" s="12">
        <v>1080</v>
      </c>
      <c r="B1084" s="44">
        <v>3959</v>
      </c>
      <c r="C1084" s="45" t="s">
        <v>123</v>
      </c>
      <c r="D1084" s="46"/>
      <c r="E1084" s="47" t="s">
        <v>113</v>
      </c>
      <c r="F1084" s="48">
        <v>10.66</v>
      </c>
      <c r="G1084" s="38">
        <v>1.33</v>
      </c>
      <c r="H1084" s="39"/>
      <c r="I1084" s="39"/>
      <c r="J1084" s="39"/>
      <c r="K1084" s="39"/>
      <c r="L1084" s="39"/>
      <c r="M1084" s="39"/>
      <c r="N1084" s="39"/>
      <c r="O1084" s="39"/>
      <c r="P1084" s="39"/>
      <c r="Q1084" s="39">
        <v>1.33</v>
      </c>
      <c r="R1084" s="39"/>
      <c r="S1084" s="39"/>
      <c r="T1084" s="39"/>
      <c r="U1084" s="39"/>
      <c r="V1084" s="39"/>
      <c r="W1084" s="39"/>
      <c r="X1084" s="49">
        <v>9276</v>
      </c>
      <c r="Y1084" s="50">
        <v>5330</v>
      </c>
      <c r="Z1084" s="51">
        <v>5330</v>
      </c>
      <c r="AA1084" s="52">
        <f t="shared" si="26"/>
        <v>1</v>
      </c>
      <c r="AB1084" s="12">
        <v>5330</v>
      </c>
      <c r="AC1084" s="12">
        <v>0</v>
      </c>
      <c r="AD1084" s="43"/>
      <c r="AE1084" s="43"/>
      <c r="AF1084" s="43"/>
      <c r="AG1084" s="43"/>
      <c r="AH1084" s="43"/>
      <c r="AI1084" s="43"/>
      <c r="AJ1084" s="43"/>
      <c r="AK1084" s="43"/>
      <c r="AL1084" s="43"/>
      <c r="AM1084" s="43"/>
      <c r="AN1084" s="43"/>
      <c r="AO1084" s="43"/>
      <c r="AP1084" s="43"/>
      <c r="AQ1084" s="43"/>
      <c r="AR1084" s="43"/>
      <c r="AS1084" s="43"/>
      <c r="AT1084" s="43"/>
      <c r="AU1084" s="43"/>
      <c r="AV1084" s="43"/>
    </row>
    <row r="1085" ht="15.75" spans="1:48">
      <c r="A1085" s="12">
        <v>1081</v>
      </c>
      <c r="B1085" s="44" t="s">
        <v>267</v>
      </c>
      <c r="C1085" s="45" t="e">
        <v>#N/A</v>
      </c>
      <c r="D1085" s="46">
        <v>10</v>
      </c>
      <c r="E1085" s="47" t="s">
        <v>113</v>
      </c>
      <c r="F1085" s="48">
        <v>10.5</v>
      </c>
      <c r="G1085" s="38">
        <v>1.5</v>
      </c>
      <c r="H1085" s="39"/>
      <c r="I1085" s="39"/>
      <c r="J1085" s="39"/>
      <c r="K1085" s="39"/>
      <c r="L1085" s="39"/>
      <c r="M1085" s="39"/>
      <c r="N1085" s="39"/>
      <c r="O1085" s="39"/>
      <c r="P1085" s="39"/>
      <c r="Q1085" s="39">
        <v>1.33</v>
      </c>
      <c r="R1085" s="39"/>
      <c r="S1085" s="39"/>
      <c r="T1085" s="39"/>
      <c r="U1085" s="39">
        <v>0.17</v>
      </c>
      <c r="V1085" s="39"/>
      <c r="W1085" s="39"/>
      <c r="X1085" s="49">
        <v>127</v>
      </c>
      <c r="Y1085" s="50">
        <v>5250</v>
      </c>
      <c r="Z1085" s="51">
        <v>5265</v>
      </c>
      <c r="AA1085" s="52">
        <f t="shared" si="26"/>
        <v>1.00285714285714</v>
      </c>
      <c r="AB1085" s="12">
        <v>5265</v>
      </c>
      <c r="AC1085" s="12">
        <v>0</v>
      </c>
      <c r="AD1085" s="43"/>
      <c r="AE1085" s="43"/>
      <c r="AF1085" s="43"/>
      <c r="AG1085" s="43"/>
      <c r="AH1085" s="43"/>
      <c r="AI1085" s="43"/>
      <c r="AJ1085" s="43"/>
      <c r="AK1085" s="43"/>
      <c r="AL1085" s="43"/>
      <c r="AM1085" s="43"/>
      <c r="AN1085" s="43"/>
      <c r="AO1085" s="43"/>
      <c r="AP1085" s="43"/>
      <c r="AQ1085" s="43"/>
      <c r="AR1085" s="43"/>
      <c r="AS1085" s="43"/>
      <c r="AT1085" s="43"/>
      <c r="AU1085" s="43"/>
      <c r="AV1085" s="43"/>
    </row>
    <row r="1086" ht="15.75" spans="1:48">
      <c r="A1086" s="12">
        <v>1082</v>
      </c>
      <c r="B1086" s="44">
        <v>4456</v>
      </c>
      <c r="C1086" s="45" t="s">
        <v>119</v>
      </c>
      <c r="D1086" s="46"/>
      <c r="E1086" s="47" t="s">
        <v>113</v>
      </c>
      <c r="F1086" s="48">
        <v>7</v>
      </c>
      <c r="G1086" s="38">
        <v>1</v>
      </c>
      <c r="H1086" s="39"/>
      <c r="I1086" s="39"/>
      <c r="J1086" s="39"/>
      <c r="K1086" s="39"/>
      <c r="L1086" s="39"/>
      <c r="M1086" s="39"/>
      <c r="N1086" s="39"/>
      <c r="O1086" s="39"/>
      <c r="P1086" s="39"/>
      <c r="Q1086" s="39">
        <v>1</v>
      </c>
      <c r="R1086" s="39"/>
      <c r="S1086" s="39"/>
      <c r="T1086" s="39"/>
      <c r="U1086" s="39"/>
      <c r="V1086" s="39"/>
      <c r="W1086" s="39"/>
      <c r="X1086" s="49" t="s">
        <v>120</v>
      </c>
      <c r="Y1086" s="50">
        <v>1750</v>
      </c>
      <c r="Z1086" s="51">
        <v>1680</v>
      </c>
      <c r="AA1086" s="52">
        <f t="shared" si="26"/>
        <v>0.96</v>
      </c>
      <c r="AB1086" s="12">
        <v>1680</v>
      </c>
      <c r="AC1086" s="12">
        <v>0</v>
      </c>
      <c r="AD1086" s="43"/>
      <c r="AE1086" s="43"/>
      <c r="AF1086" s="43"/>
      <c r="AG1086" s="43"/>
      <c r="AH1086" s="43"/>
      <c r="AI1086" s="43"/>
      <c r="AJ1086" s="43"/>
      <c r="AK1086" s="43"/>
      <c r="AL1086" s="43"/>
      <c r="AM1086" s="43"/>
      <c r="AN1086" s="43"/>
      <c r="AO1086" s="43"/>
      <c r="AP1086" s="43"/>
      <c r="AQ1086" s="43"/>
      <c r="AR1086" s="43"/>
      <c r="AS1086" s="43"/>
      <c r="AT1086" s="43"/>
      <c r="AU1086" s="43"/>
      <c r="AV1086" s="43"/>
    </row>
    <row r="1087" ht="15.75" spans="1:48">
      <c r="A1087" s="12">
        <v>1083</v>
      </c>
      <c r="B1087" s="44">
        <v>4325</v>
      </c>
      <c r="C1087" s="45" t="s">
        <v>118</v>
      </c>
      <c r="D1087" s="46"/>
      <c r="E1087" s="47" t="s">
        <v>113</v>
      </c>
      <c r="F1087" s="48">
        <v>10.66</v>
      </c>
      <c r="G1087" s="38">
        <v>1.33</v>
      </c>
      <c r="H1087" s="39"/>
      <c r="I1087" s="39"/>
      <c r="J1087" s="39"/>
      <c r="K1087" s="39"/>
      <c r="L1087" s="39"/>
      <c r="M1087" s="39"/>
      <c r="N1087" s="39"/>
      <c r="O1087" s="39"/>
      <c r="P1087" s="39"/>
      <c r="Q1087" s="39">
        <v>1.33</v>
      </c>
      <c r="R1087" s="39"/>
      <c r="S1087" s="39"/>
      <c r="T1087" s="39"/>
      <c r="U1087" s="39"/>
      <c r="V1087" s="39"/>
      <c r="W1087" s="39"/>
      <c r="X1087" s="49" t="s">
        <v>213</v>
      </c>
      <c r="Y1087" s="50">
        <v>1279.2</v>
      </c>
      <c r="Z1087" s="51">
        <v>1300</v>
      </c>
      <c r="AA1087" s="52">
        <f t="shared" si="26"/>
        <v>1.01626016260163</v>
      </c>
      <c r="AB1087" s="12">
        <v>1300</v>
      </c>
      <c r="AC1087" s="12">
        <v>0</v>
      </c>
      <c r="AD1087" s="43"/>
      <c r="AE1087" s="43"/>
      <c r="AF1087" s="43"/>
      <c r="AG1087" s="43"/>
      <c r="AH1087" s="43"/>
      <c r="AI1087" s="43"/>
      <c r="AJ1087" s="43"/>
      <c r="AK1087" s="43"/>
      <c r="AL1087" s="43"/>
      <c r="AM1087" s="43"/>
      <c r="AN1087" s="43"/>
      <c r="AO1087" s="43"/>
      <c r="AP1087" s="43"/>
      <c r="AQ1087" s="43"/>
      <c r="AR1087" s="43"/>
      <c r="AS1087" s="43"/>
      <c r="AT1087" s="43"/>
      <c r="AU1087" s="43"/>
      <c r="AV1087" s="43"/>
    </row>
    <row r="1088" ht="15.75" spans="1:48">
      <c r="A1088" s="12">
        <v>1084</v>
      </c>
      <c r="B1088" s="44">
        <v>2649</v>
      </c>
      <c r="C1088" s="45" t="s">
        <v>121</v>
      </c>
      <c r="D1088" s="46"/>
      <c r="E1088" s="47" t="s">
        <v>113</v>
      </c>
      <c r="F1088" s="48">
        <v>8</v>
      </c>
      <c r="G1088" s="38">
        <v>1.33</v>
      </c>
      <c r="H1088" s="39"/>
      <c r="I1088" s="39"/>
      <c r="J1088" s="39"/>
      <c r="K1088" s="39"/>
      <c r="L1088" s="39"/>
      <c r="M1088" s="39"/>
      <c r="N1088" s="39"/>
      <c r="O1088" s="39"/>
      <c r="P1088" s="39"/>
      <c r="Q1088" s="39">
        <v>1.33</v>
      </c>
      <c r="R1088" s="39"/>
      <c r="S1088" s="39"/>
      <c r="T1088" s="39"/>
      <c r="U1088" s="39"/>
      <c r="V1088" s="39"/>
      <c r="W1088" s="39"/>
      <c r="X1088" s="49" t="s">
        <v>120</v>
      </c>
      <c r="Y1088" s="50">
        <v>2000</v>
      </c>
      <c r="Z1088" s="51">
        <v>1950</v>
      </c>
      <c r="AA1088" s="52">
        <f t="shared" si="26"/>
        <v>0.975</v>
      </c>
      <c r="AB1088" s="12">
        <v>1950</v>
      </c>
      <c r="AC1088" s="12">
        <v>0</v>
      </c>
      <c r="AD1088" s="43"/>
      <c r="AE1088" s="43"/>
      <c r="AF1088" s="43"/>
      <c r="AG1088" s="43"/>
      <c r="AH1088" s="43"/>
      <c r="AI1088" s="43"/>
      <c r="AJ1088" s="43"/>
      <c r="AK1088" s="43"/>
      <c r="AL1088" s="43"/>
      <c r="AM1088" s="43"/>
      <c r="AN1088" s="43"/>
      <c r="AO1088" s="43"/>
      <c r="AP1088" s="43"/>
      <c r="AQ1088" s="43"/>
      <c r="AR1088" s="43"/>
      <c r="AS1088" s="43"/>
      <c r="AT1088" s="43"/>
      <c r="AU1088" s="43"/>
      <c r="AV1088" s="43"/>
    </row>
    <row r="1089" ht="15.75" spans="1:48">
      <c r="A1089" s="12">
        <v>1085</v>
      </c>
      <c r="B1089" s="44">
        <v>655</v>
      </c>
      <c r="C1089" s="45" t="s">
        <v>198</v>
      </c>
      <c r="D1089" s="46">
        <v>12</v>
      </c>
      <c r="E1089" s="47" t="s">
        <v>113</v>
      </c>
      <c r="F1089" s="48">
        <v>10.5</v>
      </c>
      <c r="G1089" s="38">
        <v>1.5</v>
      </c>
      <c r="H1089" s="39"/>
      <c r="I1089" s="39"/>
      <c r="J1089" s="39"/>
      <c r="K1089" s="39"/>
      <c r="L1089" s="39"/>
      <c r="M1089" s="39"/>
      <c r="N1089" s="39"/>
      <c r="O1089" s="39"/>
      <c r="P1089" s="39"/>
      <c r="Q1089" s="39">
        <v>1.33</v>
      </c>
      <c r="R1089" s="39"/>
      <c r="S1089" s="39"/>
      <c r="T1089" s="39"/>
      <c r="U1089" s="39">
        <v>0.17</v>
      </c>
      <c r="V1089" s="39"/>
      <c r="W1089" s="39"/>
      <c r="X1089" s="49" t="s">
        <v>71</v>
      </c>
      <c r="Y1089" s="50">
        <v>3517.5</v>
      </c>
      <c r="Z1089" s="51">
        <v>3480</v>
      </c>
      <c r="AA1089" s="52">
        <f t="shared" si="26"/>
        <v>0.989339019189765</v>
      </c>
      <c r="AB1089" s="12">
        <v>3480</v>
      </c>
      <c r="AC1089" s="12">
        <v>0</v>
      </c>
      <c r="AD1089" s="43"/>
      <c r="AE1089" s="43"/>
      <c r="AF1089" s="43"/>
      <c r="AG1089" s="43"/>
      <c r="AH1089" s="43"/>
      <c r="AI1089" s="43"/>
      <c r="AJ1089" s="43"/>
      <c r="AK1089" s="43"/>
      <c r="AL1089" s="43"/>
      <c r="AM1089" s="43"/>
      <c r="AN1089" s="43"/>
      <c r="AO1089" s="43"/>
      <c r="AP1089" s="43"/>
      <c r="AQ1089" s="43"/>
      <c r="AR1089" s="43"/>
      <c r="AS1089" s="43"/>
      <c r="AT1089" s="43"/>
      <c r="AU1089" s="43"/>
      <c r="AV1089" s="43"/>
    </row>
    <row r="1090" ht="15.75" spans="1:48">
      <c r="A1090" s="12">
        <v>1086</v>
      </c>
      <c r="B1090" s="44">
        <v>656</v>
      </c>
      <c r="C1090" s="45" t="s">
        <v>195</v>
      </c>
      <c r="D1090" s="46">
        <v>1</v>
      </c>
      <c r="E1090" s="47" t="s">
        <v>113</v>
      </c>
      <c r="F1090" s="48">
        <v>10.33</v>
      </c>
      <c r="G1090" s="38">
        <v>1.67</v>
      </c>
      <c r="H1090" s="39"/>
      <c r="I1090" s="39"/>
      <c r="J1090" s="39"/>
      <c r="K1090" s="39">
        <v>0.17</v>
      </c>
      <c r="L1090" s="39"/>
      <c r="M1090" s="39"/>
      <c r="N1090" s="39"/>
      <c r="O1090" s="39"/>
      <c r="P1090" s="39"/>
      <c r="Q1090" s="39">
        <v>1.33</v>
      </c>
      <c r="R1090" s="39"/>
      <c r="S1090" s="39"/>
      <c r="T1090" s="39"/>
      <c r="U1090" s="39">
        <v>0.17</v>
      </c>
      <c r="V1090" s="39"/>
      <c r="W1090" s="39"/>
      <c r="X1090" s="49" t="s">
        <v>199</v>
      </c>
      <c r="Y1090" s="50">
        <v>3615.5</v>
      </c>
      <c r="Z1090" s="51">
        <v>3600</v>
      </c>
      <c r="AA1090" s="52">
        <f t="shared" si="26"/>
        <v>0.995712902779698</v>
      </c>
      <c r="AB1090" s="12">
        <v>3600</v>
      </c>
      <c r="AC1090" s="12">
        <v>0</v>
      </c>
      <c r="AD1090" s="43"/>
      <c r="AE1090" s="43"/>
      <c r="AF1090" s="43"/>
      <c r="AG1090" s="43"/>
      <c r="AH1090" s="43"/>
      <c r="AI1090" s="43"/>
      <c r="AJ1090" s="43"/>
      <c r="AK1090" s="43"/>
      <c r="AL1090" s="43"/>
      <c r="AM1090" s="43"/>
      <c r="AN1090" s="43"/>
      <c r="AO1090" s="43"/>
      <c r="AP1090" s="43"/>
      <c r="AQ1090" s="43"/>
      <c r="AR1090" s="43"/>
      <c r="AS1090" s="43"/>
      <c r="AT1090" s="43"/>
      <c r="AU1090" s="43"/>
      <c r="AV1090" s="43"/>
    </row>
    <row r="1091" ht="15.75" spans="1:48">
      <c r="A1091" s="12">
        <v>1087</v>
      </c>
      <c r="B1091" s="44">
        <v>4418</v>
      </c>
      <c r="C1091" s="45" t="s">
        <v>125</v>
      </c>
      <c r="D1091" s="46">
        <v>11</v>
      </c>
      <c r="E1091" s="47" t="s">
        <v>113</v>
      </c>
      <c r="F1091" s="48">
        <v>10.5</v>
      </c>
      <c r="G1091" s="38">
        <v>1.5</v>
      </c>
      <c r="H1091" s="39"/>
      <c r="I1091" s="39"/>
      <c r="J1091" s="39"/>
      <c r="K1091" s="39"/>
      <c r="L1091" s="39"/>
      <c r="M1091" s="39"/>
      <c r="N1091" s="39"/>
      <c r="O1091" s="39"/>
      <c r="P1091" s="39"/>
      <c r="Q1091" s="39">
        <v>1.33</v>
      </c>
      <c r="R1091" s="39"/>
      <c r="S1091" s="39"/>
      <c r="T1091" s="39"/>
      <c r="U1091" s="39">
        <v>0.17</v>
      </c>
      <c r="V1091" s="39"/>
      <c r="W1091" s="39"/>
      <c r="X1091" s="49" t="s">
        <v>239</v>
      </c>
      <c r="Y1091" s="50">
        <v>5355</v>
      </c>
      <c r="Z1091" s="51">
        <v>5265</v>
      </c>
      <c r="AA1091" s="52">
        <f t="shared" si="26"/>
        <v>0.983193277310924</v>
      </c>
      <c r="AB1091" s="12">
        <v>5265</v>
      </c>
      <c r="AC1091" s="12">
        <v>0</v>
      </c>
      <c r="AD1091" s="43"/>
      <c r="AE1091" s="43"/>
      <c r="AF1091" s="43"/>
      <c r="AG1091" s="43"/>
      <c r="AH1091" s="43"/>
      <c r="AI1091" s="43"/>
      <c r="AJ1091" s="43"/>
      <c r="AK1091" s="43"/>
      <c r="AL1091" s="43"/>
      <c r="AM1091" s="43"/>
      <c r="AN1091" s="43"/>
      <c r="AO1091" s="43"/>
      <c r="AP1091" s="43"/>
      <c r="AQ1091" s="43"/>
      <c r="AR1091" s="43"/>
      <c r="AS1091" s="43"/>
      <c r="AT1091" s="43"/>
      <c r="AU1091" s="43"/>
      <c r="AV1091" s="43"/>
    </row>
    <row r="1092" ht="15.75" spans="1:48">
      <c r="A1092" s="12">
        <v>1088</v>
      </c>
      <c r="B1092" s="44">
        <v>4019</v>
      </c>
      <c r="C1092" s="45" t="s">
        <v>134</v>
      </c>
      <c r="D1092" s="46" t="s">
        <v>83</v>
      </c>
      <c r="E1092" s="47"/>
      <c r="F1092" s="48">
        <v>10.17</v>
      </c>
      <c r="G1092" s="38">
        <v>1.83</v>
      </c>
      <c r="H1092" s="39"/>
      <c r="I1092" s="39"/>
      <c r="J1092" s="39"/>
      <c r="K1092" s="39">
        <v>0.17</v>
      </c>
      <c r="L1092" s="39"/>
      <c r="M1092" s="39"/>
      <c r="N1092" s="39"/>
      <c r="O1092" s="39"/>
      <c r="P1092" s="39"/>
      <c r="Q1092" s="39">
        <v>1.33</v>
      </c>
      <c r="R1092" s="39"/>
      <c r="S1092" s="39"/>
      <c r="T1092" s="39"/>
      <c r="U1092" s="39">
        <v>0.33</v>
      </c>
      <c r="V1092" s="39"/>
      <c r="W1092" s="39"/>
      <c r="X1092" s="49" t="s">
        <v>84</v>
      </c>
      <c r="Y1092" s="50">
        <v>50850</v>
      </c>
      <c r="Z1092" s="51">
        <v>46116</v>
      </c>
      <c r="AA1092" s="52">
        <f t="shared" si="26"/>
        <v>0.906902654867257</v>
      </c>
      <c r="AB1092" s="12">
        <v>46032</v>
      </c>
      <c r="AC1092" s="12">
        <v>84</v>
      </c>
      <c r="AD1092" s="43"/>
      <c r="AE1092" s="43"/>
      <c r="AF1092" s="43"/>
      <c r="AG1092" s="19">
        <v>48</v>
      </c>
      <c r="AH1092" s="43"/>
      <c r="AI1092" s="43"/>
      <c r="AJ1092" s="43"/>
      <c r="AK1092" s="43"/>
      <c r="AL1092" s="43"/>
      <c r="AM1092" s="43"/>
      <c r="AN1092" s="19">
        <v>36</v>
      </c>
      <c r="AO1092" s="43"/>
      <c r="AP1092" s="43"/>
      <c r="AQ1092" s="43"/>
      <c r="AR1092" s="43"/>
      <c r="AS1092" s="43"/>
      <c r="AT1092" s="43"/>
      <c r="AU1092" s="43"/>
      <c r="AV1092" s="43"/>
    </row>
    <row r="1093" ht="15.75" spans="1:48">
      <c r="A1093" s="12">
        <v>1089</v>
      </c>
      <c r="B1093" s="44">
        <v>4019</v>
      </c>
      <c r="C1093" s="45" t="s">
        <v>134</v>
      </c>
      <c r="D1093" s="46" t="s">
        <v>78</v>
      </c>
      <c r="E1093" s="47"/>
      <c r="F1093" s="48">
        <v>10.17</v>
      </c>
      <c r="G1093" s="38">
        <v>1.83</v>
      </c>
      <c r="H1093" s="39"/>
      <c r="I1093" s="39"/>
      <c r="J1093" s="39"/>
      <c r="K1093" s="39">
        <v>0.17</v>
      </c>
      <c r="L1093" s="39"/>
      <c r="M1093" s="39"/>
      <c r="N1093" s="39"/>
      <c r="O1093" s="39"/>
      <c r="P1093" s="39"/>
      <c r="Q1093" s="39">
        <v>1.33</v>
      </c>
      <c r="R1093" s="39"/>
      <c r="S1093" s="39"/>
      <c r="T1093" s="39"/>
      <c r="U1093" s="39">
        <v>0.33</v>
      </c>
      <c r="V1093" s="39"/>
      <c r="W1093" s="39"/>
      <c r="X1093" s="49" t="s">
        <v>79</v>
      </c>
      <c r="Y1093" s="50">
        <v>67732.2</v>
      </c>
      <c r="Z1093" s="51">
        <v>61152</v>
      </c>
      <c r="AA1093" s="52">
        <f t="shared" si="26"/>
        <v>0.902849752407275</v>
      </c>
      <c r="AB1093" s="12">
        <v>61024</v>
      </c>
      <c r="AC1093" s="12">
        <v>128</v>
      </c>
      <c r="AD1093" s="43"/>
      <c r="AE1093" s="43"/>
      <c r="AF1093" s="43"/>
      <c r="AG1093" s="19">
        <v>56</v>
      </c>
      <c r="AH1093" s="43"/>
      <c r="AI1093" s="43"/>
      <c r="AJ1093" s="43"/>
      <c r="AK1093" s="43"/>
      <c r="AL1093" s="43"/>
      <c r="AM1093" s="43"/>
      <c r="AN1093" s="19">
        <v>72</v>
      </c>
      <c r="AO1093" s="43"/>
      <c r="AP1093" s="43"/>
      <c r="AQ1093" s="43"/>
      <c r="AR1093" s="43"/>
      <c r="AS1093" s="43"/>
      <c r="AT1093" s="43"/>
      <c r="AU1093" s="43"/>
      <c r="AV1093" s="43"/>
    </row>
    <row r="1094" ht="15.75" spans="1:48">
      <c r="A1094" s="12">
        <v>1090</v>
      </c>
      <c r="B1094" s="44">
        <v>4019</v>
      </c>
      <c r="C1094" s="45" t="s">
        <v>134</v>
      </c>
      <c r="D1094" s="46" t="s">
        <v>76</v>
      </c>
      <c r="E1094" s="47"/>
      <c r="F1094" s="48">
        <v>10.17</v>
      </c>
      <c r="G1094" s="38">
        <v>1.83</v>
      </c>
      <c r="H1094" s="39"/>
      <c r="I1094" s="39"/>
      <c r="J1094" s="39"/>
      <c r="K1094" s="39">
        <v>0.17</v>
      </c>
      <c r="L1094" s="39"/>
      <c r="M1094" s="39"/>
      <c r="N1094" s="39"/>
      <c r="O1094" s="39"/>
      <c r="P1094" s="39"/>
      <c r="Q1094" s="39">
        <v>1.33</v>
      </c>
      <c r="R1094" s="39"/>
      <c r="S1094" s="39"/>
      <c r="T1094" s="39"/>
      <c r="U1094" s="39">
        <v>0.33</v>
      </c>
      <c r="V1094" s="39"/>
      <c r="W1094" s="39"/>
      <c r="X1094" s="49" t="s">
        <v>77</v>
      </c>
      <c r="Y1094" s="50">
        <v>61020</v>
      </c>
      <c r="Z1094" s="51">
        <v>57768</v>
      </c>
      <c r="AA1094" s="52">
        <f t="shared" si="26"/>
        <v>0.946705998033432</v>
      </c>
      <c r="AB1094" s="12">
        <v>57616</v>
      </c>
      <c r="AC1094" s="12">
        <v>152</v>
      </c>
      <c r="AD1094" s="43"/>
      <c r="AE1094" s="43"/>
      <c r="AF1094" s="43"/>
      <c r="AG1094" s="19">
        <v>72</v>
      </c>
      <c r="AH1094" s="43"/>
      <c r="AI1094" s="43"/>
      <c r="AJ1094" s="43"/>
      <c r="AK1094" s="43"/>
      <c r="AL1094" s="43"/>
      <c r="AM1094" s="43"/>
      <c r="AN1094" s="19">
        <v>80</v>
      </c>
      <c r="AO1094" s="43"/>
      <c r="AP1094" s="43"/>
      <c r="AQ1094" s="43"/>
      <c r="AR1094" s="43"/>
      <c r="AS1094" s="43"/>
      <c r="AT1094" s="43"/>
      <c r="AU1094" s="43"/>
      <c r="AV1094" s="43"/>
    </row>
    <row r="1095" ht="15.75" spans="1:48">
      <c r="A1095" s="12">
        <v>1091</v>
      </c>
      <c r="B1095" s="44">
        <v>4352</v>
      </c>
      <c r="C1095" s="45" t="s">
        <v>132</v>
      </c>
      <c r="D1095" s="46" t="s">
        <v>81</v>
      </c>
      <c r="E1095" s="47"/>
      <c r="F1095" s="48">
        <v>10.17</v>
      </c>
      <c r="G1095" s="38">
        <v>1.5</v>
      </c>
      <c r="H1095" s="39"/>
      <c r="I1095" s="39"/>
      <c r="J1095" s="39"/>
      <c r="K1095" s="39"/>
      <c r="L1095" s="39"/>
      <c r="M1095" s="39"/>
      <c r="N1095" s="39"/>
      <c r="O1095" s="39"/>
      <c r="P1095" s="39"/>
      <c r="Q1095" s="39">
        <v>1.33</v>
      </c>
      <c r="R1095" s="39"/>
      <c r="S1095" s="39"/>
      <c r="T1095" s="39"/>
      <c r="U1095" s="39">
        <v>0.17</v>
      </c>
      <c r="V1095" s="39"/>
      <c r="W1095" s="39"/>
      <c r="X1095" s="49" t="s">
        <v>201</v>
      </c>
      <c r="Y1095" s="50">
        <v>16526.25</v>
      </c>
      <c r="Z1095" s="51">
        <v>16626</v>
      </c>
      <c r="AA1095" s="52">
        <f t="shared" si="26"/>
        <v>1.00603585205355</v>
      </c>
      <c r="AB1095" s="12">
        <v>16612</v>
      </c>
      <c r="AC1095" s="12">
        <v>14</v>
      </c>
      <c r="AD1095" s="43"/>
      <c r="AE1095" s="43"/>
      <c r="AF1095" s="43"/>
      <c r="AG1095" s="19">
        <v>14</v>
      </c>
      <c r="AH1095" s="43"/>
      <c r="AI1095" s="43"/>
      <c r="AJ1095" s="43"/>
      <c r="AK1095" s="43"/>
      <c r="AL1095" s="43"/>
      <c r="AM1095" s="43"/>
      <c r="AN1095" s="43"/>
      <c r="AO1095" s="43"/>
      <c r="AP1095" s="43"/>
      <c r="AQ1095" s="43"/>
      <c r="AR1095" s="43"/>
      <c r="AS1095" s="43"/>
      <c r="AT1095" s="43"/>
      <c r="AU1095" s="43"/>
      <c r="AV1095" s="43"/>
    </row>
    <row r="1096" ht="15.75" spans="1:48">
      <c r="A1096" s="12">
        <v>1092</v>
      </c>
      <c r="B1096" s="44">
        <v>4352</v>
      </c>
      <c r="C1096" s="45" t="s">
        <v>132</v>
      </c>
      <c r="D1096" s="46" t="s">
        <v>81</v>
      </c>
      <c r="E1096" s="47"/>
      <c r="F1096" s="48">
        <v>0.33</v>
      </c>
      <c r="G1096" s="38">
        <v>0</v>
      </c>
      <c r="H1096" s="39"/>
      <c r="I1096" s="39"/>
      <c r="J1096" s="39"/>
      <c r="K1096" s="39"/>
      <c r="L1096" s="39"/>
      <c r="M1096" s="39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49" t="s">
        <v>210</v>
      </c>
      <c r="Y1096" s="50">
        <v>536.25</v>
      </c>
      <c r="Z1096" s="51">
        <v>560</v>
      </c>
      <c r="AA1096" s="52">
        <f t="shared" si="26"/>
        <v>1.04428904428904</v>
      </c>
      <c r="AB1096" s="12">
        <v>560</v>
      </c>
      <c r="AC1096" s="12">
        <v>0</v>
      </c>
      <c r="AD1096" s="43"/>
      <c r="AE1096" s="43"/>
      <c r="AF1096" s="43"/>
      <c r="AG1096" s="43"/>
      <c r="AH1096" s="43"/>
      <c r="AI1096" s="43"/>
      <c r="AJ1096" s="43"/>
      <c r="AK1096" s="43"/>
      <c r="AL1096" s="43"/>
      <c r="AM1096" s="43"/>
      <c r="AN1096" s="43"/>
      <c r="AO1096" s="43"/>
      <c r="AP1096" s="43"/>
      <c r="AQ1096" s="43"/>
      <c r="AR1096" s="43"/>
      <c r="AS1096" s="43"/>
      <c r="AT1096" s="43"/>
      <c r="AU1096" s="43"/>
      <c r="AV1096" s="43"/>
    </row>
    <row r="1097" ht="15.75" spans="1:48">
      <c r="A1097" s="12">
        <v>1093</v>
      </c>
      <c r="B1097" s="44">
        <v>4496</v>
      </c>
      <c r="C1097" s="45" t="s">
        <v>133</v>
      </c>
      <c r="D1097" s="46" t="s">
        <v>129</v>
      </c>
      <c r="E1097" s="47"/>
      <c r="F1097" s="48">
        <v>7.17</v>
      </c>
      <c r="G1097" s="38">
        <v>1.83</v>
      </c>
      <c r="H1097" s="39"/>
      <c r="I1097" s="39"/>
      <c r="J1097" s="39"/>
      <c r="K1097" s="39">
        <v>0.33</v>
      </c>
      <c r="L1097" s="39"/>
      <c r="M1097" s="39"/>
      <c r="N1097" s="39"/>
      <c r="O1097" s="39"/>
      <c r="P1097" s="39"/>
      <c r="Q1097" s="39">
        <v>1.33</v>
      </c>
      <c r="R1097" s="39"/>
      <c r="S1097" s="39"/>
      <c r="T1097" s="39"/>
      <c r="U1097" s="39">
        <v>0.17</v>
      </c>
      <c r="V1097" s="39"/>
      <c r="W1097" s="39"/>
      <c r="X1097" s="49" t="s">
        <v>274</v>
      </c>
      <c r="Y1097" s="50">
        <v>17208</v>
      </c>
      <c r="Z1097" s="51">
        <v>14960</v>
      </c>
      <c r="AA1097" s="52">
        <f t="shared" si="26"/>
        <v>0.869363086936309</v>
      </c>
      <c r="AB1097" s="12">
        <v>14960</v>
      </c>
      <c r="AC1097" s="12">
        <v>0</v>
      </c>
      <c r="AD1097" s="43"/>
      <c r="AE1097" s="43"/>
      <c r="AF1097" s="43"/>
      <c r="AG1097" s="43"/>
      <c r="AH1097" s="43"/>
      <c r="AI1097" s="43"/>
      <c r="AJ1097" s="43"/>
      <c r="AK1097" s="43"/>
      <c r="AL1097" s="43"/>
      <c r="AM1097" s="43"/>
      <c r="AN1097" s="43"/>
      <c r="AO1097" s="43"/>
      <c r="AP1097" s="43"/>
      <c r="AQ1097" s="43"/>
      <c r="AR1097" s="43"/>
      <c r="AS1097" s="43"/>
      <c r="AT1097" s="43"/>
      <c r="AU1097" s="43"/>
      <c r="AV1097" s="43"/>
    </row>
    <row r="1098" ht="15.75" spans="1:48">
      <c r="A1098" s="12">
        <v>1094</v>
      </c>
      <c r="B1098" s="44">
        <v>4496</v>
      </c>
      <c r="C1098" s="45" t="s">
        <v>133</v>
      </c>
      <c r="D1098" s="46"/>
      <c r="E1098" s="47"/>
      <c r="F1098" s="48">
        <v>3</v>
      </c>
      <c r="G1098" s="38">
        <v>0</v>
      </c>
      <c r="H1098" s="39"/>
      <c r="I1098" s="39"/>
      <c r="J1098" s="39"/>
      <c r="K1098" s="39"/>
      <c r="L1098" s="39"/>
      <c r="M1098" s="39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49" t="s">
        <v>140</v>
      </c>
      <c r="Y1098" s="50">
        <v>0</v>
      </c>
      <c r="Z1098" s="51"/>
      <c r="AA1098" s="52">
        <f t="shared" si="26"/>
        <v>0</v>
      </c>
      <c r="AB1098" s="12">
        <v>0</v>
      </c>
      <c r="AC1098" s="12">
        <v>0</v>
      </c>
      <c r="AD1098" s="43"/>
      <c r="AE1098" s="43"/>
      <c r="AF1098" s="43"/>
      <c r="AG1098" s="43"/>
      <c r="AH1098" s="43"/>
      <c r="AI1098" s="43"/>
      <c r="AJ1098" s="43"/>
      <c r="AK1098" s="43"/>
      <c r="AL1098" s="43"/>
      <c r="AM1098" s="43"/>
      <c r="AN1098" s="43"/>
      <c r="AO1098" s="43"/>
      <c r="AP1098" s="43"/>
      <c r="AQ1098" s="43"/>
      <c r="AR1098" s="43"/>
      <c r="AS1098" s="43"/>
      <c r="AT1098" s="43"/>
      <c r="AU1098" s="43"/>
      <c r="AV1098" s="43"/>
    </row>
    <row r="1099" ht="15.75" spans="1:48">
      <c r="A1099" s="12">
        <v>1095</v>
      </c>
      <c r="B1099" s="44">
        <v>2865</v>
      </c>
      <c r="C1099" s="45" t="s">
        <v>149</v>
      </c>
      <c r="D1099" s="46">
        <v>2</v>
      </c>
      <c r="E1099" s="47"/>
      <c r="F1099" s="48">
        <v>5.83</v>
      </c>
      <c r="G1099" s="38">
        <v>2.17</v>
      </c>
      <c r="H1099" s="39"/>
      <c r="I1099" s="39"/>
      <c r="J1099" s="39"/>
      <c r="K1099" s="39"/>
      <c r="L1099" s="39"/>
      <c r="M1099" s="39"/>
      <c r="N1099" s="39"/>
      <c r="O1099" s="39"/>
      <c r="P1099" s="39"/>
      <c r="Q1099" s="39">
        <v>1.33</v>
      </c>
      <c r="R1099" s="39"/>
      <c r="S1099" s="39">
        <v>0.67</v>
      </c>
      <c r="T1099" s="39">
        <v>0.17</v>
      </c>
      <c r="U1099" s="39"/>
      <c r="V1099" s="39"/>
      <c r="W1099" s="39"/>
      <c r="X1099" s="49">
        <v>8234</v>
      </c>
      <c r="Y1099" s="50">
        <v>3847.8</v>
      </c>
      <c r="Z1099" s="51">
        <v>3800</v>
      </c>
      <c r="AA1099" s="52">
        <f t="shared" si="26"/>
        <v>0.987577316908363</v>
      </c>
      <c r="AB1099" s="12">
        <v>3800</v>
      </c>
      <c r="AC1099" s="12">
        <v>0</v>
      </c>
      <c r="AD1099" s="43"/>
      <c r="AE1099" s="43"/>
      <c r="AF1099" s="43"/>
      <c r="AG1099" s="43"/>
      <c r="AH1099" s="43"/>
      <c r="AI1099" s="43"/>
      <c r="AJ1099" s="43"/>
      <c r="AK1099" s="43"/>
      <c r="AL1099" s="43"/>
      <c r="AM1099" s="43"/>
      <c r="AN1099" s="43"/>
      <c r="AO1099" s="43"/>
      <c r="AP1099" s="43"/>
      <c r="AQ1099" s="43"/>
      <c r="AR1099" s="43"/>
      <c r="AS1099" s="43"/>
      <c r="AT1099" s="43"/>
      <c r="AU1099" s="43"/>
      <c r="AV1099" s="43"/>
    </row>
    <row r="1100" ht="15.75" spans="1:48">
      <c r="A1100" s="12">
        <v>1096</v>
      </c>
      <c r="B1100" s="44">
        <v>2865</v>
      </c>
      <c r="C1100" s="45" t="s">
        <v>149</v>
      </c>
      <c r="D1100" s="46"/>
      <c r="E1100" s="47"/>
      <c r="F1100" s="48">
        <v>2.5</v>
      </c>
      <c r="G1100" s="38">
        <v>0</v>
      </c>
      <c r="H1100" s="39"/>
      <c r="I1100" s="39"/>
      <c r="J1100" s="39"/>
      <c r="K1100" s="39"/>
      <c r="L1100" s="39"/>
      <c r="M1100" s="39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49" t="s">
        <v>155</v>
      </c>
      <c r="Y1100" s="50">
        <v>0</v>
      </c>
      <c r="Z1100" s="51"/>
      <c r="AA1100" s="52">
        <f t="shared" si="26"/>
        <v>0</v>
      </c>
      <c r="AB1100" s="12">
        <v>0</v>
      </c>
      <c r="AC1100" s="12">
        <v>0</v>
      </c>
      <c r="AD1100" s="43"/>
      <c r="AE1100" s="43"/>
      <c r="AF1100" s="43"/>
      <c r="AG1100" s="43"/>
      <c r="AH1100" s="43"/>
      <c r="AI1100" s="43"/>
      <c r="AJ1100" s="43"/>
      <c r="AK1100" s="43"/>
      <c r="AL1100" s="43"/>
      <c r="AM1100" s="43"/>
      <c r="AN1100" s="43"/>
      <c r="AO1100" s="43"/>
      <c r="AP1100" s="43"/>
      <c r="AQ1100" s="43"/>
      <c r="AR1100" s="43"/>
      <c r="AS1100" s="43"/>
      <c r="AT1100" s="43"/>
      <c r="AU1100" s="43"/>
      <c r="AV1100" s="43"/>
    </row>
    <row r="1101" ht="15.75" spans="1:48">
      <c r="A1101" s="12">
        <v>1097</v>
      </c>
      <c r="B1101" s="44">
        <v>4384</v>
      </c>
      <c r="C1101" s="45" t="s">
        <v>145</v>
      </c>
      <c r="D1101" s="46">
        <v>17</v>
      </c>
      <c r="E1101" s="47"/>
      <c r="F1101" s="48">
        <v>9.67</v>
      </c>
      <c r="G1101" s="38">
        <v>2.33</v>
      </c>
      <c r="H1101" s="39"/>
      <c r="I1101" s="39"/>
      <c r="J1101" s="39"/>
      <c r="K1101" s="39">
        <v>0.33</v>
      </c>
      <c r="L1101" s="39"/>
      <c r="M1101" s="39"/>
      <c r="N1101" s="39"/>
      <c r="O1101" s="39"/>
      <c r="P1101" s="39"/>
      <c r="Q1101" s="39">
        <v>1.33</v>
      </c>
      <c r="R1101" s="39"/>
      <c r="S1101" s="39"/>
      <c r="T1101" s="39">
        <v>0.5</v>
      </c>
      <c r="U1101" s="39">
        <v>0.17</v>
      </c>
      <c r="V1101" s="39"/>
      <c r="W1101" s="39"/>
      <c r="X1101" s="49">
        <v>977</v>
      </c>
      <c r="Y1101" s="50">
        <v>2175.75</v>
      </c>
      <c r="Z1101" s="51">
        <v>1633</v>
      </c>
      <c r="AA1101" s="52">
        <f t="shared" si="26"/>
        <v>0.750545788808457</v>
      </c>
      <c r="AB1101" s="12">
        <v>1350</v>
      </c>
      <c r="AC1101" s="12">
        <v>283</v>
      </c>
      <c r="AD1101" s="19">
        <v>283</v>
      </c>
      <c r="AE1101" s="43"/>
      <c r="AF1101" s="43"/>
      <c r="AG1101" s="43"/>
      <c r="AH1101" s="43"/>
      <c r="AI1101" s="43"/>
      <c r="AJ1101" s="43"/>
      <c r="AK1101" s="43"/>
      <c r="AL1101" s="43"/>
      <c r="AM1101" s="43"/>
      <c r="AN1101" s="43"/>
      <c r="AO1101" s="43"/>
      <c r="AP1101" s="43"/>
      <c r="AQ1101" s="43"/>
      <c r="AR1101" s="43"/>
      <c r="AS1101" s="43"/>
      <c r="AT1101" s="43"/>
      <c r="AU1101" s="43"/>
      <c r="AV1101" s="43"/>
    </row>
    <row r="1102" ht="15.75" spans="1:48">
      <c r="A1102" s="12">
        <v>1098</v>
      </c>
      <c r="B1102" s="44">
        <v>4017</v>
      </c>
      <c r="C1102" s="45" t="s">
        <v>148</v>
      </c>
      <c r="D1102" s="46">
        <v>18</v>
      </c>
      <c r="E1102" s="47"/>
      <c r="F1102" s="48">
        <v>0.67</v>
      </c>
      <c r="G1102" s="38">
        <v>0</v>
      </c>
      <c r="H1102" s="39"/>
      <c r="I1102" s="39"/>
      <c r="J1102" s="39"/>
      <c r="K1102" s="39"/>
      <c r="L1102" s="39"/>
      <c r="M1102" s="39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49">
        <v>2801</v>
      </c>
      <c r="Y1102" s="50">
        <v>405.35</v>
      </c>
      <c r="Z1102" s="51">
        <v>360</v>
      </c>
      <c r="AA1102" s="52">
        <f t="shared" si="26"/>
        <v>0.888121376588134</v>
      </c>
      <c r="AB1102" s="12">
        <v>355</v>
      </c>
      <c r="AC1102" s="12">
        <v>5</v>
      </c>
      <c r="AD1102" s="19">
        <v>5</v>
      </c>
      <c r="AE1102" s="43"/>
      <c r="AF1102" s="43"/>
      <c r="AG1102" s="43"/>
      <c r="AH1102" s="43"/>
      <c r="AI1102" s="43"/>
      <c r="AJ1102" s="43"/>
      <c r="AK1102" s="43"/>
      <c r="AL1102" s="43"/>
      <c r="AM1102" s="43"/>
      <c r="AN1102" s="43"/>
      <c r="AO1102" s="43"/>
      <c r="AP1102" s="43"/>
      <c r="AQ1102" s="43"/>
      <c r="AR1102" s="43"/>
      <c r="AS1102" s="43"/>
      <c r="AT1102" s="43"/>
      <c r="AU1102" s="43"/>
      <c r="AV1102" s="43"/>
    </row>
    <row r="1103" ht="15.75" spans="1:48">
      <c r="A1103" s="12">
        <v>1099</v>
      </c>
      <c r="B1103" s="44">
        <v>4110</v>
      </c>
      <c r="C1103" s="45" t="s">
        <v>135</v>
      </c>
      <c r="D1103" s="46">
        <v>8</v>
      </c>
      <c r="E1103" s="47"/>
      <c r="F1103" s="48">
        <v>1.17</v>
      </c>
      <c r="G1103" s="38">
        <v>0.34</v>
      </c>
      <c r="H1103" s="39"/>
      <c r="I1103" s="39"/>
      <c r="J1103" s="39">
        <v>0.17</v>
      </c>
      <c r="K1103" s="39"/>
      <c r="L1103" s="39"/>
      <c r="M1103" s="39"/>
      <c r="N1103" s="39"/>
      <c r="O1103" s="39"/>
      <c r="P1103" s="39"/>
      <c r="Q1103" s="39"/>
      <c r="R1103" s="39"/>
      <c r="S1103" s="39"/>
      <c r="T1103" s="39">
        <v>0.17</v>
      </c>
      <c r="U1103" s="39"/>
      <c r="V1103" s="39"/>
      <c r="W1103" s="39"/>
      <c r="X1103" s="49">
        <v>6270</v>
      </c>
      <c r="Y1103" s="50">
        <v>707.85</v>
      </c>
      <c r="Z1103" s="51">
        <v>720</v>
      </c>
      <c r="AA1103" s="52">
        <f t="shared" si="26"/>
        <v>1.01716465352829</v>
      </c>
      <c r="AB1103" s="12">
        <v>682</v>
      </c>
      <c r="AC1103" s="12">
        <v>38</v>
      </c>
      <c r="AD1103" s="19">
        <v>38</v>
      </c>
      <c r="AE1103" s="43"/>
      <c r="AF1103" s="43"/>
      <c r="AG1103" s="43"/>
      <c r="AH1103" s="43"/>
      <c r="AI1103" s="43"/>
      <c r="AJ1103" s="43"/>
      <c r="AK1103" s="43"/>
      <c r="AL1103" s="43"/>
      <c r="AM1103" s="43"/>
      <c r="AN1103" s="43"/>
      <c r="AO1103" s="43"/>
      <c r="AP1103" s="43"/>
      <c r="AQ1103" s="43"/>
      <c r="AR1103" s="43"/>
      <c r="AS1103" s="43"/>
      <c r="AT1103" s="43"/>
      <c r="AU1103" s="43"/>
      <c r="AV1103" s="43"/>
    </row>
    <row r="1104" ht="15.75" spans="1:48">
      <c r="A1104" s="12">
        <v>1100</v>
      </c>
      <c r="B1104" s="44">
        <v>551</v>
      </c>
      <c r="C1104" s="45" t="s">
        <v>146</v>
      </c>
      <c r="D1104" s="46">
        <v>6</v>
      </c>
      <c r="E1104" s="47"/>
      <c r="F1104" s="48">
        <v>4.5</v>
      </c>
      <c r="G1104" s="38">
        <v>0.67</v>
      </c>
      <c r="H1104" s="39"/>
      <c r="I1104" s="39"/>
      <c r="J1104" s="39"/>
      <c r="K1104" s="39">
        <v>0.17</v>
      </c>
      <c r="L1104" s="39"/>
      <c r="M1104" s="39"/>
      <c r="N1104" s="39"/>
      <c r="O1104" s="39"/>
      <c r="P1104" s="39"/>
      <c r="Q1104" s="39"/>
      <c r="R1104" s="39"/>
      <c r="S1104" s="39"/>
      <c r="T1104" s="39">
        <v>0.5</v>
      </c>
      <c r="U1104" s="39"/>
      <c r="V1104" s="39"/>
      <c r="W1104" s="39"/>
      <c r="X1104" s="49">
        <v>8235</v>
      </c>
      <c r="Y1104" s="50">
        <v>2970</v>
      </c>
      <c r="Z1104" s="51">
        <v>3170</v>
      </c>
      <c r="AA1104" s="52">
        <f t="shared" si="26"/>
        <v>1.06734006734007</v>
      </c>
      <c r="AB1104" s="12">
        <v>2900</v>
      </c>
      <c r="AC1104" s="12">
        <v>270</v>
      </c>
      <c r="AD1104" s="19">
        <v>270</v>
      </c>
      <c r="AE1104" s="43"/>
      <c r="AF1104" s="43"/>
      <c r="AG1104" s="43"/>
      <c r="AH1104" s="43"/>
      <c r="AI1104" s="43"/>
      <c r="AJ1104" s="43"/>
      <c r="AK1104" s="43"/>
      <c r="AL1104" s="43"/>
      <c r="AM1104" s="43"/>
      <c r="AN1104" s="43"/>
      <c r="AO1104" s="43"/>
      <c r="AP1104" s="43"/>
      <c r="AQ1104" s="43"/>
      <c r="AR1104" s="43"/>
      <c r="AS1104" s="43"/>
      <c r="AT1104" s="43"/>
      <c r="AU1104" s="43"/>
      <c r="AV1104" s="43"/>
    </row>
    <row r="1105" ht="15.75" spans="1:48">
      <c r="A1105" s="12">
        <v>1101</v>
      </c>
      <c r="B1105" s="44">
        <v>551</v>
      </c>
      <c r="C1105" s="45" t="s">
        <v>146</v>
      </c>
      <c r="D1105" s="46">
        <v>5</v>
      </c>
      <c r="E1105" s="47"/>
      <c r="F1105" s="48">
        <v>2.83</v>
      </c>
      <c r="G1105" s="38">
        <v>0</v>
      </c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49">
        <v>5770</v>
      </c>
      <c r="Y1105" s="50">
        <v>1712.15</v>
      </c>
      <c r="Z1105" s="51">
        <v>1680</v>
      </c>
      <c r="AA1105" s="52">
        <f t="shared" si="26"/>
        <v>0.981222439622697</v>
      </c>
      <c r="AB1105" s="12">
        <v>1645</v>
      </c>
      <c r="AC1105" s="12">
        <v>35</v>
      </c>
      <c r="AD1105" s="19">
        <v>35</v>
      </c>
      <c r="AE1105" s="43"/>
      <c r="AF1105" s="43"/>
      <c r="AG1105" s="43"/>
      <c r="AH1105" s="43"/>
      <c r="AI1105" s="43"/>
      <c r="AJ1105" s="43"/>
      <c r="AK1105" s="43"/>
      <c r="AL1105" s="43"/>
      <c r="AM1105" s="43"/>
      <c r="AN1105" s="43"/>
      <c r="AO1105" s="43"/>
      <c r="AP1105" s="43"/>
      <c r="AQ1105" s="43"/>
      <c r="AR1105" s="43"/>
      <c r="AS1105" s="43"/>
      <c r="AT1105" s="43"/>
      <c r="AU1105" s="43"/>
      <c r="AV1105" s="43"/>
    </row>
    <row r="1106" ht="15.75" spans="1:48">
      <c r="A1106" s="12">
        <v>1102</v>
      </c>
      <c r="B1106" s="44">
        <v>4017</v>
      </c>
      <c r="C1106" s="45" t="s">
        <v>148</v>
      </c>
      <c r="D1106" s="46">
        <v>5</v>
      </c>
      <c r="E1106" s="47"/>
      <c r="F1106" s="48">
        <v>2.83</v>
      </c>
      <c r="G1106" s="38">
        <v>0.17</v>
      </c>
      <c r="H1106" s="39"/>
      <c r="I1106" s="39"/>
      <c r="J1106" s="39">
        <v>0.17</v>
      </c>
      <c r="K1106" s="39"/>
      <c r="L1106" s="39"/>
      <c r="M1106" s="39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49">
        <v>5770</v>
      </c>
      <c r="Y1106" s="50">
        <v>1712.15</v>
      </c>
      <c r="Z1106" s="51">
        <v>1618</v>
      </c>
      <c r="AA1106" s="52">
        <f t="shared" si="26"/>
        <v>0.945010659112811</v>
      </c>
      <c r="AB1106" s="12">
        <v>1605</v>
      </c>
      <c r="AC1106" s="12">
        <v>13</v>
      </c>
      <c r="AD1106" s="19">
        <v>13</v>
      </c>
      <c r="AE1106" s="43"/>
      <c r="AF1106" s="43"/>
      <c r="AG1106" s="43"/>
      <c r="AH1106" s="43"/>
      <c r="AI1106" s="43"/>
      <c r="AJ1106" s="43"/>
      <c r="AK1106" s="43"/>
      <c r="AL1106" s="43"/>
      <c r="AM1106" s="43"/>
      <c r="AN1106" s="43"/>
      <c r="AO1106" s="43"/>
      <c r="AP1106" s="43"/>
      <c r="AQ1106" s="43"/>
      <c r="AR1106" s="43"/>
      <c r="AS1106" s="43"/>
      <c r="AT1106" s="43"/>
      <c r="AU1106" s="43"/>
      <c r="AV1106" s="43"/>
    </row>
    <row r="1107" ht="15.75" spans="1:48">
      <c r="A1107" s="12">
        <v>1103</v>
      </c>
      <c r="B1107" s="44">
        <v>4017</v>
      </c>
      <c r="C1107" s="45" t="s">
        <v>148</v>
      </c>
      <c r="D1107" s="46">
        <v>15</v>
      </c>
      <c r="E1107" s="47"/>
      <c r="F1107" s="48">
        <v>2</v>
      </c>
      <c r="G1107" s="38">
        <v>1.5</v>
      </c>
      <c r="H1107" s="39"/>
      <c r="I1107" s="39"/>
      <c r="J1107" s="39"/>
      <c r="K1107" s="39">
        <v>0.17</v>
      </c>
      <c r="L1107" s="39"/>
      <c r="M1107" s="39"/>
      <c r="N1107" s="39"/>
      <c r="O1107" s="39"/>
      <c r="P1107" s="39"/>
      <c r="Q1107" s="39">
        <v>1.33</v>
      </c>
      <c r="R1107" s="39"/>
      <c r="S1107" s="39"/>
      <c r="T1107" s="39"/>
      <c r="U1107" s="39"/>
      <c r="V1107" s="39"/>
      <c r="W1107" s="39"/>
      <c r="X1107" s="49">
        <v>3880</v>
      </c>
      <c r="Y1107" s="50">
        <v>800</v>
      </c>
      <c r="Z1107" s="51">
        <v>702</v>
      </c>
      <c r="AA1107" s="52">
        <f t="shared" si="26"/>
        <v>0.8775</v>
      </c>
      <c r="AB1107" s="12">
        <v>518</v>
      </c>
      <c r="AC1107" s="12">
        <v>184</v>
      </c>
      <c r="AD1107" s="19">
        <v>184</v>
      </c>
      <c r="AE1107" s="43"/>
      <c r="AF1107" s="43"/>
      <c r="AG1107" s="43"/>
      <c r="AH1107" s="43"/>
      <c r="AI1107" s="43"/>
      <c r="AJ1107" s="43"/>
      <c r="AK1107" s="43"/>
      <c r="AL1107" s="43"/>
      <c r="AM1107" s="43"/>
      <c r="AN1107" s="43"/>
      <c r="AO1107" s="43"/>
      <c r="AP1107" s="43"/>
      <c r="AQ1107" s="43"/>
      <c r="AR1107" s="43"/>
      <c r="AS1107" s="43"/>
      <c r="AT1107" s="43"/>
      <c r="AU1107" s="43"/>
      <c r="AV1107" s="43"/>
    </row>
    <row r="1108" ht="15.75" spans="1:48">
      <c r="A1108" s="12">
        <v>1104</v>
      </c>
      <c r="B1108" s="44">
        <v>947</v>
      </c>
      <c r="C1108" s="45" t="s">
        <v>143</v>
      </c>
      <c r="D1108" s="46">
        <v>8</v>
      </c>
      <c r="E1108" s="47"/>
      <c r="F1108" s="48">
        <v>6.17</v>
      </c>
      <c r="G1108" s="38">
        <v>2.17</v>
      </c>
      <c r="H1108" s="39"/>
      <c r="I1108" s="39"/>
      <c r="J1108" s="39"/>
      <c r="K1108" s="39"/>
      <c r="L1108" s="39"/>
      <c r="M1108" s="39"/>
      <c r="N1108" s="39"/>
      <c r="O1108" s="39"/>
      <c r="P1108" s="39"/>
      <c r="Q1108" s="39">
        <v>1.33</v>
      </c>
      <c r="R1108" s="39"/>
      <c r="S1108" s="39"/>
      <c r="T1108" s="39">
        <v>0.67</v>
      </c>
      <c r="U1108" s="39">
        <v>0.17</v>
      </c>
      <c r="V1108" s="39"/>
      <c r="W1108" s="39"/>
      <c r="X1108" s="49">
        <v>6270</v>
      </c>
      <c r="Y1108" s="50">
        <v>3732.85</v>
      </c>
      <c r="Z1108" s="51">
        <v>4034</v>
      </c>
      <c r="AA1108" s="52">
        <f t="shared" si="26"/>
        <v>1.08067562318336</v>
      </c>
      <c r="AB1108" s="12">
        <v>3930</v>
      </c>
      <c r="AC1108" s="12">
        <v>104</v>
      </c>
      <c r="AD1108" s="19">
        <v>104</v>
      </c>
      <c r="AE1108" s="43"/>
      <c r="AF1108" s="43"/>
      <c r="AG1108" s="43"/>
      <c r="AH1108" s="43"/>
      <c r="AI1108" s="43"/>
      <c r="AJ1108" s="43"/>
      <c r="AK1108" s="43"/>
      <c r="AL1108" s="43"/>
      <c r="AM1108" s="43"/>
      <c r="AN1108" s="43"/>
      <c r="AO1108" s="43"/>
      <c r="AP1108" s="43"/>
      <c r="AQ1108" s="43"/>
      <c r="AR1108" s="43"/>
      <c r="AS1108" s="43"/>
      <c r="AT1108" s="43"/>
      <c r="AU1108" s="43"/>
      <c r="AV1108" s="43"/>
    </row>
    <row r="1109" ht="15.75" spans="1:48">
      <c r="A1109" s="12">
        <v>1105</v>
      </c>
      <c r="B1109" s="44">
        <v>947</v>
      </c>
      <c r="C1109" s="45" t="s">
        <v>143</v>
      </c>
      <c r="D1109" s="46">
        <v>18</v>
      </c>
      <c r="E1109" s="47"/>
      <c r="F1109" s="48">
        <v>1</v>
      </c>
      <c r="G1109" s="38">
        <v>0.17</v>
      </c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  <c r="S1109" s="39"/>
      <c r="T1109" s="39"/>
      <c r="U1109" s="39">
        <v>0.17</v>
      </c>
      <c r="V1109" s="39"/>
      <c r="W1109" s="39"/>
      <c r="X1109" s="49">
        <v>2801</v>
      </c>
      <c r="Y1109" s="50">
        <v>605</v>
      </c>
      <c r="Z1109" s="51">
        <v>550</v>
      </c>
      <c r="AA1109" s="52">
        <f t="shared" si="26"/>
        <v>0.909090909090909</v>
      </c>
      <c r="AB1109" s="12">
        <v>516</v>
      </c>
      <c r="AC1109" s="12">
        <v>34</v>
      </c>
      <c r="AD1109" s="19">
        <v>34</v>
      </c>
      <c r="AE1109" s="43"/>
      <c r="AF1109" s="43"/>
      <c r="AG1109" s="43"/>
      <c r="AH1109" s="43"/>
      <c r="AI1109" s="43"/>
      <c r="AJ1109" s="43"/>
      <c r="AK1109" s="43"/>
      <c r="AL1109" s="43"/>
      <c r="AM1109" s="43"/>
      <c r="AN1109" s="43"/>
      <c r="AO1109" s="43"/>
      <c r="AP1109" s="43"/>
      <c r="AQ1109" s="43"/>
      <c r="AR1109" s="43"/>
      <c r="AS1109" s="43"/>
      <c r="AT1109" s="43"/>
      <c r="AU1109" s="43"/>
      <c r="AV1109" s="43"/>
    </row>
    <row r="1110" ht="15.75" spans="1:48">
      <c r="A1110" s="12">
        <v>1106</v>
      </c>
      <c r="B1110" s="44">
        <v>692</v>
      </c>
      <c r="C1110" s="45" t="s">
        <v>142</v>
      </c>
      <c r="D1110" s="46">
        <v>21</v>
      </c>
      <c r="E1110" s="47"/>
      <c r="F1110" s="48">
        <v>6.67</v>
      </c>
      <c r="G1110" s="38">
        <v>2.5</v>
      </c>
      <c r="H1110" s="39"/>
      <c r="I1110" s="39"/>
      <c r="J1110" s="39"/>
      <c r="K1110" s="39"/>
      <c r="L1110" s="39"/>
      <c r="M1110" s="39"/>
      <c r="N1110" s="39"/>
      <c r="O1110" s="39"/>
      <c r="P1110" s="39"/>
      <c r="Q1110" s="39">
        <v>1.33</v>
      </c>
      <c r="R1110" s="39"/>
      <c r="S1110" s="39">
        <v>1</v>
      </c>
      <c r="T1110" s="39"/>
      <c r="U1110" s="39">
        <v>0.17</v>
      </c>
      <c r="V1110" s="39"/>
      <c r="W1110" s="39"/>
      <c r="X1110" s="49" t="s">
        <v>222</v>
      </c>
      <c r="Y1110" s="50">
        <v>9671.5</v>
      </c>
      <c r="Z1110" s="51">
        <v>9270</v>
      </c>
      <c r="AA1110" s="52">
        <f t="shared" si="26"/>
        <v>0.958486274104327</v>
      </c>
      <c r="AB1110" s="12">
        <v>9270</v>
      </c>
      <c r="AC1110" s="12">
        <v>0</v>
      </c>
      <c r="AD1110" s="43"/>
      <c r="AE1110" s="43"/>
      <c r="AF1110" s="43"/>
      <c r="AG1110" s="43"/>
      <c r="AH1110" s="43"/>
      <c r="AI1110" s="43"/>
      <c r="AJ1110" s="43"/>
      <c r="AK1110" s="43"/>
      <c r="AL1110" s="43"/>
      <c r="AM1110" s="43"/>
      <c r="AN1110" s="43"/>
      <c r="AO1110" s="43"/>
      <c r="AP1110" s="43"/>
      <c r="AQ1110" s="43"/>
      <c r="AR1110" s="43"/>
      <c r="AS1110" s="43"/>
      <c r="AT1110" s="43"/>
      <c r="AU1110" s="43"/>
      <c r="AV1110" s="43"/>
    </row>
    <row r="1111" ht="15.75" spans="1:48">
      <c r="A1111" s="12">
        <v>1107</v>
      </c>
      <c r="B1111" s="44">
        <v>692</v>
      </c>
      <c r="C1111" s="45" t="s">
        <v>142</v>
      </c>
      <c r="D1111" s="46"/>
      <c r="E1111" s="47"/>
      <c r="F1111" s="48">
        <v>2.83</v>
      </c>
      <c r="G1111" s="38">
        <v>0</v>
      </c>
      <c r="H1111" s="39"/>
      <c r="I1111" s="39"/>
      <c r="J1111" s="39"/>
      <c r="K1111" s="39"/>
      <c r="L1111" s="39"/>
      <c r="M1111" s="39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49" t="s">
        <v>228</v>
      </c>
      <c r="Y1111" s="50">
        <v>4103.5</v>
      </c>
      <c r="Z1111" s="51">
        <v>3870</v>
      </c>
      <c r="AA1111" s="52">
        <f t="shared" si="26"/>
        <v>0.943097355915682</v>
      </c>
      <c r="AB1111" s="12">
        <v>3870</v>
      </c>
      <c r="AC1111" s="12">
        <v>0</v>
      </c>
      <c r="AD1111" s="43"/>
      <c r="AE1111" s="43"/>
      <c r="AF1111" s="43"/>
      <c r="AG1111" s="43"/>
      <c r="AH1111" s="43"/>
      <c r="AI1111" s="43"/>
      <c r="AJ1111" s="43"/>
      <c r="AK1111" s="43"/>
      <c r="AL1111" s="43"/>
      <c r="AM1111" s="43"/>
      <c r="AN1111" s="43"/>
      <c r="AO1111" s="43"/>
      <c r="AP1111" s="43"/>
      <c r="AQ1111" s="43"/>
      <c r="AR1111" s="43"/>
      <c r="AS1111" s="43"/>
      <c r="AT1111" s="43"/>
      <c r="AU1111" s="43"/>
      <c r="AV1111" s="43"/>
    </row>
    <row r="1112" ht="15.75" spans="1:48">
      <c r="A1112" s="12">
        <v>1108</v>
      </c>
      <c r="B1112" s="44">
        <v>2865</v>
      </c>
      <c r="C1112" s="45" t="s">
        <v>149</v>
      </c>
      <c r="D1112" s="46"/>
      <c r="E1112" s="47"/>
      <c r="F1112" s="48">
        <v>1.5</v>
      </c>
      <c r="G1112" s="38">
        <v>0</v>
      </c>
      <c r="H1112" s="39"/>
      <c r="I1112" s="39"/>
      <c r="J1112" s="39"/>
      <c r="K1112" s="39"/>
      <c r="L1112" s="39"/>
      <c r="M1112" s="39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49" t="s">
        <v>105</v>
      </c>
      <c r="Y1112" s="50">
        <v>990</v>
      </c>
      <c r="Z1112" s="51">
        <v>1000</v>
      </c>
      <c r="AA1112" s="52">
        <f t="shared" si="26"/>
        <v>1.01010101010101</v>
      </c>
      <c r="AB1112" s="12">
        <v>1000</v>
      </c>
      <c r="AC1112" s="12">
        <v>0</v>
      </c>
      <c r="AD1112" s="43"/>
      <c r="AE1112" s="43"/>
      <c r="AF1112" s="43"/>
      <c r="AG1112" s="43"/>
      <c r="AH1112" s="43"/>
      <c r="AI1112" s="43"/>
      <c r="AJ1112" s="43"/>
      <c r="AK1112" s="43"/>
      <c r="AL1112" s="43"/>
      <c r="AM1112" s="43"/>
      <c r="AN1112" s="43"/>
      <c r="AO1112" s="43"/>
      <c r="AP1112" s="43"/>
      <c r="AQ1112" s="43"/>
      <c r="AR1112" s="43"/>
      <c r="AS1112" s="43"/>
      <c r="AT1112" s="43"/>
      <c r="AU1112" s="43"/>
      <c r="AV1112" s="43"/>
    </row>
    <row r="1113" ht="15.75" spans="1:48">
      <c r="A1113" s="12">
        <v>1109</v>
      </c>
      <c r="B1113" s="44">
        <v>947</v>
      </c>
      <c r="C1113" s="45" t="s">
        <v>143</v>
      </c>
      <c r="D1113" s="46"/>
      <c r="E1113" s="47"/>
      <c r="F1113" s="48">
        <v>2.5</v>
      </c>
      <c r="G1113" s="38">
        <v>0</v>
      </c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49" t="s">
        <v>103</v>
      </c>
      <c r="Y1113" s="50">
        <v>2100</v>
      </c>
      <c r="Z1113" s="51">
        <v>2110</v>
      </c>
      <c r="AA1113" s="52">
        <f t="shared" si="26"/>
        <v>1.0047619047619</v>
      </c>
      <c r="AB1113" s="12">
        <v>2110</v>
      </c>
      <c r="AC1113" s="12">
        <v>0</v>
      </c>
      <c r="AD1113" s="43"/>
      <c r="AE1113" s="43"/>
      <c r="AF1113" s="43"/>
      <c r="AG1113" s="43"/>
      <c r="AH1113" s="43"/>
      <c r="AI1113" s="43"/>
      <c r="AJ1113" s="43"/>
      <c r="AK1113" s="43"/>
      <c r="AL1113" s="43"/>
      <c r="AM1113" s="43"/>
      <c r="AN1113" s="43"/>
      <c r="AO1113" s="43"/>
      <c r="AP1113" s="43"/>
      <c r="AQ1113" s="43"/>
      <c r="AR1113" s="43"/>
      <c r="AS1113" s="43"/>
      <c r="AT1113" s="43"/>
      <c r="AU1113" s="43"/>
      <c r="AV1113" s="43"/>
    </row>
    <row r="1114" ht="15.75" spans="1:48">
      <c r="A1114" s="12">
        <v>1110</v>
      </c>
      <c r="B1114" s="44">
        <v>4110</v>
      </c>
      <c r="C1114" s="45" t="s">
        <v>135</v>
      </c>
      <c r="D1114" s="46"/>
      <c r="E1114" s="47"/>
      <c r="F1114" s="48">
        <v>1</v>
      </c>
      <c r="G1114" s="38">
        <v>0</v>
      </c>
      <c r="H1114" s="39"/>
      <c r="I1114" s="39"/>
      <c r="J1114" s="39"/>
      <c r="K1114" s="39"/>
      <c r="L1114" s="39"/>
      <c r="M1114" s="39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49" t="s">
        <v>103</v>
      </c>
      <c r="Y1114" s="50">
        <v>840</v>
      </c>
      <c r="Z1114" s="51">
        <v>720</v>
      </c>
      <c r="AA1114" s="52">
        <f t="shared" si="26"/>
        <v>0.857142857142857</v>
      </c>
      <c r="AB1114" s="12">
        <v>720</v>
      </c>
      <c r="AC1114" s="12">
        <v>0</v>
      </c>
      <c r="AD1114" s="43"/>
      <c r="AE1114" s="43"/>
      <c r="AF1114" s="43"/>
      <c r="AG1114" s="43"/>
      <c r="AH1114" s="43"/>
      <c r="AI1114" s="43"/>
      <c r="AJ1114" s="43"/>
      <c r="AK1114" s="43"/>
      <c r="AL1114" s="43"/>
      <c r="AM1114" s="43"/>
      <c r="AN1114" s="43"/>
      <c r="AO1114" s="43"/>
      <c r="AP1114" s="43"/>
      <c r="AQ1114" s="43"/>
      <c r="AR1114" s="43"/>
      <c r="AS1114" s="43"/>
      <c r="AT1114" s="43"/>
      <c r="AU1114" s="43"/>
      <c r="AV1114" s="43"/>
    </row>
    <row r="1115" ht="15.75" spans="1:48">
      <c r="A1115" s="12">
        <v>1111</v>
      </c>
      <c r="B1115" s="44">
        <v>551</v>
      </c>
      <c r="C1115" s="45" t="s">
        <v>146</v>
      </c>
      <c r="D1115" s="46"/>
      <c r="E1115" s="47"/>
      <c r="F1115" s="48">
        <v>0.83</v>
      </c>
      <c r="G1115" s="38">
        <v>0</v>
      </c>
      <c r="H1115" s="39"/>
      <c r="I1115" s="39"/>
      <c r="J1115" s="39"/>
      <c r="K1115" s="39"/>
      <c r="L1115" s="39"/>
      <c r="M1115" s="39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49" t="s">
        <v>104</v>
      </c>
      <c r="Y1115" s="50">
        <v>12450</v>
      </c>
      <c r="Z1115" s="51">
        <v>20000</v>
      </c>
      <c r="AA1115" s="52">
        <f t="shared" si="26"/>
        <v>1.60642570281124</v>
      </c>
      <c r="AB1115" s="12">
        <v>20000</v>
      </c>
      <c r="AC1115" s="12">
        <v>0</v>
      </c>
      <c r="AD1115" s="43"/>
      <c r="AE1115" s="43"/>
      <c r="AF1115" s="43"/>
      <c r="AG1115" s="43"/>
      <c r="AH1115" s="43"/>
      <c r="AI1115" s="43"/>
      <c r="AJ1115" s="43"/>
      <c r="AK1115" s="43"/>
      <c r="AL1115" s="43"/>
      <c r="AM1115" s="43"/>
      <c r="AN1115" s="43"/>
      <c r="AO1115" s="43"/>
      <c r="AP1115" s="43"/>
      <c r="AQ1115" s="43"/>
      <c r="AR1115" s="43"/>
      <c r="AS1115" s="43"/>
      <c r="AT1115" s="43"/>
      <c r="AU1115" s="43"/>
      <c r="AV1115" s="43"/>
    </row>
    <row r="1116" ht="15.75" spans="1:48">
      <c r="A1116" s="12">
        <v>1112</v>
      </c>
      <c r="B1116" s="61">
        <v>551</v>
      </c>
      <c r="C1116" s="62" t="s">
        <v>146</v>
      </c>
      <c r="D1116" s="63"/>
      <c r="E1116" s="64"/>
      <c r="F1116" s="48">
        <v>1.5</v>
      </c>
      <c r="G1116" s="38">
        <v>0</v>
      </c>
      <c r="H1116" s="39"/>
      <c r="I1116" s="39"/>
      <c r="J1116" s="39"/>
      <c r="K1116" s="39"/>
      <c r="L1116" s="39"/>
      <c r="M1116" s="39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49" t="s">
        <v>103</v>
      </c>
      <c r="Y1116" s="50">
        <v>1260</v>
      </c>
      <c r="Z1116" s="51">
        <v>1680</v>
      </c>
      <c r="AA1116" s="52">
        <f t="shared" si="26"/>
        <v>1.33333333333333</v>
      </c>
      <c r="AB1116" s="12">
        <v>1680</v>
      </c>
      <c r="AC1116" s="12">
        <v>0</v>
      </c>
      <c r="AD1116" s="43"/>
      <c r="AE1116" s="43"/>
      <c r="AF1116" s="43"/>
      <c r="AG1116" s="43"/>
      <c r="AH1116" s="43"/>
      <c r="AI1116" s="43"/>
      <c r="AJ1116" s="43"/>
      <c r="AK1116" s="43"/>
      <c r="AL1116" s="43"/>
      <c r="AM1116" s="43"/>
      <c r="AN1116" s="43"/>
      <c r="AO1116" s="43"/>
      <c r="AP1116" s="43"/>
      <c r="AQ1116" s="43"/>
      <c r="AR1116" s="43"/>
      <c r="AS1116" s="43"/>
      <c r="AT1116" s="43"/>
      <c r="AU1116" s="43"/>
      <c r="AV1116" s="43"/>
    </row>
    <row r="1117" ht="15.75" spans="1:48">
      <c r="A1117" s="12">
        <v>1113</v>
      </c>
      <c r="B1117" s="44">
        <v>4017</v>
      </c>
      <c r="C1117" s="45" t="s">
        <v>148</v>
      </c>
      <c r="D1117" s="46"/>
      <c r="E1117" s="47"/>
      <c r="F1117" s="48">
        <v>3.5</v>
      </c>
      <c r="G1117" s="38">
        <v>0</v>
      </c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49" t="s">
        <v>103</v>
      </c>
      <c r="Y1117" s="50">
        <v>2940</v>
      </c>
      <c r="Z1117" s="51">
        <v>2667</v>
      </c>
      <c r="AA1117" s="52">
        <f t="shared" si="26"/>
        <v>0.907142857142857</v>
      </c>
      <c r="AB1117" s="12">
        <v>2667</v>
      </c>
      <c r="AC1117" s="12">
        <v>0</v>
      </c>
      <c r="AD1117" s="43"/>
      <c r="AE1117" s="43"/>
      <c r="AF1117" s="43"/>
      <c r="AG1117" s="43"/>
      <c r="AH1117" s="43"/>
      <c r="AI1117" s="43"/>
      <c r="AJ1117" s="43"/>
      <c r="AK1117" s="43"/>
      <c r="AL1117" s="43"/>
      <c r="AM1117" s="43"/>
      <c r="AN1117" s="43"/>
      <c r="AO1117" s="43"/>
      <c r="AP1117" s="43"/>
      <c r="AQ1117" s="43"/>
      <c r="AR1117" s="43"/>
      <c r="AS1117" s="43"/>
      <c r="AT1117" s="43"/>
      <c r="AU1117" s="43"/>
      <c r="AV1117" s="43"/>
    </row>
    <row r="1118" ht="15.75" spans="1:48">
      <c r="A1118" s="12">
        <v>1114</v>
      </c>
      <c r="B1118" s="44">
        <v>4017</v>
      </c>
      <c r="C1118" s="45" t="s">
        <v>148</v>
      </c>
      <c r="D1118" s="46"/>
      <c r="E1118" s="47"/>
      <c r="F1118" s="48">
        <v>1.33</v>
      </c>
      <c r="G1118" s="38">
        <v>0</v>
      </c>
      <c r="H1118" s="39"/>
      <c r="I1118" s="39"/>
      <c r="J1118" s="39"/>
      <c r="K1118" s="39"/>
      <c r="L1118" s="39"/>
      <c r="M1118" s="39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49" t="s">
        <v>105</v>
      </c>
      <c r="Y1118" s="50">
        <v>877.8</v>
      </c>
      <c r="Z1118" s="51">
        <v>800</v>
      </c>
      <c r="AA1118" s="52">
        <f t="shared" si="26"/>
        <v>0.911369332421964</v>
      </c>
      <c r="AB1118" s="12">
        <v>800</v>
      </c>
      <c r="AC1118" s="12">
        <v>0</v>
      </c>
      <c r="AD1118" s="43"/>
      <c r="AE1118" s="43"/>
      <c r="AF1118" s="43"/>
      <c r="AG1118" s="43"/>
      <c r="AH1118" s="43"/>
      <c r="AI1118" s="43"/>
      <c r="AJ1118" s="43"/>
      <c r="AK1118" s="43"/>
      <c r="AL1118" s="43"/>
      <c r="AM1118" s="43"/>
      <c r="AN1118" s="43"/>
      <c r="AO1118" s="43"/>
      <c r="AP1118" s="43"/>
      <c r="AQ1118" s="43"/>
      <c r="AR1118" s="43"/>
      <c r="AS1118" s="43"/>
      <c r="AT1118" s="43"/>
      <c r="AU1118" s="43"/>
      <c r="AV1118" s="43"/>
    </row>
    <row r="1119" ht="15.75" spans="1:48">
      <c r="A1119" s="12">
        <v>1115</v>
      </c>
      <c r="B1119" s="44">
        <v>4342</v>
      </c>
      <c r="C1119" s="45" t="s">
        <v>147</v>
      </c>
      <c r="D1119" s="46"/>
      <c r="E1119" s="47"/>
      <c r="F1119" s="48">
        <v>7</v>
      </c>
      <c r="G1119" s="38">
        <v>1.5</v>
      </c>
      <c r="H1119" s="39"/>
      <c r="I1119" s="39"/>
      <c r="J1119" s="39"/>
      <c r="K1119" s="39"/>
      <c r="L1119" s="39"/>
      <c r="M1119" s="39"/>
      <c r="N1119" s="39"/>
      <c r="O1119" s="39"/>
      <c r="P1119" s="39"/>
      <c r="Q1119" s="39">
        <v>1.33</v>
      </c>
      <c r="R1119" s="39"/>
      <c r="S1119" s="39"/>
      <c r="T1119" s="39"/>
      <c r="U1119" s="39">
        <v>0.17</v>
      </c>
      <c r="V1119" s="39"/>
      <c r="W1119" s="39"/>
      <c r="X1119" s="49" t="s">
        <v>229</v>
      </c>
      <c r="Y1119" s="50">
        <v>26040</v>
      </c>
      <c r="Z1119" s="51">
        <v>14400</v>
      </c>
      <c r="AA1119" s="52">
        <f t="shared" si="26"/>
        <v>0.552995391705069</v>
      </c>
      <c r="AB1119" s="12">
        <v>14400</v>
      </c>
      <c r="AC1119" s="12">
        <v>0</v>
      </c>
      <c r="AD1119" s="43"/>
      <c r="AE1119" s="43"/>
      <c r="AF1119" s="43"/>
      <c r="AG1119" s="43"/>
      <c r="AH1119" s="43"/>
      <c r="AI1119" s="43"/>
      <c r="AJ1119" s="43"/>
      <c r="AK1119" s="43"/>
      <c r="AL1119" s="43"/>
      <c r="AM1119" s="43"/>
      <c r="AN1119" s="43"/>
      <c r="AO1119" s="43"/>
      <c r="AP1119" s="43"/>
      <c r="AQ1119" s="43"/>
      <c r="AR1119" s="43"/>
      <c r="AS1119" s="43"/>
      <c r="AT1119" s="43"/>
      <c r="AU1119" s="43"/>
      <c r="AV1119" s="43"/>
    </row>
    <row r="1120" ht="15.75" spans="1:48">
      <c r="A1120" s="12">
        <v>1116</v>
      </c>
      <c r="B1120" s="44">
        <v>4342</v>
      </c>
      <c r="C1120" s="45" t="s">
        <v>147</v>
      </c>
      <c r="D1120" s="46"/>
      <c r="E1120" s="47"/>
      <c r="F1120" s="48">
        <v>2</v>
      </c>
      <c r="G1120" s="38">
        <v>0</v>
      </c>
      <c r="H1120" s="39"/>
      <c r="I1120" s="39"/>
      <c r="J1120" s="39"/>
      <c r="K1120" s="39"/>
      <c r="L1120" s="39"/>
      <c r="M1120" s="39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49" t="s">
        <v>295</v>
      </c>
      <c r="Y1120" s="50">
        <v>3840</v>
      </c>
      <c r="Z1120" s="51">
        <v>2160</v>
      </c>
      <c r="AA1120" s="52">
        <f t="shared" si="26"/>
        <v>0.5625</v>
      </c>
      <c r="AB1120" s="12">
        <v>2160</v>
      </c>
      <c r="AC1120" s="12">
        <v>0</v>
      </c>
      <c r="AD1120" s="43"/>
      <c r="AE1120" s="43"/>
      <c r="AF1120" s="43"/>
      <c r="AG1120" s="43"/>
      <c r="AH1120" s="43"/>
      <c r="AI1120" s="43"/>
      <c r="AJ1120" s="43"/>
      <c r="AK1120" s="43"/>
      <c r="AL1120" s="43"/>
      <c r="AM1120" s="43"/>
      <c r="AN1120" s="43"/>
      <c r="AO1120" s="43"/>
      <c r="AP1120" s="43"/>
      <c r="AQ1120" s="43"/>
      <c r="AR1120" s="43"/>
      <c r="AS1120" s="43"/>
      <c r="AT1120" s="43"/>
      <c r="AU1120" s="43"/>
      <c r="AV1120" s="43"/>
    </row>
    <row r="1121" ht="15.75" spans="1:48">
      <c r="A1121" s="12">
        <v>1117</v>
      </c>
      <c r="B1121" s="44">
        <v>4342</v>
      </c>
      <c r="C1121" s="45" t="s">
        <v>147</v>
      </c>
      <c r="D1121" s="46"/>
      <c r="E1121" s="47"/>
      <c r="F1121" s="48">
        <v>1.5</v>
      </c>
      <c r="G1121" s="38">
        <v>0</v>
      </c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  <c r="S1121" s="39"/>
      <c r="T1121" s="39"/>
      <c r="U1121" s="39"/>
      <c r="V1121" s="39"/>
      <c r="W1121" s="39"/>
      <c r="X1121" s="49" t="s">
        <v>152</v>
      </c>
      <c r="Y1121" s="50">
        <v>6525</v>
      </c>
      <c r="Z1121" s="51">
        <v>4200</v>
      </c>
      <c r="AA1121" s="52">
        <f t="shared" si="26"/>
        <v>0.64367816091954</v>
      </c>
      <c r="AB1121" s="12">
        <v>4200</v>
      </c>
      <c r="AC1121" s="12">
        <v>0</v>
      </c>
      <c r="AD1121" s="43"/>
      <c r="AE1121" s="43"/>
      <c r="AF1121" s="43"/>
      <c r="AG1121" s="43"/>
      <c r="AH1121" s="43"/>
      <c r="AI1121" s="43"/>
      <c r="AJ1121" s="43"/>
      <c r="AK1121" s="43"/>
      <c r="AL1121" s="43"/>
      <c r="AM1121" s="43"/>
      <c r="AN1121" s="43"/>
      <c r="AO1121" s="43"/>
      <c r="AP1121" s="43"/>
      <c r="AQ1121" s="43"/>
      <c r="AR1121" s="43"/>
      <c r="AS1121" s="43"/>
      <c r="AT1121" s="43"/>
      <c r="AU1121" s="43"/>
      <c r="AV1121" s="43"/>
    </row>
    <row r="1122" ht="15.75" spans="1:48">
      <c r="A1122" s="12">
        <v>1118</v>
      </c>
      <c r="B1122" s="44">
        <v>1733</v>
      </c>
      <c r="C1122" s="45" t="s">
        <v>153</v>
      </c>
      <c r="D1122" s="46"/>
      <c r="E1122" s="47"/>
      <c r="F1122" s="48">
        <v>3.17</v>
      </c>
      <c r="G1122" s="38">
        <v>1.33</v>
      </c>
      <c r="H1122" s="39"/>
      <c r="I1122" s="39"/>
      <c r="J1122" s="39"/>
      <c r="K1122" s="39"/>
      <c r="L1122" s="39"/>
      <c r="M1122" s="39"/>
      <c r="N1122" s="39"/>
      <c r="O1122" s="39"/>
      <c r="P1122" s="39"/>
      <c r="Q1122" s="39">
        <v>1.33</v>
      </c>
      <c r="R1122" s="39"/>
      <c r="S1122" s="39"/>
      <c r="T1122" s="39"/>
      <c r="U1122" s="39"/>
      <c r="V1122" s="39"/>
      <c r="W1122" s="39"/>
      <c r="X1122" s="49" t="s">
        <v>103</v>
      </c>
      <c r="Y1122" s="50">
        <v>2662.8</v>
      </c>
      <c r="Z1122" s="51">
        <v>2474</v>
      </c>
      <c r="AA1122" s="52">
        <f t="shared" si="26"/>
        <v>0.929097190926844</v>
      </c>
      <c r="AB1122" s="12">
        <v>2474</v>
      </c>
      <c r="AC1122" s="12">
        <v>0</v>
      </c>
      <c r="AD1122" s="43"/>
      <c r="AE1122" s="43"/>
      <c r="AF1122" s="43"/>
      <c r="AG1122" s="43"/>
      <c r="AH1122" s="43"/>
      <c r="AI1122" s="43"/>
      <c r="AJ1122" s="43"/>
      <c r="AK1122" s="43"/>
      <c r="AL1122" s="43"/>
      <c r="AM1122" s="43"/>
      <c r="AN1122" s="43"/>
      <c r="AO1122" s="43"/>
      <c r="AP1122" s="43"/>
      <c r="AQ1122" s="43"/>
      <c r="AR1122" s="43"/>
      <c r="AS1122" s="43"/>
      <c r="AT1122" s="43"/>
      <c r="AU1122" s="43"/>
      <c r="AV1122" s="43"/>
    </row>
    <row r="1123" ht="15.75" spans="1:48">
      <c r="A1123" s="12">
        <v>1119</v>
      </c>
      <c r="B1123" s="44">
        <v>1733</v>
      </c>
      <c r="C1123" s="45" t="s">
        <v>153</v>
      </c>
      <c r="D1123" s="46"/>
      <c r="E1123" s="47"/>
      <c r="F1123" s="48">
        <v>7.5</v>
      </c>
      <c r="G1123" s="38">
        <v>0</v>
      </c>
      <c r="H1123" s="39"/>
      <c r="I1123" s="39"/>
      <c r="J1123" s="39"/>
      <c r="K1123" s="39"/>
      <c r="L1123" s="39"/>
      <c r="M1123" s="39"/>
      <c r="N1123" s="39"/>
      <c r="O1123" s="39"/>
      <c r="P1123" s="39"/>
      <c r="Q1123" s="39"/>
      <c r="R1123" s="39"/>
      <c r="S1123" s="39"/>
      <c r="T1123" s="39"/>
      <c r="U1123" s="39"/>
      <c r="V1123" s="39"/>
      <c r="W1123" s="39"/>
      <c r="X1123" s="49" t="s">
        <v>105</v>
      </c>
      <c r="Y1123" s="50">
        <v>4950</v>
      </c>
      <c r="Z1123" s="51">
        <v>4800</v>
      </c>
      <c r="AA1123" s="52">
        <f t="shared" si="26"/>
        <v>0.96969696969697</v>
      </c>
      <c r="AB1123" s="12">
        <v>4800</v>
      </c>
      <c r="AC1123" s="12">
        <v>0</v>
      </c>
      <c r="AD1123" s="43"/>
      <c r="AE1123" s="43"/>
      <c r="AF1123" s="43"/>
      <c r="AG1123" s="43"/>
      <c r="AH1123" s="43"/>
      <c r="AI1123" s="43"/>
      <c r="AJ1123" s="43"/>
      <c r="AK1123" s="43"/>
      <c r="AL1123" s="43"/>
      <c r="AM1123" s="43"/>
      <c r="AN1123" s="43"/>
      <c r="AO1123" s="43"/>
      <c r="AP1123" s="43"/>
      <c r="AQ1123" s="43"/>
      <c r="AR1123" s="43"/>
      <c r="AS1123" s="43"/>
      <c r="AT1123" s="43"/>
      <c r="AU1123" s="43"/>
      <c r="AV1123" s="43"/>
    </row>
    <row r="1124" ht="15.75" spans="1:48">
      <c r="A1124" s="12">
        <v>1120</v>
      </c>
      <c r="B1124" s="44">
        <v>4110</v>
      </c>
      <c r="C1124" s="45" t="s">
        <v>135</v>
      </c>
      <c r="D1124" s="46"/>
      <c r="E1124" s="47"/>
      <c r="F1124" s="48">
        <v>8</v>
      </c>
      <c r="G1124" s="38">
        <v>1.5</v>
      </c>
      <c r="H1124" s="39"/>
      <c r="I1124" s="39"/>
      <c r="J1124" s="39"/>
      <c r="K1124" s="39"/>
      <c r="L1124" s="39"/>
      <c r="M1124" s="39"/>
      <c r="N1124" s="39"/>
      <c r="O1124" s="39"/>
      <c r="P1124" s="39"/>
      <c r="Q1124" s="39">
        <v>1.33</v>
      </c>
      <c r="R1124" s="39"/>
      <c r="S1124" s="39"/>
      <c r="T1124" s="39"/>
      <c r="U1124" s="39">
        <v>0.17</v>
      </c>
      <c r="V1124" s="39"/>
      <c r="W1124" s="39"/>
      <c r="X1124" s="49" t="s">
        <v>95</v>
      </c>
      <c r="Y1124" s="50">
        <v>11200</v>
      </c>
      <c r="Z1124" s="51">
        <v>11200</v>
      </c>
      <c r="AA1124" s="52">
        <f t="shared" si="26"/>
        <v>1</v>
      </c>
      <c r="AB1124" s="12">
        <v>11200</v>
      </c>
      <c r="AC1124" s="12">
        <v>0</v>
      </c>
      <c r="AD1124" s="43"/>
      <c r="AE1124" s="43"/>
      <c r="AF1124" s="43"/>
      <c r="AG1124" s="43"/>
      <c r="AH1124" s="43"/>
      <c r="AI1124" s="43"/>
      <c r="AJ1124" s="43"/>
      <c r="AK1124" s="43"/>
      <c r="AL1124" s="43"/>
      <c r="AM1124" s="43"/>
      <c r="AN1124" s="43"/>
      <c r="AO1124" s="43"/>
      <c r="AP1124" s="43"/>
      <c r="AQ1124" s="43"/>
      <c r="AR1124" s="43"/>
      <c r="AS1124" s="43"/>
      <c r="AT1124" s="43"/>
      <c r="AU1124" s="43"/>
      <c r="AV1124" s="43"/>
    </row>
    <row r="1125" ht="15.75" spans="1:48">
      <c r="A1125" s="12">
        <v>1121</v>
      </c>
      <c r="B1125" s="44">
        <v>2959</v>
      </c>
      <c r="C1125" s="45" t="s">
        <v>86</v>
      </c>
      <c r="D1125" s="46"/>
      <c r="E1125" s="47" t="s">
        <v>50</v>
      </c>
      <c r="F1125" s="48">
        <v>10.83</v>
      </c>
      <c r="G1125" s="38">
        <v>1.17</v>
      </c>
      <c r="H1125" s="39"/>
      <c r="I1125" s="39"/>
      <c r="J1125" s="39"/>
      <c r="K1125" s="39"/>
      <c r="L1125" s="39"/>
      <c r="M1125" s="39"/>
      <c r="N1125" s="39"/>
      <c r="O1125" s="39"/>
      <c r="P1125" s="39"/>
      <c r="Q1125" s="39">
        <v>1.17</v>
      </c>
      <c r="R1125" s="39"/>
      <c r="S1125" s="39"/>
      <c r="T1125" s="39"/>
      <c r="U1125" s="39"/>
      <c r="V1125" s="39"/>
      <c r="W1125" s="39"/>
      <c r="X1125" s="49" t="s">
        <v>140</v>
      </c>
      <c r="Y1125" s="50">
        <v>0</v>
      </c>
      <c r="Z1125" s="51"/>
      <c r="AA1125" s="52">
        <f t="shared" si="26"/>
        <v>0</v>
      </c>
      <c r="AB1125" s="12">
        <v>0</v>
      </c>
      <c r="AC1125" s="12">
        <v>0</v>
      </c>
      <c r="AD1125" s="43"/>
      <c r="AE1125" s="43"/>
      <c r="AF1125" s="43"/>
      <c r="AG1125" s="43"/>
      <c r="AH1125" s="43"/>
      <c r="AI1125" s="43"/>
      <c r="AJ1125" s="43"/>
      <c r="AK1125" s="43"/>
      <c r="AL1125" s="43"/>
      <c r="AM1125" s="43"/>
      <c r="AN1125" s="43"/>
      <c r="AO1125" s="43"/>
      <c r="AP1125" s="43"/>
      <c r="AQ1125" s="43"/>
      <c r="AR1125" s="43"/>
      <c r="AS1125" s="43"/>
      <c r="AT1125" s="43"/>
      <c r="AU1125" s="43"/>
      <c r="AV1125" s="43"/>
    </row>
    <row r="1126" ht="15.75" spans="1:48">
      <c r="A1126" s="12">
        <v>1122</v>
      </c>
      <c r="B1126" s="44">
        <v>4173</v>
      </c>
      <c r="C1126" s="45" t="s">
        <v>75</v>
      </c>
      <c r="D1126" s="46" t="s">
        <v>83</v>
      </c>
      <c r="E1126" s="47" t="s">
        <v>50</v>
      </c>
      <c r="F1126" s="48">
        <v>9.67</v>
      </c>
      <c r="G1126" s="38">
        <v>2.34</v>
      </c>
      <c r="H1126" s="39"/>
      <c r="I1126" s="39"/>
      <c r="J1126" s="39"/>
      <c r="K1126" s="39">
        <v>1</v>
      </c>
      <c r="L1126" s="39"/>
      <c r="M1126" s="39"/>
      <c r="N1126" s="39"/>
      <c r="O1126" s="39"/>
      <c r="P1126" s="39"/>
      <c r="Q1126" s="39">
        <v>1.17</v>
      </c>
      <c r="R1126" s="39"/>
      <c r="S1126" s="39"/>
      <c r="T1126" s="39"/>
      <c r="U1126" s="39">
        <v>0.17</v>
      </c>
      <c r="V1126" s="39"/>
      <c r="W1126" s="39"/>
      <c r="X1126" s="49" t="s">
        <v>84</v>
      </c>
      <c r="Y1126" s="50">
        <v>48350</v>
      </c>
      <c r="Z1126" s="51">
        <v>40938</v>
      </c>
      <c r="AA1126" s="52">
        <f t="shared" si="26"/>
        <v>0.84670113753878</v>
      </c>
      <c r="AB1126" s="12">
        <v>40800</v>
      </c>
      <c r="AC1126" s="12">
        <v>138</v>
      </c>
      <c r="AD1126" s="43"/>
      <c r="AE1126" s="43"/>
      <c r="AF1126" s="43"/>
      <c r="AG1126" s="19">
        <v>78</v>
      </c>
      <c r="AH1126" s="19">
        <v>60</v>
      </c>
      <c r="AI1126" s="43"/>
      <c r="AJ1126" s="43"/>
      <c r="AK1126" s="43"/>
      <c r="AL1126" s="43"/>
      <c r="AM1126" s="43"/>
      <c r="AN1126" s="43"/>
      <c r="AO1126" s="43"/>
      <c r="AP1126" s="43"/>
      <c r="AQ1126" s="43"/>
      <c r="AR1126" s="43"/>
      <c r="AS1126" s="43"/>
      <c r="AT1126" s="43"/>
      <c r="AU1126" s="43"/>
      <c r="AV1126" s="43"/>
    </row>
    <row r="1127" ht="15.75" spans="1:48">
      <c r="A1127" s="12">
        <v>1123</v>
      </c>
      <c r="B1127" s="44">
        <v>4173</v>
      </c>
      <c r="C1127" s="45" t="s">
        <v>75</v>
      </c>
      <c r="D1127" s="46" t="s">
        <v>78</v>
      </c>
      <c r="E1127" s="47" t="s">
        <v>50</v>
      </c>
      <c r="F1127" s="48">
        <v>10.67</v>
      </c>
      <c r="G1127" s="38">
        <v>1.34</v>
      </c>
      <c r="H1127" s="39"/>
      <c r="I1127" s="39"/>
      <c r="J1127" s="39"/>
      <c r="K1127" s="39"/>
      <c r="L1127" s="39"/>
      <c r="M1127" s="39"/>
      <c r="N1127" s="39"/>
      <c r="O1127" s="39"/>
      <c r="P1127" s="39"/>
      <c r="Q1127" s="39">
        <v>1.17</v>
      </c>
      <c r="R1127" s="39"/>
      <c r="S1127" s="39"/>
      <c r="T1127" s="39"/>
      <c r="U1127" s="39">
        <v>0.17</v>
      </c>
      <c r="V1127" s="39"/>
      <c r="W1127" s="39"/>
      <c r="X1127" s="49" t="s">
        <v>79</v>
      </c>
      <c r="Y1127" s="50">
        <v>71062.2</v>
      </c>
      <c r="Z1127" s="51">
        <v>59912</v>
      </c>
      <c r="AA1127" s="52">
        <f t="shared" si="26"/>
        <v>0.843092389484142</v>
      </c>
      <c r="AB1127" s="12">
        <v>59824</v>
      </c>
      <c r="AC1127" s="12">
        <v>88</v>
      </c>
      <c r="AD1127" s="43"/>
      <c r="AE1127" s="43"/>
      <c r="AF1127" s="43"/>
      <c r="AG1127" s="19">
        <v>40</v>
      </c>
      <c r="AH1127" s="19">
        <v>48</v>
      </c>
      <c r="AI1127" s="43"/>
      <c r="AJ1127" s="43"/>
      <c r="AK1127" s="43"/>
      <c r="AL1127" s="43"/>
      <c r="AM1127" s="43"/>
      <c r="AN1127" s="43"/>
      <c r="AO1127" s="43"/>
      <c r="AP1127" s="43"/>
      <c r="AQ1127" s="43"/>
      <c r="AR1127" s="43"/>
      <c r="AS1127" s="43"/>
      <c r="AT1127" s="43"/>
      <c r="AU1127" s="43"/>
      <c r="AV1127" s="43"/>
    </row>
    <row r="1128" ht="15.75" spans="1:48">
      <c r="A1128" s="12">
        <v>1124</v>
      </c>
      <c r="B1128" s="44">
        <v>4173</v>
      </c>
      <c r="C1128" s="45" t="s">
        <v>75</v>
      </c>
      <c r="D1128" s="46" t="s">
        <v>76</v>
      </c>
      <c r="E1128" s="47" t="s">
        <v>50</v>
      </c>
      <c r="F1128" s="48">
        <v>10</v>
      </c>
      <c r="G1128" s="38">
        <v>2.01</v>
      </c>
      <c r="H1128" s="39"/>
      <c r="I1128" s="39"/>
      <c r="J1128" s="39"/>
      <c r="K1128" s="39">
        <v>0.67</v>
      </c>
      <c r="L1128" s="39"/>
      <c r="M1128" s="39"/>
      <c r="N1128" s="39"/>
      <c r="O1128" s="39"/>
      <c r="P1128" s="39"/>
      <c r="Q1128" s="39">
        <v>1.17</v>
      </c>
      <c r="R1128" s="39"/>
      <c r="S1128" s="39"/>
      <c r="T1128" s="39"/>
      <c r="U1128" s="39">
        <v>0.17</v>
      </c>
      <c r="V1128" s="39"/>
      <c r="W1128" s="39"/>
      <c r="X1128" s="49" t="s">
        <v>77</v>
      </c>
      <c r="Y1128" s="50">
        <v>60000</v>
      </c>
      <c r="Z1128" s="51">
        <v>55160</v>
      </c>
      <c r="AA1128" s="52">
        <f t="shared" si="26"/>
        <v>0.919333333333333</v>
      </c>
      <c r="AB1128" s="12">
        <v>55120</v>
      </c>
      <c r="AC1128" s="12">
        <v>40</v>
      </c>
      <c r="AD1128" s="43"/>
      <c r="AE1128" s="43"/>
      <c r="AF1128" s="43"/>
      <c r="AG1128" s="19">
        <v>40</v>
      </c>
      <c r="AH1128" s="43"/>
      <c r="AI1128" s="43"/>
      <c r="AJ1128" s="43"/>
      <c r="AK1128" s="43"/>
      <c r="AL1128" s="43"/>
      <c r="AM1128" s="43"/>
      <c r="AN1128" s="43"/>
      <c r="AO1128" s="43"/>
      <c r="AP1128" s="43"/>
      <c r="AQ1128" s="43"/>
      <c r="AR1128" s="43"/>
      <c r="AS1128" s="43"/>
      <c r="AT1128" s="43"/>
      <c r="AU1128" s="43"/>
      <c r="AV1128" s="43"/>
    </row>
    <row r="1129" ht="15.75" spans="1:48">
      <c r="A1129" s="12">
        <v>1125</v>
      </c>
      <c r="B1129" s="44">
        <v>4478</v>
      </c>
      <c r="C1129" s="45" t="s">
        <v>128</v>
      </c>
      <c r="D1129" s="46" t="s">
        <v>129</v>
      </c>
      <c r="E1129" s="47" t="s">
        <v>50</v>
      </c>
      <c r="F1129" s="48">
        <v>9.83</v>
      </c>
      <c r="G1129" s="38">
        <v>2.17</v>
      </c>
      <c r="H1129" s="39"/>
      <c r="I1129" s="39"/>
      <c r="J1129" s="39"/>
      <c r="K1129" s="39">
        <v>0.33</v>
      </c>
      <c r="L1129" s="39"/>
      <c r="M1129" s="39"/>
      <c r="N1129" s="39"/>
      <c r="O1129" s="39"/>
      <c r="P1129" s="39"/>
      <c r="Q1129" s="39">
        <v>1.17</v>
      </c>
      <c r="R1129" s="39"/>
      <c r="S1129" s="39"/>
      <c r="T1129" s="39"/>
      <c r="U1129" s="39">
        <v>0.67</v>
      </c>
      <c r="V1129" s="39"/>
      <c r="W1129" s="39"/>
      <c r="X1129" s="49" t="s">
        <v>274</v>
      </c>
      <c r="Y1129" s="50">
        <v>23592</v>
      </c>
      <c r="Z1129" s="51">
        <v>18736</v>
      </c>
      <c r="AA1129" s="52">
        <f t="shared" si="26"/>
        <v>0.794167514411665</v>
      </c>
      <c r="AB1129" s="12">
        <v>18728</v>
      </c>
      <c r="AC1129" s="12">
        <v>8</v>
      </c>
      <c r="AD1129" s="43"/>
      <c r="AE1129" s="43"/>
      <c r="AF1129" s="43"/>
      <c r="AG1129" s="19">
        <v>8</v>
      </c>
      <c r="AH1129" s="43"/>
      <c r="AI1129" s="43"/>
      <c r="AJ1129" s="43"/>
      <c r="AK1129" s="43"/>
      <c r="AL1129" s="43"/>
      <c r="AM1129" s="43"/>
      <c r="AN1129" s="43"/>
      <c r="AO1129" s="43"/>
      <c r="AP1129" s="43"/>
      <c r="AQ1129" s="43"/>
      <c r="AR1129" s="43"/>
      <c r="AS1129" s="43"/>
      <c r="AT1129" s="43"/>
      <c r="AU1129" s="43"/>
      <c r="AV1129" s="43"/>
    </row>
    <row r="1130" ht="15.75" spans="1:48">
      <c r="A1130" s="12">
        <v>1126</v>
      </c>
      <c r="B1130" s="44">
        <v>4185</v>
      </c>
      <c r="C1130" s="45" t="s">
        <v>72</v>
      </c>
      <c r="D1130" s="46" t="s">
        <v>81</v>
      </c>
      <c r="E1130" s="47" t="s">
        <v>50</v>
      </c>
      <c r="F1130" s="48">
        <v>6.33</v>
      </c>
      <c r="G1130" s="38">
        <v>0.34</v>
      </c>
      <c r="H1130" s="39"/>
      <c r="I1130" s="39"/>
      <c r="J1130" s="39"/>
      <c r="K1130" s="39">
        <v>0.17</v>
      </c>
      <c r="L1130" s="39"/>
      <c r="M1130" s="39"/>
      <c r="N1130" s="39"/>
      <c r="O1130" s="39"/>
      <c r="P1130" s="39"/>
      <c r="Q1130" s="39"/>
      <c r="R1130" s="39"/>
      <c r="S1130" s="39"/>
      <c r="T1130" s="39"/>
      <c r="U1130" s="39">
        <v>0.17</v>
      </c>
      <c r="V1130" s="39"/>
      <c r="W1130" s="39"/>
      <c r="X1130" s="49" t="s">
        <v>210</v>
      </c>
      <c r="Y1130" s="50">
        <v>10286.25</v>
      </c>
      <c r="Z1130" s="51">
        <v>10552</v>
      </c>
      <c r="AA1130" s="52">
        <f t="shared" si="26"/>
        <v>1.02583545995868</v>
      </c>
      <c r="AB1130" s="12">
        <v>10552</v>
      </c>
      <c r="AC1130" s="12">
        <v>0</v>
      </c>
      <c r="AD1130" s="43"/>
      <c r="AE1130" s="43"/>
      <c r="AF1130" s="43"/>
      <c r="AG1130" s="43"/>
      <c r="AH1130" s="43"/>
      <c r="AI1130" s="43"/>
      <c r="AJ1130" s="43"/>
      <c r="AK1130" s="43"/>
      <c r="AL1130" s="43"/>
      <c r="AM1130" s="43"/>
      <c r="AN1130" s="43"/>
      <c r="AO1130" s="43"/>
      <c r="AP1130" s="43"/>
      <c r="AQ1130" s="43"/>
      <c r="AR1130" s="43"/>
      <c r="AS1130" s="43"/>
      <c r="AT1130" s="43"/>
      <c r="AU1130" s="43"/>
      <c r="AV1130" s="43"/>
    </row>
    <row r="1131" ht="15.75" spans="1:48">
      <c r="A1131" s="12">
        <v>1127</v>
      </c>
      <c r="B1131" s="44">
        <v>4185</v>
      </c>
      <c r="C1131" s="45" t="s">
        <v>72</v>
      </c>
      <c r="D1131" s="46" t="s">
        <v>138</v>
      </c>
      <c r="E1131" s="47" t="s">
        <v>50</v>
      </c>
      <c r="F1131" s="48">
        <v>4</v>
      </c>
      <c r="G1131" s="38">
        <v>1.34</v>
      </c>
      <c r="H1131" s="39"/>
      <c r="I1131" s="39"/>
      <c r="J1131" s="39"/>
      <c r="K1131" s="39"/>
      <c r="L1131" s="39"/>
      <c r="M1131" s="39"/>
      <c r="N1131" s="39"/>
      <c r="O1131" s="39"/>
      <c r="P1131" s="39"/>
      <c r="Q1131" s="39">
        <v>1.17</v>
      </c>
      <c r="R1131" s="39"/>
      <c r="S1131" s="39"/>
      <c r="T1131" s="39"/>
      <c r="U1131" s="39">
        <v>0.17</v>
      </c>
      <c r="V1131" s="39"/>
      <c r="W1131" s="39"/>
      <c r="X1131" s="49" t="s">
        <v>208</v>
      </c>
      <c r="Y1131" s="50">
        <v>6100</v>
      </c>
      <c r="Z1131" s="51">
        <v>5996</v>
      </c>
      <c r="AA1131" s="52">
        <f t="shared" si="26"/>
        <v>0.982950819672131</v>
      </c>
      <c r="AB1131" s="12">
        <v>5992</v>
      </c>
      <c r="AC1131" s="12">
        <v>4</v>
      </c>
      <c r="AD1131" s="43"/>
      <c r="AE1131" s="43"/>
      <c r="AF1131" s="43"/>
      <c r="AG1131" s="19">
        <v>4</v>
      </c>
      <c r="AH1131" s="43"/>
      <c r="AI1131" s="43"/>
      <c r="AJ1131" s="43"/>
      <c r="AK1131" s="43"/>
      <c r="AL1131" s="43"/>
      <c r="AM1131" s="43"/>
      <c r="AN1131" s="43"/>
      <c r="AO1131" s="43"/>
      <c r="AP1131" s="43"/>
      <c r="AQ1131" s="43"/>
      <c r="AR1131" s="43"/>
      <c r="AS1131" s="43"/>
      <c r="AT1131" s="43"/>
      <c r="AU1131" s="43"/>
      <c r="AV1131" s="43"/>
    </row>
    <row r="1132" ht="15.75" spans="1:48">
      <c r="A1132" s="12">
        <v>1128</v>
      </c>
      <c r="B1132" s="44" t="s">
        <v>185</v>
      </c>
      <c r="C1132" s="45" t="s">
        <v>179</v>
      </c>
      <c r="D1132" s="46">
        <v>7</v>
      </c>
      <c r="E1132" s="47" t="s">
        <v>50</v>
      </c>
      <c r="F1132" s="48">
        <v>9.33</v>
      </c>
      <c r="G1132" s="38">
        <v>1.17</v>
      </c>
      <c r="H1132" s="39"/>
      <c r="I1132" s="39"/>
      <c r="J1132" s="39"/>
      <c r="K1132" s="39"/>
      <c r="L1132" s="39"/>
      <c r="M1132" s="39"/>
      <c r="N1132" s="39"/>
      <c r="O1132" s="39"/>
      <c r="P1132" s="39"/>
      <c r="Q1132" s="39">
        <v>1.17</v>
      </c>
      <c r="R1132" s="39"/>
      <c r="S1132" s="39"/>
      <c r="T1132" s="39"/>
      <c r="U1132" s="39"/>
      <c r="V1132" s="39"/>
      <c r="W1132" s="39"/>
      <c r="X1132" s="49" t="s">
        <v>95</v>
      </c>
      <c r="Y1132" s="50">
        <v>13062</v>
      </c>
      <c r="Z1132" s="51">
        <v>12689</v>
      </c>
      <c r="AA1132" s="52">
        <f t="shared" si="26"/>
        <v>0.971443883019446</v>
      </c>
      <c r="AB1132" s="12">
        <v>12689</v>
      </c>
      <c r="AC1132" s="12">
        <v>0</v>
      </c>
      <c r="AD1132" s="43"/>
      <c r="AE1132" s="43"/>
      <c r="AF1132" s="43"/>
      <c r="AG1132" s="43"/>
      <c r="AH1132" s="43"/>
      <c r="AI1132" s="43"/>
      <c r="AJ1132" s="43"/>
      <c r="AK1132" s="43"/>
      <c r="AL1132" s="43"/>
      <c r="AM1132" s="43"/>
      <c r="AN1132" s="43"/>
      <c r="AO1132" s="43"/>
      <c r="AP1132" s="43"/>
      <c r="AQ1132" s="43"/>
      <c r="AR1132" s="43"/>
      <c r="AS1132" s="43"/>
      <c r="AT1132" s="43"/>
      <c r="AU1132" s="43"/>
      <c r="AV1132" s="43"/>
    </row>
    <row r="1133" ht="15.75" spans="1:48">
      <c r="A1133" s="12">
        <v>1129</v>
      </c>
      <c r="B1133" s="44">
        <v>3268</v>
      </c>
      <c r="C1133" s="45" t="s">
        <v>80</v>
      </c>
      <c r="D1133" s="46">
        <v>17</v>
      </c>
      <c r="E1133" s="47" t="s">
        <v>50</v>
      </c>
      <c r="F1133" s="48">
        <v>8.83</v>
      </c>
      <c r="G1133" s="38">
        <v>3.17</v>
      </c>
      <c r="H1133" s="39"/>
      <c r="I1133" s="39"/>
      <c r="J1133" s="39"/>
      <c r="K1133" s="39">
        <v>0.33</v>
      </c>
      <c r="L1133" s="39"/>
      <c r="M1133" s="39"/>
      <c r="N1133" s="39"/>
      <c r="O1133" s="39"/>
      <c r="P1133" s="39"/>
      <c r="Q1133" s="39">
        <v>1.17</v>
      </c>
      <c r="R1133" s="39"/>
      <c r="S1133" s="39"/>
      <c r="T1133" s="39">
        <v>1.5</v>
      </c>
      <c r="U1133" s="39">
        <v>0.17</v>
      </c>
      <c r="V1133" s="39"/>
      <c r="W1133" s="39"/>
      <c r="X1133" s="49">
        <v>977</v>
      </c>
      <c r="Y1133" s="50">
        <v>2649</v>
      </c>
      <c r="Z1133" s="51">
        <v>2323</v>
      </c>
      <c r="AA1133" s="52">
        <f t="shared" si="26"/>
        <v>0.876934692336731</v>
      </c>
      <c r="AB1133" s="12">
        <v>1791</v>
      </c>
      <c r="AC1133" s="12">
        <v>532</v>
      </c>
      <c r="AD1133" s="19">
        <v>532</v>
      </c>
      <c r="AE1133" s="43"/>
      <c r="AF1133" s="43"/>
      <c r="AG1133" s="43"/>
      <c r="AH1133" s="43"/>
      <c r="AI1133" s="43"/>
      <c r="AJ1133" s="43"/>
      <c r="AK1133" s="43"/>
      <c r="AL1133" s="43"/>
      <c r="AM1133" s="43"/>
      <c r="AN1133" s="43"/>
      <c r="AO1133" s="43"/>
      <c r="AP1133" s="43"/>
      <c r="AQ1133" s="43"/>
      <c r="AR1133" s="43"/>
      <c r="AS1133" s="43"/>
      <c r="AT1133" s="43"/>
      <c r="AU1133" s="43"/>
      <c r="AV1133" s="43"/>
    </row>
    <row r="1134" ht="15.75" spans="1:48">
      <c r="A1134" s="12">
        <v>1130</v>
      </c>
      <c r="B1134" s="44">
        <v>959</v>
      </c>
      <c r="C1134" s="45" t="s">
        <v>168</v>
      </c>
      <c r="D1134" s="46">
        <v>2</v>
      </c>
      <c r="E1134" s="47" t="s">
        <v>50</v>
      </c>
      <c r="F1134" s="48">
        <v>4.84</v>
      </c>
      <c r="G1134" s="38">
        <v>0.83</v>
      </c>
      <c r="H1134" s="39"/>
      <c r="I1134" s="39"/>
      <c r="J1134" s="39"/>
      <c r="K1134" s="39"/>
      <c r="L1134" s="39"/>
      <c r="M1134" s="39"/>
      <c r="N1134" s="39"/>
      <c r="O1134" s="39"/>
      <c r="P1134" s="39"/>
      <c r="Q1134" s="39">
        <v>0.83</v>
      </c>
      <c r="R1134" s="39"/>
      <c r="S1134" s="39"/>
      <c r="T1134" s="39"/>
      <c r="U1134" s="39"/>
      <c r="V1134" s="39"/>
      <c r="W1134" s="39"/>
      <c r="X1134" s="49">
        <v>8234</v>
      </c>
      <c r="Y1134" s="50">
        <v>3194.4</v>
      </c>
      <c r="Z1134" s="51">
        <v>2021</v>
      </c>
      <c r="AA1134" s="52">
        <f t="shared" si="26"/>
        <v>0.63266967192587</v>
      </c>
      <c r="AB1134" s="12">
        <v>2021</v>
      </c>
      <c r="AC1134" s="12">
        <v>0</v>
      </c>
      <c r="AD1134" s="43"/>
      <c r="AE1134" s="43"/>
      <c r="AF1134" s="43"/>
      <c r="AG1134" s="43"/>
      <c r="AH1134" s="43"/>
      <c r="AI1134" s="43"/>
      <c r="AJ1134" s="43"/>
      <c r="AK1134" s="43"/>
      <c r="AL1134" s="43"/>
      <c r="AM1134" s="43"/>
      <c r="AN1134" s="43"/>
      <c r="AO1134" s="43"/>
      <c r="AP1134" s="43"/>
      <c r="AQ1134" s="43"/>
      <c r="AR1134" s="43"/>
      <c r="AS1134" s="43"/>
      <c r="AT1134" s="43"/>
      <c r="AU1134" s="43"/>
      <c r="AV1134" s="43"/>
    </row>
    <row r="1135" ht="15.75" spans="1:48">
      <c r="A1135" s="12">
        <v>1131</v>
      </c>
      <c r="B1135" s="44">
        <v>959</v>
      </c>
      <c r="C1135" s="45" t="s">
        <v>168</v>
      </c>
      <c r="D1135" s="46">
        <v>6</v>
      </c>
      <c r="E1135" s="47" t="s">
        <v>50</v>
      </c>
      <c r="F1135" s="48">
        <v>2.33</v>
      </c>
      <c r="G1135" s="38">
        <v>0</v>
      </c>
      <c r="H1135" s="39"/>
      <c r="I1135" s="39"/>
      <c r="J1135" s="39"/>
      <c r="K1135" s="39"/>
      <c r="L1135" s="39"/>
      <c r="M1135" s="39"/>
      <c r="N1135" s="39"/>
      <c r="O1135" s="39"/>
      <c r="P1135" s="39"/>
      <c r="Q1135" s="39"/>
      <c r="R1135" s="39"/>
      <c r="S1135" s="39"/>
      <c r="T1135" s="39"/>
      <c r="U1135" s="39"/>
      <c r="V1135" s="39"/>
      <c r="W1135" s="39"/>
      <c r="X1135" s="49">
        <v>8235</v>
      </c>
      <c r="Y1135" s="50">
        <v>1537.8</v>
      </c>
      <c r="Z1135" s="51">
        <v>1000</v>
      </c>
      <c r="AA1135" s="52">
        <f t="shared" si="26"/>
        <v>0.650279620236702</v>
      </c>
      <c r="AB1135" s="12">
        <v>1000</v>
      </c>
      <c r="AC1135" s="12">
        <v>0</v>
      </c>
      <c r="AD1135" s="43"/>
      <c r="AE1135" s="43"/>
      <c r="AF1135" s="43"/>
      <c r="AG1135" s="43"/>
      <c r="AH1135" s="43"/>
      <c r="AI1135" s="43"/>
      <c r="AJ1135" s="43"/>
      <c r="AK1135" s="43"/>
      <c r="AL1135" s="43"/>
      <c r="AM1135" s="43"/>
      <c r="AN1135" s="43"/>
      <c r="AO1135" s="43"/>
      <c r="AP1135" s="43"/>
      <c r="AQ1135" s="43"/>
      <c r="AR1135" s="43"/>
      <c r="AS1135" s="43"/>
      <c r="AT1135" s="43"/>
      <c r="AU1135" s="43"/>
      <c r="AV1135" s="43"/>
    </row>
    <row r="1136" ht="15.75" spans="1:48">
      <c r="A1136" s="12">
        <v>1132</v>
      </c>
      <c r="B1136" s="44">
        <v>4360</v>
      </c>
      <c r="C1136" s="45" t="s">
        <v>97</v>
      </c>
      <c r="D1136" s="46">
        <v>3</v>
      </c>
      <c r="E1136" s="47" t="s">
        <v>50</v>
      </c>
      <c r="F1136" s="48">
        <v>9.17</v>
      </c>
      <c r="G1136" s="38">
        <v>1.84</v>
      </c>
      <c r="H1136" s="39"/>
      <c r="I1136" s="39"/>
      <c r="J1136" s="39"/>
      <c r="K1136" s="39"/>
      <c r="L1136" s="39"/>
      <c r="M1136" s="39"/>
      <c r="N1136" s="39"/>
      <c r="O1136" s="39"/>
      <c r="P1136" s="39"/>
      <c r="Q1136" s="39">
        <v>1.17</v>
      </c>
      <c r="R1136" s="39"/>
      <c r="S1136" s="39"/>
      <c r="T1136" s="39"/>
      <c r="U1136" s="39">
        <v>0.67</v>
      </c>
      <c r="V1136" s="39"/>
      <c r="W1136" s="39"/>
      <c r="X1136" s="49">
        <v>9740</v>
      </c>
      <c r="Y1136" s="50">
        <v>3851.4</v>
      </c>
      <c r="Z1136" s="51">
        <v>3840</v>
      </c>
      <c r="AA1136" s="52">
        <f t="shared" si="26"/>
        <v>0.997040037389001</v>
      </c>
      <c r="AB1136" s="12">
        <v>3832</v>
      </c>
      <c r="AC1136" s="12">
        <v>8</v>
      </c>
      <c r="AD1136" s="19">
        <v>8</v>
      </c>
      <c r="AE1136" s="43"/>
      <c r="AF1136" s="43"/>
      <c r="AG1136" s="43"/>
      <c r="AH1136" s="43"/>
      <c r="AI1136" s="43"/>
      <c r="AJ1136" s="43"/>
      <c r="AK1136" s="43"/>
      <c r="AL1136" s="43"/>
      <c r="AM1136" s="43"/>
      <c r="AN1136" s="43"/>
      <c r="AO1136" s="43"/>
      <c r="AP1136" s="43"/>
      <c r="AQ1136" s="43"/>
      <c r="AR1136" s="43"/>
      <c r="AS1136" s="43"/>
      <c r="AT1136" s="43"/>
      <c r="AU1136" s="43"/>
      <c r="AV1136" s="43"/>
    </row>
    <row r="1137" ht="15.75" spans="1:48">
      <c r="A1137" s="12">
        <v>1133</v>
      </c>
      <c r="B1137" s="44">
        <v>4310</v>
      </c>
      <c r="C1137" s="45" t="s">
        <v>99</v>
      </c>
      <c r="D1137" s="46">
        <v>21</v>
      </c>
      <c r="E1137" s="47" t="s">
        <v>50</v>
      </c>
      <c r="F1137" s="48">
        <v>10.83</v>
      </c>
      <c r="G1137" s="38">
        <v>1.17</v>
      </c>
      <c r="H1137" s="39"/>
      <c r="I1137" s="39"/>
      <c r="J1137" s="39"/>
      <c r="K1137" s="39"/>
      <c r="L1137" s="39"/>
      <c r="M1137" s="39"/>
      <c r="N1137" s="39"/>
      <c r="O1137" s="39"/>
      <c r="P1137" s="39"/>
      <c r="Q1137" s="39">
        <v>1.17</v>
      </c>
      <c r="R1137" s="39"/>
      <c r="S1137" s="39"/>
      <c r="T1137" s="39"/>
      <c r="U1137" s="39"/>
      <c r="V1137" s="39"/>
      <c r="W1137" s="39"/>
      <c r="X1137" s="49" t="s">
        <v>222</v>
      </c>
      <c r="Y1137" s="50">
        <v>15703.5</v>
      </c>
      <c r="Z1137" s="51">
        <v>14400</v>
      </c>
      <c r="AA1137" s="52">
        <f t="shared" si="26"/>
        <v>0.91699302703219</v>
      </c>
      <c r="AB1137" s="12">
        <v>14400</v>
      </c>
      <c r="AC1137" s="12">
        <v>0</v>
      </c>
      <c r="AD1137" s="43"/>
      <c r="AE1137" s="43"/>
      <c r="AF1137" s="43"/>
      <c r="AG1137" s="43"/>
      <c r="AH1137" s="43"/>
      <c r="AI1137" s="43"/>
      <c r="AJ1137" s="43"/>
      <c r="AK1137" s="43"/>
      <c r="AL1137" s="43"/>
      <c r="AM1137" s="43"/>
      <c r="AN1137" s="43"/>
      <c r="AO1137" s="43"/>
      <c r="AP1137" s="43"/>
      <c r="AQ1137" s="43"/>
      <c r="AR1137" s="43"/>
      <c r="AS1137" s="43"/>
      <c r="AT1137" s="43"/>
      <c r="AU1137" s="43"/>
      <c r="AV1137" s="43"/>
    </row>
    <row r="1138" ht="15.75" spans="1:48">
      <c r="A1138" s="12">
        <v>1134</v>
      </c>
      <c r="B1138" s="44">
        <v>3277</v>
      </c>
      <c r="C1138" s="45" t="s">
        <v>106</v>
      </c>
      <c r="D1138" s="46">
        <v>2</v>
      </c>
      <c r="E1138" s="47" t="s">
        <v>50</v>
      </c>
      <c r="F1138" s="48">
        <v>2</v>
      </c>
      <c r="G1138" s="38">
        <v>1.17</v>
      </c>
      <c r="H1138" s="39"/>
      <c r="I1138" s="39"/>
      <c r="J1138" s="39"/>
      <c r="K1138" s="39"/>
      <c r="L1138" s="39"/>
      <c r="M1138" s="39"/>
      <c r="N1138" s="39"/>
      <c r="O1138" s="39"/>
      <c r="P1138" s="39"/>
      <c r="Q1138" s="39">
        <v>1.17</v>
      </c>
      <c r="R1138" s="39"/>
      <c r="S1138" s="39"/>
      <c r="T1138" s="39"/>
      <c r="U1138" s="39"/>
      <c r="V1138" s="39"/>
      <c r="W1138" s="39"/>
      <c r="X1138" s="49">
        <v>8234</v>
      </c>
      <c r="Y1138" s="50">
        <v>1320</v>
      </c>
      <c r="Z1138" s="51">
        <v>1305</v>
      </c>
      <c r="AA1138" s="52">
        <f t="shared" ref="AA1138:AA1201" si="27">IFERROR(Z1138/Y1138,0)</f>
        <v>0.988636363636364</v>
      </c>
      <c r="AB1138" s="12">
        <v>1305</v>
      </c>
      <c r="AC1138" s="12">
        <v>0</v>
      </c>
      <c r="AD1138" s="43"/>
      <c r="AE1138" s="43"/>
      <c r="AF1138" s="43"/>
      <c r="AG1138" s="43"/>
      <c r="AH1138" s="43"/>
      <c r="AI1138" s="43"/>
      <c r="AJ1138" s="43"/>
      <c r="AK1138" s="43"/>
      <c r="AL1138" s="43"/>
      <c r="AM1138" s="43"/>
      <c r="AN1138" s="43"/>
      <c r="AO1138" s="43"/>
      <c r="AP1138" s="43"/>
      <c r="AQ1138" s="43"/>
      <c r="AR1138" s="43"/>
      <c r="AS1138" s="43"/>
      <c r="AT1138" s="43"/>
      <c r="AU1138" s="43"/>
      <c r="AV1138" s="43"/>
    </row>
    <row r="1139" ht="15.75" spans="1:48">
      <c r="A1139" s="12">
        <v>1135</v>
      </c>
      <c r="B1139" s="44">
        <v>3277</v>
      </c>
      <c r="C1139" s="45" t="s">
        <v>106</v>
      </c>
      <c r="D1139" s="46"/>
      <c r="E1139" s="47" t="s">
        <v>50</v>
      </c>
      <c r="F1139" s="48">
        <v>8.83</v>
      </c>
      <c r="G1139" s="38">
        <v>0</v>
      </c>
      <c r="H1139" s="39"/>
      <c r="I1139" s="39"/>
      <c r="J1139" s="39"/>
      <c r="K1139" s="39"/>
      <c r="L1139" s="39"/>
      <c r="M1139" s="39"/>
      <c r="N1139" s="39"/>
      <c r="O1139" s="39"/>
      <c r="P1139" s="39"/>
      <c r="Q1139" s="39"/>
      <c r="R1139" s="39"/>
      <c r="S1139" s="39"/>
      <c r="T1139" s="39"/>
      <c r="U1139" s="39"/>
      <c r="V1139" s="39"/>
      <c r="W1139" s="39"/>
      <c r="X1139" s="49" t="s">
        <v>155</v>
      </c>
      <c r="Y1139" s="50">
        <v>0</v>
      </c>
      <c r="Z1139" s="51"/>
      <c r="AA1139" s="52">
        <f t="shared" si="27"/>
        <v>0</v>
      </c>
      <c r="AB1139" s="12">
        <v>0</v>
      </c>
      <c r="AC1139" s="12">
        <v>0</v>
      </c>
      <c r="AD1139" s="43"/>
      <c r="AE1139" s="43"/>
      <c r="AF1139" s="43"/>
      <c r="AG1139" s="43"/>
      <c r="AH1139" s="43"/>
      <c r="AI1139" s="43"/>
      <c r="AJ1139" s="43"/>
      <c r="AK1139" s="43"/>
      <c r="AL1139" s="43"/>
      <c r="AM1139" s="43"/>
      <c r="AN1139" s="43"/>
      <c r="AO1139" s="43"/>
      <c r="AP1139" s="43"/>
      <c r="AQ1139" s="43"/>
      <c r="AR1139" s="43"/>
      <c r="AS1139" s="43"/>
      <c r="AT1139" s="43"/>
      <c r="AU1139" s="43"/>
      <c r="AV1139" s="43"/>
    </row>
    <row r="1140" ht="15.75" spans="1:48">
      <c r="A1140" s="12">
        <v>1136</v>
      </c>
      <c r="B1140" s="44">
        <v>1448</v>
      </c>
      <c r="C1140" s="45" t="s">
        <v>296</v>
      </c>
      <c r="D1140" s="46">
        <v>5</v>
      </c>
      <c r="E1140" s="47" t="s">
        <v>50</v>
      </c>
      <c r="F1140" s="48">
        <v>9.17</v>
      </c>
      <c r="G1140" s="38">
        <v>2.84</v>
      </c>
      <c r="H1140" s="39"/>
      <c r="I1140" s="39"/>
      <c r="J1140" s="39"/>
      <c r="K1140" s="39"/>
      <c r="L1140" s="39"/>
      <c r="M1140" s="39"/>
      <c r="N1140" s="39"/>
      <c r="O1140" s="39"/>
      <c r="P1140" s="39"/>
      <c r="Q1140" s="39">
        <v>1.17</v>
      </c>
      <c r="R1140" s="39"/>
      <c r="S1140" s="39"/>
      <c r="T1140" s="39"/>
      <c r="U1140" s="39">
        <v>1.67</v>
      </c>
      <c r="V1140" s="39"/>
      <c r="W1140" s="39"/>
      <c r="X1140" s="49">
        <v>5770</v>
      </c>
      <c r="Y1140" s="50">
        <v>5547.85</v>
      </c>
      <c r="Z1140" s="51">
        <v>5511</v>
      </c>
      <c r="AA1140" s="52">
        <f t="shared" si="27"/>
        <v>0.993357787250917</v>
      </c>
      <c r="AB1140" s="12">
        <v>5460</v>
      </c>
      <c r="AC1140" s="12">
        <v>51</v>
      </c>
      <c r="AD1140" s="19">
        <v>51</v>
      </c>
      <c r="AE1140" s="43"/>
      <c r="AF1140" s="43"/>
      <c r="AG1140" s="43"/>
      <c r="AH1140" s="43"/>
      <c r="AI1140" s="43"/>
      <c r="AJ1140" s="43"/>
      <c r="AK1140" s="43"/>
      <c r="AL1140" s="43"/>
      <c r="AM1140" s="43"/>
      <c r="AN1140" s="43"/>
      <c r="AO1140" s="43"/>
      <c r="AP1140" s="43"/>
      <c r="AQ1140" s="43"/>
      <c r="AR1140" s="43"/>
      <c r="AS1140" s="43"/>
      <c r="AT1140" s="43"/>
      <c r="AU1140" s="43"/>
      <c r="AV1140" s="43"/>
    </row>
    <row r="1141" ht="15.75" spans="1:48">
      <c r="A1141" s="12">
        <v>1137</v>
      </c>
      <c r="B1141" s="44">
        <v>4412</v>
      </c>
      <c r="C1141" s="45" t="s">
        <v>177</v>
      </c>
      <c r="D1141" s="46">
        <v>15</v>
      </c>
      <c r="E1141" s="47" t="s">
        <v>50</v>
      </c>
      <c r="F1141" s="48">
        <v>3</v>
      </c>
      <c r="G1141" s="38">
        <v>1.34</v>
      </c>
      <c r="H1141" s="39"/>
      <c r="I1141" s="39"/>
      <c r="J1141" s="39"/>
      <c r="K1141" s="39"/>
      <c r="L1141" s="39"/>
      <c r="M1141" s="39"/>
      <c r="N1141" s="39"/>
      <c r="O1141" s="39"/>
      <c r="P1141" s="39"/>
      <c r="Q1141" s="39">
        <v>1.17</v>
      </c>
      <c r="R1141" s="39"/>
      <c r="S1141" s="39"/>
      <c r="T1141" s="39">
        <v>0.17</v>
      </c>
      <c r="U1141" s="39"/>
      <c r="V1141" s="39"/>
      <c r="W1141" s="39"/>
      <c r="X1141" s="49">
        <v>3880</v>
      </c>
      <c r="Y1141" s="50">
        <v>1200</v>
      </c>
      <c r="Z1141" s="51">
        <v>1122</v>
      </c>
      <c r="AA1141" s="52">
        <f t="shared" si="27"/>
        <v>0.935</v>
      </c>
      <c r="AB1141" s="12">
        <v>972</v>
      </c>
      <c r="AC1141" s="12">
        <v>150</v>
      </c>
      <c r="AD1141" s="19">
        <v>150</v>
      </c>
      <c r="AE1141" s="43"/>
      <c r="AF1141" s="43"/>
      <c r="AG1141" s="43"/>
      <c r="AH1141" s="43"/>
      <c r="AI1141" s="43"/>
      <c r="AJ1141" s="43"/>
      <c r="AK1141" s="43"/>
      <c r="AL1141" s="43"/>
      <c r="AM1141" s="43"/>
      <c r="AN1141" s="43"/>
      <c r="AO1141" s="43"/>
      <c r="AP1141" s="43"/>
      <c r="AQ1141" s="43"/>
      <c r="AR1141" s="43"/>
      <c r="AS1141" s="43"/>
      <c r="AT1141" s="43"/>
      <c r="AU1141" s="43"/>
      <c r="AV1141" s="43"/>
    </row>
    <row r="1142" ht="15.75" spans="1:48">
      <c r="A1142" s="12">
        <v>1138</v>
      </c>
      <c r="B1142" s="44">
        <v>4412</v>
      </c>
      <c r="C1142" s="45" t="s">
        <v>177</v>
      </c>
      <c r="D1142" s="46">
        <v>6</v>
      </c>
      <c r="E1142" s="47" t="s">
        <v>50</v>
      </c>
      <c r="F1142" s="48">
        <v>4</v>
      </c>
      <c r="G1142" s="38">
        <v>0.17</v>
      </c>
      <c r="H1142" s="39"/>
      <c r="I1142" s="39"/>
      <c r="J1142" s="39"/>
      <c r="K1142" s="39"/>
      <c r="L1142" s="39"/>
      <c r="M1142" s="39"/>
      <c r="N1142" s="39"/>
      <c r="O1142" s="39"/>
      <c r="P1142" s="39"/>
      <c r="Q1142" s="39"/>
      <c r="R1142" s="39"/>
      <c r="S1142" s="39"/>
      <c r="T1142" s="39"/>
      <c r="U1142" s="39">
        <v>0.17</v>
      </c>
      <c r="V1142" s="39"/>
      <c r="W1142" s="39"/>
      <c r="X1142" s="49">
        <v>1090</v>
      </c>
      <c r="Y1142" s="50">
        <v>2640</v>
      </c>
      <c r="Z1142" s="51">
        <v>2582</v>
      </c>
      <c r="AA1142" s="52">
        <f t="shared" si="27"/>
        <v>0.978030303030303</v>
      </c>
      <c r="AB1142" s="12">
        <v>2582</v>
      </c>
      <c r="AC1142" s="12">
        <v>0</v>
      </c>
      <c r="AD1142" s="43"/>
      <c r="AE1142" s="43"/>
      <c r="AF1142" s="43"/>
      <c r="AG1142" s="43"/>
      <c r="AH1142" s="43"/>
      <c r="AI1142" s="43"/>
      <c r="AJ1142" s="43"/>
      <c r="AK1142" s="43"/>
      <c r="AL1142" s="43"/>
      <c r="AM1142" s="43"/>
      <c r="AN1142" s="43"/>
      <c r="AO1142" s="43"/>
      <c r="AP1142" s="43"/>
      <c r="AQ1142" s="43"/>
      <c r="AR1142" s="43"/>
      <c r="AS1142" s="43"/>
      <c r="AT1142" s="43"/>
      <c r="AU1142" s="43"/>
      <c r="AV1142" s="43"/>
    </row>
    <row r="1143" ht="15.75" spans="1:48">
      <c r="A1143" s="12">
        <v>1139</v>
      </c>
      <c r="B1143" s="44">
        <v>676</v>
      </c>
      <c r="C1143" s="45" t="s">
        <v>171</v>
      </c>
      <c r="D1143" s="46"/>
      <c r="E1143" s="47" t="s">
        <v>50</v>
      </c>
      <c r="F1143" s="48">
        <v>7</v>
      </c>
      <c r="G1143" s="38">
        <v>3</v>
      </c>
      <c r="H1143" s="39"/>
      <c r="I1143" s="39"/>
      <c r="J1143" s="39"/>
      <c r="K1143" s="39"/>
      <c r="L1143" s="39"/>
      <c r="M1143" s="39"/>
      <c r="N1143" s="39"/>
      <c r="O1143" s="39"/>
      <c r="P1143" s="39"/>
      <c r="Q1143" s="39">
        <v>1.17</v>
      </c>
      <c r="R1143" s="39"/>
      <c r="S1143" s="39">
        <v>1.83</v>
      </c>
      <c r="T1143" s="39"/>
      <c r="U1143" s="39"/>
      <c r="V1143" s="39"/>
      <c r="W1143" s="39"/>
      <c r="X1143" s="49" t="s">
        <v>285</v>
      </c>
      <c r="Y1143" s="50">
        <v>3290</v>
      </c>
      <c r="Z1143" s="51">
        <v>3240</v>
      </c>
      <c r="AA1143" s="52">
        <f t="shared" si="27"/>
        <v>0.984802431610942</v>
      </c>
      <c r="AB1143" s="12">
        <v>3240</v>
      </c>
      <c r="AC1143" s="12">
        <v>0</v>
      </c>
      <c r="AD1143" s="43"/>
      <c r="AE1143" s="43"/>
      <c r="AF1143" s="43"/>
      <c r="AG1143" s="43"/>
      <c r="AH1143" s="43"/>
      <c r="AI1143" s="43"/>
      <c r="AJ1143" s="43"/>
      <c r="AK1143" s="43"/>
      <c r="AL1143" s="43"/>
      <c r="AM1143" s="43"/>
      <c r="AN1143" s="43"/>
      <c r="AO1143" s="43"/>
      <c r="AP1143" s="43"/>
      <c r="AQ1143" s="43"/>
      <c r="AR1143" s="43"/>
      <c r="AS1143" s="43"/>
      <c r="AT1143" s="43"/>
      <c r="AU1143" s="43"/>
      <c r="AV1143" s="43"/>
    </row>
    <row r="1144" ht="15.75" spans="1:48">
      <c r="A1144" s="12">
        <v>1140</v>
      </c>
      <c r="B1144" s="44">
        <v>676</v>
      </c>
      <c r="C1144" s="45" t="s">
        <v>171</v>
      </c>
      <c r="D1144" s="46"/>
      <c r="E1144" s="47" t="s">
        <v>50</v>
      </c>
      <c r="F1144" s="48">
        <v>2</v>
      </c>
      <c r="G1144" s="38">
        <v>0</v>
      </c>
      <c r="H1144" s="39"/>
      <c r="I1144" s="39"/>
      <c r="J1144" s="39"/>
      <c r="K1144" s="39"/>
      <c r="L1144" s="39"/>
      <c r="M1144" s="39"/>
      <c r="N1144" s="39"/>
      <c r="O1144" s="39"/>
      <c r="P1144" s="39"/>
      <c r="Q1144" s="39"/>
      <c r="R1144" s="39"/>
      <c r="S1144" s="39"/>
      <c r="T1144" s="39"/>
      <c r="U1144" s="39"/>
      <c r="V1144" s="39"/>
      <c r="W1144" s="39"/>
      <c r="X1144" s="49" t="s">
        <v>98</v>
      </c>
      <c r="Y1144" s="50">
        <v>940</v>
      </c>
      <c r="Z1144" s="51">
        <v>900</v>
      </c>
      <c r="AA1144" s="52">
        <f t="shared" si="27"/>
        <v>0.957446808510638</v>
      </c>
      <c r="AB1144" s="12">
        <v>900</v>
      </c>
      <c r="AC1144" s="12">
        <v>0</v>
      </c>
      <c r="AD1144" s="43"/>
      <c r="AE1144" s="43"/>
      <c r="AF1144" s="43"/>
      <c r="AG1144" s="43"/>
      <c r="AH1144" s="43"/>
      <c r="AI1144" s="43"/>
      <c r="AJ1144" s="43"/>
      <c r="AK1144" s="43"/>
      <c r="AL1144" s="43"/>
      <c r="AM1144" s="43"/>
      <c r="AN1144" s="43"/>
      <c r="AO1144" s="43"/>
      <c r="AP1144" s="43"/>
      <c r="AQ1144" s="43"/>
      <c r="AR1144" s="43"/>
      <c r="AS1144" s="43"/>
      <c r="AT1144" s="43"/>
      <c r="AU1144" s="43"/>
      <c r="AV1144" s="43"/>
    </row>
    <row r="1145" ht="15.75" spans="1:48">
      <c r="A1145" s="12">
        <v>1141</v>
      </c>
      <c r="B1145" s="44" t="s">
        <v>211</v>
      </c>
      <c r="C1145" s="45" t="s">
        <v>176</v>
      </c>
      <c r="D1145" s="46">
        <v>8</v>
      </c>
      <c r="E1145" s="47" t="s">
        <v>50</v>
      </c>
      <c r="F1145" s="48">
        <v>4.17</v>
      </c>
      <c r="G1145" s="38">
        <v>0</v>
      </c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  <c r="S1145" s="39"/>
      <c r="T1145" s="39"/>
      <c r="U1145" s="39"/>
      <c r="V1145" s="39"/>
      <c r="W1145" s="39"/>
      <c r="X1145" s="49">
        <v>6270</v>
      </c>
      <c r="Y1145" s="50">
        <v>2522.85</v>
      </c>
      <c r="Z1145" s="51">
        <v>2349</v>
      </c>
      <c r="AA1145" s="52">
        <f t="shared" si="27"/>
        <v>0.931089838872704</v>
      </c>
      <c r="AB1145" s="12">
        <v>2349</v>
      </c>
      <c r="AC1145" s="12">
        <v>0</v>
      </c>
      <c r="AD1145" s="43"/>
      <c r="AE1145" s="43"/>
      <c r="AF1145" s="43"/>
      <c r="AG1145" s="43"/>
      <c r="AH1145" s="43"/>
      <c r="AI1145" s="43"/>
      <c r="AJ1145" s="43"/>
      <c r="AK1145" s="43"/>
      <c r="AL1145" s="43"/>
      <c r="AM1145" s="43"/>
      <c r="AN1145" s="43"/>
      <c r="AO1145" s="43"/>
      <c r="AP1145" s="43"/>
      <c r="AQ1145" s="43"/>
      <c r="AR1145" s="43"/>
      <c r="AS1145" s="43"/>
      <c r="AT1145" s="43"/>
      <c r="AU1145" s="43"/>
      <c r="AV1145" s="43"/>
    </row>
    <row r="1146" ht="15.75" spans="1:48">
      <c r="A1146" s="12">
        <v>1142</v>
      </c>
      <c r="B1146" s="44" t="s">
        <v>211</v>
      </c>
      <c r="C1146" s="45" t="s">
        <v>176</v>
      </c>
      <c r="D1146" s="46"/>
      <c r="E1146" s="47" t="s">
        <v>50</v>
      </c>
      <c r="F1146" s="48">
        <v>0.83</v>
      </c>
      <c r="G1146" s="38">
        <v>0</v>
      </c>
      <c r="H1146" s="39"/>
      <c r="I1146" s="39"/>
      <c r="J1146" s="39"/>
      <c r="K1146" s="39"/>
      <c r="L1146" s="39"/>
      <c r="M1146" s="39"/>
      <c r="N1146" s="39"/>
      <c r="O1146" s="39"/>
      <c r="P1146" s="39"/>
      <c r="Q1146" s="39"/>
      <c r="R1146" s="39"/>
      <c r="S1146" s="39"/>
      <c r="T1146" s="39"/>
      <c r="U1146" s="39"/>
      <c r="V1146" s="39"/>
      <c r="W1146" s="39"/>
      <c r="X1146" s="49" t="s">
        <v>103</v>
      </c>
      <c r="Y1146" s="50">
        <v>697.2</v>
      </c>
      <c r="Z1146" s="51">
        <v>720</v>
      </c>
      <c r="AA1146" s="52">
        <f t="shared" si="27"/>
        <v>1.03270223752151</v>
      </c>
      <c r="AB1146" s="12">
        <v>720</v>
      </c>
      <c r="AC1146" s="12">
        <v>0</v>
      </c>
      <c r="AD1146" s="43"/>
      <c r="AE1146" s="43"/>
      <c r="AF1146" s="43"/>
      <c r="AG1146" s="43"/>
      <c r="AH1146" s="43"/>
      <c r="AI1146" s="43"/>
      <c r="AJ1146" s="43"/>
      <c r="AK1146" s="43"/>
      <c r="AL1146" s="43"/>
      <c r="AM1146" s="43"/>
      <c r="AN1146" s="43"/>
      <c r="AO1146" s="43"/>
      <c r="AP1146" s="43"/>
      <c r="AQ1146" s="43"/>
      <c r="AR1146" s="43"/>
      <c r="AS1146" s="43"/>
      <c r="AT1146" s="43"/>
      <c r="AU1146" s="43"/>
      <c r="AV1146" s="43"/>
    </row>
    <row r="1147" ht="15.75" spans="1:48">
      <c r="A1147" s="12">
        <v>1143</v>
      </c>
      <c r="B1147" s="44">
        <v>698</v>
      </c>
      <c r="C1147" s="45" t="s">
        <v>68</v>
      </c>
      <c r="D1147" s="46"/>
      <c r="E1147" s="47" t="s">
        <v>50</v>
      </c>
      <c r="F1147" s="48">
        <v>10.83</v>
      </c>
      <c r="G1147" s="38">
        <v>1.17</v>
      </c>
      <c r="H1147" s="39"/>
      <c r="I1147" s="39"/>
      <c r="J1147" s="39"/>
      <c r="K1147" s="39"/>
      <c r="L1147" s="39"/>
      <c r="M1147" s="39"/>
      <c r="N1147" s="39"/>
      <c r="O1147" s="39"/>
      <c r="P1147" s="39"/>
      <c r="Q1147" s="39">
        <v>1.17</v>
      </c>
      <c r="R1147" s="39"/>
      <c r="S1147" s="39"/>
      <c r="T1147" s="39"/>
      <c r="U1147" s="39"/>
      <c r="V1147" s="39"/>
      <c r="W1147" s="39"/>
      <c r="X1147" s="49" t="s">
        <v>105</v>
      </c>
      <c r="Y1147" s="50">
        <v>5360.85</v>
      </c>
      <c r="Z1147" s="51">
        <v>5381</v>
      </c>
      <c r="AA1147" s="52">
        <f t="shared" si="27"/>
        <v>1.00375873229059</v>
      </c>
      <c r="AB1147" s="12">
        <v>5381</v>
      </c>
      <c r="AC1147" s="12">
        <v>0</v>
      </c>
      <c r="AD1147" s="43"/>
      <c r="AE1147" s="43"/>
      <c r="AF1147" s="43"/>
      <c r="AG1147" s="43"/>
      <c r="AH1147" s="43"/>
      <c r="AI1147" s="43"/>
      <c r="AJ1147" s="43"/>
      <c r="AK1147" s="43"/>
      <c r="AL1147" s="43"/>
      <c r="AM1147" s="43"/>
      <c r="AN1147" s="43"/>
      <c r="AO1147" s="43"/>
      <c r="AP1147" s="43"/>
      <c r="AQ1147" s="43"/>
      <c r="AR1147" s="43"/>
      <c r="AS1147" s="43"/>
      <c r="AT1147" s="43"/>
      <c r="AU1147" s="43"/>
      <c r="AV1147" s="43"/>
    </row>
    <row r="1148" ht="15.75" spans="1:48">
      <c r="A1148" s="12">
        <v>1144</v>
      </c>
      <c r="B1148" s="44">
        <v>4382</v>
      </c>
      <c r="C1148" s="45" t="s">
        <v>173</v>
      </c>
      <c r="D1148" s="46"/>
      <c r="E1148" s="47" t="s">
        <v>50</v>
      </c>
      <c r="F1148" s="48">
        <v>5.5</v>
      </c>
      <c r="G1148" s="38">
        <v>1.34</v>
      </c>
      <c r="H1148" s="39"/>
      <c r="I1148" s="39"/>
      <c r="J1148" s="39"/>
      <c r="K1148" s="39"/>
      <c r="L1148" s="39"/>
      <c r="M1148" s="39"/>
      <c r="N1148" s="39"/>
      <c r="O1148" s="39"/>
      <c r="P1148" s="39"/>
      <c r="Q1148" s="39">
        <v>1.17</v>
      </c>
      <c r="R1148" s="39"/>
      <c r="S1148" s="39"/>
      <c r="T1148" s="39"/>
      <c r="U1148" s="39">
        <v>0.17</v>
      </c>
      <c r="V1148" s="39"/>
      <c r="W1148" s="39"/>
      <c r="X1148" s="49" t="s">
        <v>229</v>
      </c>
      <c r="Y1148" s="50">
        <v>20460</v>
      </c>
      <c r="Z1148" s="51">
        <v>16650</v>
      </c>
      <c r="AA1148" s="52">
        <f t="shared" si="27"/>
        <v>0.813782991202346</v>
      </c>
      <c r="AB1148" s="12">
        <v>16650</v>
      </c>
      <c r="AC1148" s="12">
        <v>0</v>
      </c>
      <c r="AD1148" s="43"/>
      <c r="AE1148" s="43"/>
      <c r="AF1148" s="43"/>
      <c r="AG1148" s="43"/>
      <c r="AH1148" s="43"/>
      <c r="AI1148" s="43"/>
      <c r="AJ1148" s="43"/>
      <c r="AK1148" s="43"/>
      <c r="AL1148" s="43"/>
      <c r="AM1148" s="43"/>
      <c r="AN1148" s="43"/>
      <c r="AO1148" s="43"/>
      <c r="AP1148" s="43"/>
      <c r="AQ1148" s="43"/>
      <c r="AR1148" s="43"/>
      <c r="AS1148" s="43"/>
      <c r="AT1148" s="43"/>
      <c r="AU1148" s="43"/>
      <c r="AV1148" s="43"/>
    </row>
    <row r="1149" ht="15.75" spans="1:48">
      <c r="A1149" s="12">
        <v>1145</v>
      </c>
      <c r="B1149" s="44">
        <v>4382</v>
      </c>
      <c r="C1149" s="45" t="s">
        <v>173</v>
      </c>
      <c r="D1149" s="46"/>
      <c r="E1149" s="47" t="s">
        <v>50</v>
      </c>
      <c r="F1149" s="48">
        <v>3</v>
      </c>
      <c r="G1149" s="38">
        <v>0</v>
      </c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  <c r="S1149" s="39"/>
      <c r="T1149" s="39"/>
      <c r="U1149" s="39"/>
      <c r="V1149" s="39"/>
      <c r="W1149" s="39"/>
      <c r="X1149" s="49" t="s">
        <v>152</v>
      </c>
      <c r="Y1149" s="50">
        <v>13050</v>
      </c>
      <c r="Z1149" s="51">
        <v>12600</v>
      </c>
      <c r="AA1149" s="52">
        <f t="shared" si="27"/>
        <v>0.96551724137931</v>
      </c>
      <c r="AB1149" s="12">
        <v>12600</v>
      </c>
      <c r="AC1149" s="12">
        <v>0</v>
      </c>
      <c r="AD1149" s="43"/>
      <c r="AE1149" s="43"/>
      <c r="AF1149" s="43"/>
      <c r="AG1149" s="43"/>
      <c r="AH1149" s="43"/>
      <c r="AI1149" s="43"/>
      <c r="AJ1149" s="43"/>
      <c r="AK1149" s="43"/>
      <c r="AL1149" s="43"/>
      <c r="AM1149" s="43"/>
      <c r="AN1149" s="43"/>
      <c r="AO1149" s="43"/>
      <c r="AP1149" s="43"/>
      <c r="AQ1149" s="43"/>
      <c r="AR1149" s="43"/>
      <c r="AS1149" s="43"/>
      <c r="AT1149" s="43"/>
      <c r="AU1149" s="43"/>
      <c r="AV1149" s="43"/>
    </row>
    <row r="1150" ht="15.75" spans="1:48">
      <c r="A1150" s="12">
        <v>1146</v>
      </c>
      <c r="B1150" s="44">
        <v>4382</v>
      </c>
      <c r="C1150" s="45" t="s">
        <v>173</v>
      </c>
      <c r="D1150" s="46"/>
      <c r="E1150" s="47" t="s">
        <v>50</v>
      </c>
      <c r="F1150" s="48">
        <v>1.17</v>
      </c>
      <c r="G1150" s="38">
        <v>0</v>
      </c>
      <c r="H1150" s="39"/>
      <c r="I1150" s="39"/>
      <c r="J1150" s="39"/>
      <c r="K1150" s="39"/>
      <c r="L1150" s="39"/>
      <c r="M1150" s="39"/>
      <c r="N1150" s="39"/>
      <c r="O1150" s="39"/>
      <c r="P1150" s="39"/>
      <c r="Q1150" s="39"/>
      <c r="R1150" s="39"/>
      <c r="S1150" s="39"/>
      <c r="T1150" s="39"/>
      <c r="U1150" s="39"/>
      <c r="V1150" s="39"/>
      <c r="W1150" s="39"/>
      <c r="X1150" s="49" t="s">
        <v>234</v>
      </c>
      <c r="Y1150" s="50">
        <v>4352.4</v>
      </c>
      <c r="Z1150" s="51">
        <v>4050</v>
      </c>
      <c r="AA1150" s="52">
        <f t="shared" si="27"/>
        <v>0.930521091811415</v>
      </c>
      <c r="AB1150" s="12">
        <v>4050</v>
      </c>
      <c r="AC1150" s="12">
        <v>0</v>
      </c>
      <c r="AD1150" s="43"/>
      <c r="AE1150" s="43"/>
      <c r="AF1150" s="43"/>
      <c r="AG1150" s="43"/>
      <c r="AH1150" s="43"/>
      <c r="AI1150" s="43"/>
      <c r="AJ1150" s="43"/>
      <c r="AK1150" s="43"/>
      <c r="AL1150" s="43"/>
      <c r="AM1150" s="43"/>
      <c r="AN1150" s="43"/>
      <c r="AO1150" s="43"/>
      <c r="AP1150" s="43"/>
      <c r="AQ1150" s="43"/>
      <c r="AR1150" s="43"/>
      <c r="AS1150" s="43"/>
      <c r="AT1150" s="43"/>
      <c r="AU1150" s="43"/>
      <c r="AV1150" s="43"/>
    </row>
    <row r="1151" ht="15.75" spans="1:48">
      <c r="A1151" s="12">
        <v>1147</v>
      </c>
      <c r="B1151" s="44">
        <v>4382</v>
      </c>
      <c r="C1151" s="45" t="s">
        <v>173</v>
      </c>
      <c r="D1151" s="46"/>
      <c r="E1151" s="47" t="s">
        <v>50</v>
      </c>
      <c r="F1151" s="48">
        <v>1</v>
      </c>
      <c r="G1151" s="38">
        <v>0</v>
      </c>
      <c r="H1151" s="39"/>
      <c r="I1151" s="39"/>
      <c r="J1151" s="39"/>
      <c r="K1151" s="39"/>
      <c r="L1151" s="39"/>
      <c r="M1151" s="39"/>
      <c r="N1151" s="39"/>
      <c r="O1151" s="39"/>
      <c r="P1151" s="39"/>
      <c r="Q1151" s="39"/>
      <c r="R1151" s="39"/>
      <c r="S1151" s="39"/>
      <c r="T1151" s="39"/>
      <c r="U1151" s="39"/>
      <c r="V1151" s="39"/>
      <c r="W1151" s="39"/>
      <c r="X1151" s="49" t="s">
        <v>295</v>
      </c>
      <c r="Y1151" s="50">
        <v>1920</v>
      </c>
      <c r="Z1151" s="51">
        <v>1800</v>
      </c>
      <c r="AA1151" s="52">
        <f t="shared" si="27"/>
        <v>0.9375</v>
      </c>
      <c r="AB1151" s="12">
        <v>1800</v>
      </c>
      <c r="AC1151" s="12">
        <v>0</v>
      </c>
      <c r="AD1151" s="43"/>
      <c r="AE1151" s="43"/>
      <c r="AF1151" s="43"/>
      <c r="AG1151" s="43"/>
      <c r="AH1151" s="43"/>
      <c r="AI1151" s="43"/>
      <c r="AJ1151" s="43"/>
      <c r="AK1151" s="43"/>
      <c r="AL1151" s="43"/>
      <c r="AM1151" s="43"/>
      <c r="AN1151" s="43"/>
      <c r="AO1151" s="43"/>
      <c r="AP1151" s="43"/>
      <c r="AQ1151" s="43"/>
      <c r="AR1151" s="43"/>
      <c r="AS1151" s="43"/>
      <c r="AT1151" s="43"/>
      <c r="AU1151" s="43"/>
      <c r="AV1151" s="43"/>
    </row>
    <row r="1152" ht="15.75" spans="1:48">
      <c r="A1152" s="12">
        <v>1148</v>
      </c>
      <c r="B1152" s="44">
        <v>4360</v>
      </c>
      <c r="C1152" s="45" t="s">
        <v>97</v>
      </c>
      <c r="D1152" s="46"/>
      <c r="E1152" s="47" t="s">
        <v>50</v>
      </c>
      <c r="F1152" s="48">
        <v>1</v>
      </c>
      <c r="G1152" s="38">
        <v>0</v>
      </c>
      <c r="H1152" s="39"/>
      <c r="I1152" s="39"/>
      <c r="J1152" s="39"/>
      <c r="K1152" s="39"/>
      <c r="L1152" s="39"/>
      <c r="M1152" s="39"/>
      <c r="N1152" s="39"/>
      <c r="O1152" s="39"/>
      <c r="P1152" s="39"/>
      <c r="Q1152" s="39"/>
      <c r="R1152" s="39"/>
      <c r="S1152" s="39"/>
      <c r="T1152" s="39"/>
      <c r="U1152" s="39"/>
      <c r="V1152" s="39"/>
      <c r="W1152" s="39"/>
      <c r="X1152" s="49" t="s">
        <v>103</v>
      </c>
      <c r="Y1152" s="50">
        <v>840</v>
      </c>
      <c r="Z1152" s="51">
        <v>840</v>
      </c>
      <c r="AA1152" s="52">
        <f t="shared" si="27"/>
        <v>1</v>
      </c>
      <c r="AB1152" s="12">
        <v>840</v>
      </c>
      <c r="AC1152" s="12">
        <v>0</v>
      </c>
      <c r="AD1152" s="43"/>
      <c r="AE1152" s="43"/>
      <c r="AF1152" s="43"/>
      <c r="AG1152" s="43"/>
      <c r="AH1152" s="43"/>
      <c r="AI1152" s="43"/>
      <c r="AJ1152" s="43"/>
      <c r="AK1152" s="43"/>
      <c r="AL1152" s="43"/>
      <c r="AM1152" s="43"/>
      <c r="AN1152" s="43"/>
      <c r="AO1152" s="43"/>
      <c r="AP1152" s="43"/>
      <c r="AQ1152" s="43"/>
      <c r="AR1152" s="43"/>
      <c r="AS1152" s="43"/>
      <c r="AT1152" s="43"/>
      <c r="AU1152" s="43"/>
      <c r="AV1152" s="43"/>
    </row>
    <row r="1153" ht="15.75" spans="1:48">
      <c r="A1153" s="12">
        <v>1149</v>
      </c>
      <c r="B1153" s="44" t="s">
        <v>185</v>
      </c>
      <c r="C1153" s="45" t="s">
        <v>179</v>
      </c>
      <c r="D1153" s="46"/>
      <c r="E1153" s="47" t="s">
        <v>50</v>
      </c>
      <c r="F1153" s="48">
        <v>1.5</v>
      </c>
      <c r="G1153" s="38">
        <v>0</v>
      </c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  <c r="S1153" s="39"/>
      <c r="T1153" s="39"/>
      <c r="U1153" s="39"/>
      <c r="V1153" s="39"/>
      <c r="W1153" s="39"/>
      <c r="X1153" s="49" t="s">
        <v>103</v>
      </c>
      <c r="Y1153" s="50">
        <v>1260</v>
      </c>
      <c r="Z1153" s="51">
        <v>1200</v>
      </c>
      <c r="AA1153" s="52">
        <f t="shared" si="27"/>
        <v>0.952380952380952</v>
      </c>
      <c r="AB1153" s="12">
        <v>1200</v>
      </c>
      <c r="AC1153" s="12">
        <v>0</v>
      </c>
      <c r="AD1153" s="43"/>
      <c r="AE1153" s="43"/>
      <c r="AF1153" s="43"/>
      <c r="AG1153" s="43"/>
      <c r="AH1153" s="43"/>
      <c r="AI1153" s="43"/>
      <c r="AJ1153" s="43"/>
      <c r="AK1153" s="43"/>
      <c r="AL1153" s="43"/>
      <c r="AM1153" s="43"/>
      <c r="AN1153" s="43"/>
      <c r="AO1153" s="43"/>
      <c r="AP1153" s="43"/>
      <c r="AQ1153" s="43"/>
      <c r="AR1153" s="43"/>
      <c r="AS1153" s="43"/>
      <c r="AT1153" s="43"/>
      <c r="AU1153" s="43"/>
      <c r="AV1153" s="43"/>
    </row>
    <row r="1154" ht="15.75" spans="1:48">
      <c r="A1154" s="12">
        <v>1150</v>
      </c>
      <c r="B1154" s="44">
        <v>4412</v>
      </c>
      <c r="C1154" s="45" t="s">
        <v>177</v>
      </c>
      <c r="D1154" s="46"/>
      <c r="E1154" s="47" t="s">
        <v>50</v>
      </c>
      <c r="F1154" s="48">
        <v>0.83</v>
      </c>
      <c r="G1154" s="38">
        <v>0</v>
      </c>
      <c r="H1154" s="39"/>
      <c r="I1154" s="39"/>
      <c r="J1154" s="39"/>
      <c r="K1154" s="39"/>
      <c r="L1154" s="39"/>
      <c r="M1154" s="39"/>
      <c r="N1154" s="39"/>
      <c r="O1154" s="39"/>
      <c r="P1154" s="39"/>
      <c r="Q1154" s="39"/>
      <c r="R1154" s="39"/>
      <c r="S1154" s="39"/>
      <c r="T1154" s="39"/>
      <c r="U1154" s="39"/>
      <c r="V1154" s="39"/>
      <c r="W1154" s="39"/>
      <c r="X1154" s="49" t="s">
        <v>103</v>
      </c>
      <c r="Y1154" s="50">
        <v>697.2</v>
      </c>
      <c r="Z1154" s="51">
        <v>762</v>
      </c>
      <c r="AA1154" s="52">
        <f t="shared" si="27"/>
        <v>1.09294320137694</v>
      </c>
      <c r="AB1154" s="12">
        <v>762</v>
      </c>
      <c r="AC1154" s="12">
        <v>0</v>
      </c>
      <c r="AD1154" s="43"/>
      <c r="AE1154" s="43"/>
      <c r="AF1154" s="43"/>
      <c r="AG1154" s="43"/>
      <c r="AH1154" s="43"/>
      <c r="AI1154" s="43"/>
      <c r="AJ1154" s="43"/>
      <c r="AK1154" s="43"/>
      <c r="AL1154" s="43"/>
      <c r="AM1154" s="43"/>
      <c r="AN1154" s="43"/>
      <c r="AO1154" s="43"/>
      <c r="AP1154" s="43"/>
      <c r="AQ1154" s="43"/>
      <c r="AR1154" s="43"/>
      <c r="AS1154" s="43"/>
      <c r="AT1154" s="43"/>
      <c r="AU1154" s="43"/>
      <c r="AV1154" s="43"/>
    </row>
    <row r="1155" ht="15.75" spans="1:48">
      <c r="A1155" s="12">
        <v>1151</v>
      </c>
      <c r="B1155" s="44">
        <v>4412</v>
      </c>
      <c r="C1155" s="45" t="s">
        <v>177</v>
      </c>
      <c r="D1155" s="46"/>
      <c r="E1155" s="47" t="s">
        <v>50</v>
      </c>
      <c r="F1155" s="48">
        <v>2.67</v>
      </c>
      <c r="G1155" s="38">
        <v>0</v>
      </c>
      <c r="H1155" s="39"/>
      <c r="I1155" s="39"/>
      <c r="J1155" s="39"/>
      <c r="K1155" s="39"/>
      <c r="L1155" s="39"/>
      <c r="M1155" s="39"/>
      <c r="N1155" s="39"/>
      <c r="O1155" s="39"/>
      <c r="P1155" s="39"/>
      <c r="Q1155" s="39"/>
      <c r="R1155" s="39"/>
      <c r="S1155" s="39"/>
      <c r="T1155" s="39"/>
      <c r="U1155" s="39"/>
      <c r="V1155" s="39"/>
      <c r="W1155" s="39"/>
      <c r="X1155" s="49" t="s">
        <v>105</v>
      </c>
      <c r="Y1155" s="50">
        <v>1762.2</v>
      </c>
      <c r="Z1155" s="51">
        <v>1750</v>
      </c>
      <c r="AA1155" s="52">
        <f t="shared" si="27"/>
        <v>0.993076835773465</v>
      </c>
      <c r="AB1155" s="12">
        <v>1750</v>
      </c>
      <c r="AC1155" s="12">
        <v>0</v>
      </c>
      <c r="AD1155" s="43"/>
      <c r="AE1155" s="43"/>
      <c r="AF1155" s="43"/>
      <c r="AG1155" s="43"/>
      <c r="AH1155" s="43"/>
      <c r="AI1155" s="43"/>
      <c r="AJ1155" s="43"/>
      <c r="AK1155" s="43"/>
      <c r="AL1155" s="43"/>
      <c r="AM1155" s="43"/>
      <c r="AN1155" s="43"/>
      <c r="AO1155" s="43"/>
      <c r="AP1155" s="43"/>
      <c r="AQ1155" s="43"/>
      <c r="AR1155" s="43"/>
      <c r="AS1155" s="43"/>
      <c r="AT1155" s="43"/>
      <c r="AU1155" s="43"/>
      <c r="AV1155" s="43"/>
    </row>
    <row r="1156" ht="15.75" spans="1:48">
      <c r="A1156" s="12">
        <v>1152</v>
      </c>
      <c r="B1156" s="44" t="s">
        <v>181</v>
      </c>
      <c r="C1156" s="45" t="s">
        <v>182</v>
      </c>
      <c r="D1156" s="46"/>
      <c r="E1156" s="47" t="s">
        <v>50</v>
      </c>
      <c r="F1156" s="48">
        <v>10.83</v>
      </c>
      <c r="G1156" s="38">
        <v>1.17</v>
      </c>
      <c r="H1156" s="39"/>
      <c r="I1156" s="39"/>
      <c r="J1156" s="39"/>
      <c r="K1156" s="39"/>
      <c r="L1156" s="39"/>
      <c r="M1156" s="39"/>
      <c r="N1156" s="39"/>
      <c r="O1156" s="39"/>
      <c r="P1156" s="39"/>
      <c r="Q1156" s="39">
        <v>1.17</v>
      </c>
      <c r="R1156" s="39"/>
      <c r="S1156" s="39"/>
      <c r="T1156" s="39"/>
      <c r="U1156" s="39"/>
      <c r="V1156" s="39"/>
      <c r="W1156" s="39"/>
      <c r="X1156" s="49" t="s">
        <v>103</v>
      </c>
      <c r="Y1156" s="50">
        <v>9097.2</v>
      </c>
      <c r="Z1156" s="51">
        <v>8871</v>
      </c>
      <c r="AA1156" s="52">
        <f t="shared" si="27"/>
        <v>0.975135206437145</v>
      </c>
      <c r="AB1156" s="12">
        <v>8871</v>
      </c>
      <c r="AC1156" s="12">
        <v>0</v>
      </c>
      <c r="AD1156" s="43"/>
      <c r="AE1156" s="43"/>
      <c r="AF1156" s="43"/>
      <c r="AG1156" s="43"/>
      <c r="AH1156" s="43"/>
      <c r="AI1156" s="43"/>
      <c r="AJ1156" s="43"/>
      <c r="AK1156" s="43"/>
      <c r="AL1156" s="43"/>
      <c r="AM1156" s="43"/>
      <c r="AN1156" s="43"/>
      <c r="AO1156" s="43"/>
      <c r="AP1156" s="43"/>
      <c r="AQ1156" s="43"/>
      <c r="AR1156" s="43"/>
      <c r="AS1156" s="43"/>
      <c r="AT1156" s="43"/>
      <c r="AU1156" s="43"/>
      <c r="AV1156" s="43"/>
    </row>
    <row r="1157" ht="15.75" spans="1:48">
      <c r="A1157" s="12">
        <v>1153</v>
      </c>
      <c r="B1157" s="44">
        <v>850</v>
      </c>
      <c r="C1157" s="45" t="s">
        <v>109</v>
      </c>
      <c r="D1157" s="46"/>
      <c r="E1157" s="47" t="s">
        <v>50</v>
      </c>
      <c r="F1157" s="48">
        <v>3.83</v>
      </c>
      <c r="G1157" s="38">
        <v>0.17</v>
      </c>
      <c r="H1157" s="39"/>
      <c r="I1157" s="39"/>
      <c r="J1157" s="39"/>
      <c r="K1157" s="39"/>
      <c r="L1157" s="39"/>
      <c r="M1157" s="39"/>
      <c r="N1157" s="39"/>
      <c r="O1157" s="39"/>
      <c r="P1157" s="39"/>
      <c r="Q1157" s="39">
        <v>0.17</v>
      </c>
      <c r="R1157" s="39"/>
      <c r="S1157" s="39"/>
      <c r="T1157" s="39"/>
      <c r="U1157" s="39"/>
      <c r="V1157" s="39"/>
      <c r="W1157" s="39"/>
      <c r="X1157" s="49" t="s">
        <v>103</v>
      </c>
      <c r="Y1157" s="50">
        <v>2895.48</v>
      </c>
      <c r="Z1157" s="51">
        <v>1800</v>
      </c>
      <c r="AA1157" s="52">
        <f t="shared" si="27"/>
        <v>0.62165858510506</v>
      </c>
      <c r="AB1157" s="12">
        <v>1800</v>
      </c>
      <c r="AC1157" s="12">
        <v>0</v>
      </c>
      <c r="AD1157" s="43"/>
      <c r="AE1157" s="43"/>
      <c r="AF1157" s="43"/>
      <c r="AG1157" s="43"/>
      <c r="AH1157" s="43"/>
      <c r="AI1157" s="43"/>
      <c r="AJ1157" s="43"/>
      <c r="AK1157" s="43"/>
      <c r="AL1157" s="43"/>
      <c r="AM1157" s="43"/>
      <c r="AN1157" s="43"/>
      <c r="AO1157" s="43"/>
      <c r="AP1157" s="43"/>
      <c r="AQ1157" s="43"/>
      <c r="AR1157" s="43"/>
      <c r="AS1157" s="43"/>
      <c r="AT1157" s="43"/>
      <c r="AU1157" s="43"/>
      <c r="AV1157" s="43"/>
    </row>
    <row r="1158" ht="15.75" spans="1:48">
      <c r="A1158" s="12">
        <v>1154</v>
      </c>
      <c r="B1158" s="44">
        <v>2516</v>
      </c>
      <c r="C1158" s="45" t="s">
        <v>189</v>
      </c>
      <c r="D1158" s="46" t="s">
        <v>49</v>
      </c>
      <c r="E1158" s="47" t="s">
        <v>50</v>
      </c>
      <c r="F1158" s="48">
        <v>10.17</v>
      </c>
      <c r="G1158" s="38">
        <v>1.84</v>
      </c>
      <c r="H1158" s="39"/>
      <c r="I1158" s="39"/>
      <c r="J1158" s="39"/>
      <c r="K1158" s="39">
        <v>0.17</v>
      </c>
      <c r="L1158" s="39"/>
      <c r="M1158" s="39"/>
      <c r="N1158" s="39"/>
      <c r="O1158" s="39"/>
      <c r="P1158" s="39"/>
      <c r="Q1158" s="39">
        <v>1.17</v>
      </c>
      <c r="R1158" s="39"/>
      <c r="S1158" s="39"/>
      <c r="T1158" s="39"/>
      <c r="U1158" s="39">
        <v>0.5</v>
      </c>
      <c r="V1158" s="39"/>
      <c r="W1158" s="39"/>
      <c r="X1158" s="49" t="s">
        <v>278</v>
      </c>
      <c r="Y1158" s="50">
        <v>8136</v>
      </c>
      <c r="Z1158" s="51">
        <v>8200</v>
      </c>
      <c r="AA1158" s="52">
        <f t="shared" si="27"/>
        <v>1.007866273353</v>
      </c>
      <c r="AB1158" s="12">
        <v>8188</v>
      </c>
      <c r="AC1158" s="12">
        <v>12</v>
      </c>
      <c r="AD1158" s="43"/>
      <c r="AE1158" s="43"/>
      <c r="AF1158" s="43"/>
      <c r="AG1158" s="43"/>
      <c r="AH1158" s="43"/>
      <c r="AI1158" s="43"/>
      <c r="AJ1158" s="43"/>
      <c r="AK1158" s="19">
        <v>1</v>
      </c>
      <c r="AL1158" s="43"/>
      <c r="AM1158" s="43"/>
      <c r="AN1158" s="19">
        <v>11</v>
      </c>
      <c r="AO1158" s="43"/>
      <c r="AP1158" s="43"/>
      <c r="AQ1158" s="43"/>
      <c r="AR1158" s="43"/>
      <c r="AS1158" s="43"/>
      <c r="AT1158" s="43"/>
      <c r="AU1158" s="43"/>
      <c r="AV1158" s="43"/>
    </row>
    <row r="1159" ht="15.75" spans="1:48">
      <c r="A1159" s="12">
        <v>1155</v>
      </c>
      <c r="B1159" s="44">
        <v>3187</v>
      </c>
      <c r="C1159" s="45" t="s">
        <v>52</v>
      </c>
      <c r="D1159" s="46" t="s">
        <v>112</v>
      </c>
      <c r="E1159" s="47" t="s">
        <v>50</v>
      </c>
      <c r="F1159" s="48">
        <v>2.17</v>
      </c>
      <c r="G1159" s="38">
        <v>0</v>
      </c>
      <c r="H1159" s="39"/>
      <c r="I1159" s="39"/>
      <c r="J1159" s="39"/>
      <c r="K1159" s="39"/>
      <c r="L1159" s="39"/>
      <c r="M1159" s="39"/>
      <c r="N1159" s="39"/>
      <c r="O1159" s="39"/>
      <c r="P1159" s="39"/>
      <c r="Q1159" s="39"/>
      <c r="R1159" s="39"/>
      <c r="S1159" s="39"/>
      <c r="T1159" s="39"/>
      <c r="U1159" s="39"/>
      <c r="V1159" s="39"/>
      <c r="W1159" s="39"/>
      <c r="X1159" s="49" t="s">
        <v>190</v>
      </c>
      <c r="Y1159" s="50">
        <v>1953</v>
      </c>
      <c r="Z1159" s="51">
        <v>1820</v>
      </c>
      <c r="AA1159" s="52">
        <f t="shared" si="27"/>
        <v>0.931899641577061</v>
      </c>
      <c r="AB1159" s="12">
        <v>1820</v>
      </c>
      <c r="AC1159" s="12">
        <v>0</v>
      </c>
      <c r="AD1159" s="43"/>
      <c r="AE1159" s="43"/>
      <c r="AF1159" s="43"/>
      <c r="AG1159" s="43"/>
      <c r="AH1159" s="43"/>
      <c r="AI1159" s="43"/>
      <c r="AJ1159" s="43"/>
      <c r="AK1159" s="43"/>
      <c r="AL1159" s="43"/>
      <c r="AM1159" s="43"/>
      <c r="AN1159" s="43"/>
      <c r="AO1159" s="43"/>
      <c r="AP1159" s="43"/>
      <c r="AQ1159" s="43"/>
      <c r="AR1159" s="43"/>
      <c r="AS1159" s="43"/>
      <c r="AT1159" s="43"/>
      <c r="AU1159" s="43"/>
      <c r="AV1159" s="43"/>
    </row>
    <row r="1160" ht="15.75" spans="1:48">
      <c r="A1160" s="12">
        <v>1156</v>
      </c>
      <c r="B1160" s="44">
        <v>3187</v>
      </c>
      <c r="C1160" s="45" t="s">
        <v>52</v>
      </c>
      <c r="D1160" s="46" t="s">
        <v>53</v>
      </c>
      <c r="E1160" s="47" t="s">
        <v>50</v>
      </c>
      <c r="F1160" s="48">
        <v>8.5</v>
      </c>
      <c r="G1160" s="38">
        <v>1.34</v>
      </c>
      <c r="H1160" s="39"/>
      <c r="I1160" s="39"/>
      <c r="J1160" s="39"/>
      <c r="K1160" s="39"/>
      <c r="L1160" s="39"/>
      <c r="M1160" s="39"/>
      <c r="N1160" s="39"/>
      <c r="O1160" s="39"/>
      <c r="P1160" s="39"/>
      <c r="Q1160" s="39">
        <v>1.17</v>
      </c>
      <c r="R1160" s="39"/>
      <c r="S1160" s="39"/>
      <c r="T1160" s="39"/>
      <c r="U1160" s="39">
        <v>0.17</v>
      </c>
      <c r="V1160" s="39"/>
      <c r="W1160" s="39"/>
      <c r="X1160" s="49" t="s">
        <v>55</v>
      </c>
      <c r="Y1160" s="50">
        <v>20527.5</v>
      </c>
      <c r="Z1160" s="51">
        <v>20970</v>
      </c>
      <c r="AA1160" s="52">
        <f t="shared" si="27"/>
        <v>1.02155644866642</v>
      </c>
      <c r="AB1160" s="12">
        <v>20970</v>
      </c>
      <c r="AC1160" s="12">
        <v>0</v>
      </c>
      <c r="AD1160" s="43"/>
      <c r="AE1160" s="43"/>
      <c r="AF1160" s="43"/>
      <c r="AG1160" s="43"/>
      <c r="AH1160" s="43"/>
      <c r="AI1160" s="43"/>
      <c r="AJ1160" s="43"/>
      <c r="AK1160" s="43"/>
      <c r="AL1160" s="43"/>
      <c r="AM1160" s="43"/>
      <c r="AN1160" s="43"/>
      <c r="AO1160" s="43"/>
      <c r="AP1160" s="43"/>
      <c r="AQ1160" s="43"/>
      <c r="AR1160" s="43"/>
      <c r="AS1160" s="43"/>
      <c r="AT1160" s="43"/>
      <c r="AU1160" s="43"/>
      <c r="AV1160" s="43"/>
    </row>
    <row r="1161" ht="15.75" spans="1:48">
      <c r="A1161" s="12">
        <v>1157</v>
      </c>
      <c r="B1161" s="44">
        <v>2284</v>
      </c>
      <c r="C1161" s="45" t="s">
        <v>59</v>
      </c>
      <c r="D1161" s="46"/>
      <c r="E1161" s="47" t="s">
        <v>50</v>
      </c>
      <c r="F1161" s="48">
        <v>10.83</v>
      </c>
      <c r="G1161" s="38">
        <v>1.17</v>
      </c>
      <c r="H1161" s="39"/>
      <c r="I1161" s="39"/>
      <c r="J1161" s="39"/>
      <c r="K1161" s="39"/>
      <c r="L1161" s="39"/>
      <c r="M1161" s="39"/>
      <c r="N1161" s="39"/>
      <c r="O1161" s="39"/>
      <c r="P1161" s="39"/>
      <c r="Q1161" s="39">
        <v>1.17</v>
      </c>
      <c r="R1161" s="39"/>
      <c r="S1161" s="39"/>
      <c r="T1161" s="39"/>
      <c r="U1161" s="39"/>
      <c r="V1161" s="39"/>
      <c r="W1161" s="39"/>
      <c r="X1161" s="49" t="s">
        <v>140</v>
      </c>
      <c r="Y1161" s="50">
        <v>0</v>
      </c>
      <c r="Z1161" s="51"/>
      <c r="AA1161" s="52">
        <f t="shared" si="27"/>
        <v>0</v>
      </c>
      <c r="AB1161" s="12">
        <v>0</v>
      </c>
      <c r="AC1161" s="12">
        <v>0</v>
      </c>
      <c r="AD1161" s="43"/>
      <c r="AE1161" s="43"/>
      <c r="AF1161" s="43"/>
      <c r="AG1161" s="43"/>
      <c r="AH1161" s="43"/>
      <c r="AI1161" s="43"/>
      <c r="AJ1161" s="43"/>
      <c r="AK1161" s="43"/>
      <c r="AL1161" s="43"/>
      <c r="AM1161" s="43"/>
      <c r="AN1161" s="43"/>
      <c r="AO1161" s="43"/>
      <c r="AP1161" s="43"/>
      <c r="AQ1161" s="43"/>
      <c r="AR1161" s="43"/>
      <c r="AS1161" s="43"/>
      <c r="AT1161" s="43"/>
      <c r="AU1161" s="43"/>
      <c r="AV1161" s="43"/>
    </row>
    <row r="1162" ht="15.75" spans="1:48">
      <c r="A1162" s="12">
        <v>1158</v>
      </c>
      <c r="B1162" s="44">
        <v>832</v>
      </c>
      <c r="C1162" s="45" t="s">
        <v>280</v>
      </c>
      <c r="D1162" s="46">
        <v>1</v>
      </c>
      <c r="E1162" s="47" t="s">
        <v>297</v>
      </c>
      <c r="F1162" s="48">
        <v>6</v>
      </c>
      <c r="G1162" s="38">
        <v>2</v>
      </c>
      <c r="H1162" s="39"/>
      <c r="I1162" s="39"/>
      <c r="J1162" s="39"/>
      <c r="K1162" s="39">
        <v>0.66</v>
      </c>
      <c r="L1162" s="39"/>
      <c r="M1162" s="39"/>
      <c r="N1162" s="39"/>
      <c r="O1162" s="39"/>
      <c r="P1162" s="39"/>
      <c r="Q1162" s="39">
        <v>1.17</v>
      </c>
      <c r="R1162" s="39"/>
      <c r="S1162" s="39"/>
      <c r="T1162" s="39"/>
      <c r="U1162" s="39">
        <v>0.17</v>
      </c>
      <c r="V1162" s="39"/>
      <c r="W1162" s="39"/>
      <c r="X1162" s="49" t="s">
        <v>58</v>
      </c>
      <c r="Y1162" s="50">
        <v>1680</v>
      </c>
      <c r="Z1162" s="51">
        <v>1665</v>
      </c>
      <c r="AA1162" s="52">
        <f t="shared" si="27"/>
        <v>0.991071428571429</v>
      </c>
      <c r="AB1162" s="12">
        <v>1665</v>
      </c>
      <c r="AC1162" s="12">
        <v>0</v>
      </c>
      <c r="AD1162" s="43"/>
      <c r="AE1162" s="43"/>
      <c r="AF1162" s="43"/>
      <c r="AG1162" s="43"/>
      <c r="AH1162" s="43"/>
      <c r="AI1162" s="43"/>
      <c r="AJ1162" s="43"/>
      <c r="AK1162" s="43"/>
      <c r="AL1162" s="43"/>
      <c r="AM1162" s="43"/>
      <c r="AN1162" s="43"/>
      <c r="AO1162" s="43"/>
      <c r="AP1162" s="43"/>
      <c r="AQ1162" s="43"/>
      <c r="AR1162" s="43"/>
      <c r="AS1162" s="43"/>
      <c r="AT1162" s="43"/>
      <c r="AU1162" s="43"/>
      <c r="AV1162" s="43"/>
    </row>
    <row r="1163" ht="15.75" spans="1:48">
      <c r="A1163" s="12">
        <v>1159</v>
      </c>
      <c r="B1163" s="44">
        <v>823</v>
      </c>
      <c r="C1163" s="45" t="s">
        <v>298</v>
      </c>
      <c r="D1163" s="46"/>
      <c r="E1163" s="47" t="s">
        <v>297</v>
      </c>
      <c r="F1163" s="48">
        <v>5.17</v>
      </c>
      <c r="G1163" s="38">
        <v>0.83</v>
      </c>
      <c r="H1163" s="39"/>
      <c r="I1163" s="39"/>
      <c r="J1163" s="39"/>
      <c r="K1163" s="39"/>
      <c r="L1163" s="39"/>
      <c r="M1163" s="39"/>
      <c r="N1163" s="39"/>
      <c r="O1163" s="39"/>
      <c r="P1163" s="39"/>
      <c r="Q1163" s="39">
        <v>0.83</v>
      </c>
      <c r="R1163" s="39"/>
      <c r="S1163" s="39"/>
      <c r="T1163" s="39"/>
      <c r="U1163" s="39"/>
      <c r="V1163" s="39"/>
      <c r="W1163" s="39"/>
      <c r="X1163" s="49" t="s">
        <v>58</v>
      </c>
      <c r="Y1163" s="50">
        <v>904.75</v>
      </c>
      <c r="Z1163" s="51">
        <v>960</v>
      </c>
      <c r="AA1163" s="52">
        <f t="shared" si="27"/>
        <v>1.06106659298149</v>
      </c>
      <c r="AB1163" s="12">
        <v>960</v>
      </c>
      <c r="AC1163" s="12">
        <v>0</v>
      </c>
      <c r="AD1163" s="43"/>
      <c r="AE1163" s="43"/>
      <c r="AF1163" s="43"/>
      <c r="AG1163" s="43"/>
      <c r="AH1163" s="43"/>
      <c r="AI1163" s="43"/>
      <c r="AJ1163" s="43"/>
      <c r="AK1163" s="43"/>
      <c r="AL1163" s="43"/>
      <c r="AM1163" s="43"/>
      <c r="AN1163" s="43"/>
      <c r="AO1163" s="43"/>
      <c r="AP1163" s="43"/>
      <c r="AQ1163" s="43"/>
      <c r="AR1163" s="43"/>
      <c r="AS1163" s="43"/>
      <c r="AT1163" s="43"/>
      <c r="AU1163" s="43"/>
      <c r="AV1163" s="43"/>
    </row>
    <row r="1164" ht="15.75" spans="1:48">
      <c r="A1164" s="12">
        <v>1160</v>
      </c>
      <c r="B1164" s="53">
        <v>3353</v>
      </c>
      <c r="C1164" s="55" t="s">
        <v>48</v>
      </c>
      <c r="D1164" s="56">
        <v>19</v>
      </c>
      <c r="E1164" s="47" t="s">
        <v>50</v>
      </c>
      <c r="F1164" s="48">
        <v>5.17</v>
      </c>
      <c r="G1164" s="38">
        <v>1.34</v>
      </c>
      <c r="H1164" s="39"/>
      <c r="I1164" s="39"/>
      <c r="J1164" s="39"/>
      <c r="K1164" s="39"/>
      <c r="L1164" s="39"/>
      <c r="M1164" s="39"/>
      <c r="N1164" s="39"/>
      <c r="O1164" s="39"/>
      <c r="P1164" s="39"/>
      <c r="Q1164" s="39">
        <v>1.17</v>
      </c>
      <c r="R1164" s="39"/>
      <c r="S1164" s="39"/>
      <c r="T1164" s="39"/>
      <c r="U1164" s="39">
        <v>0.17</v>
      </c>
      <c r="V1164" s="39"/>
      <c r="W1164" s="39"/>
      <c r="X1164" s="49" t="s">
        <v>194</v>
      </c>
      <c r="Y1164" s="50">
        <v>1731.95</v>
      </c>
      <c r="Z1164" s="51">
        <v>1740</v>
      </c>
      <c r="AA1164" s="52">
        <f t="shared" si="27"/>
        <v>1.00464794018303</v>
      </c>
      <c r="AB1164" s="12">
        <v>1740</v>
      </c>
      <c r="AC1164" s="12">
        <v>0</v>
      </c>
      <c r="AD1164" s="43"/>
      <c r="AE1164" s="43"/>
      <c r="AF1164" s="43"/>
      <c r="AG1164" s="43"/>
      <c r="AH1164" s="43"/>
      <c r="AI1164" s="43"/>
      <c r="AJ1164" s="43"/>
      <c r="AK1164" s="43"/>
      <c r="AL1164" s="43"/>
      <c r="AM1164" s="43"/>
      <c r="AN1164" s="43"/>
      <c r="AO1164" s="43"/>
      <c r="AP1164" s="43"/>
      <c r="AQ1164" s="43"/>
      <c r="AR1164" s="43"/>
      <c r="AS1164" s="43"/>
      <c r="AT1164" s="43"/>
      <c r="AU1164" s="43"/>
      <c r="AV1164" s="43"/>
    </row>
    <row r="1165" ht="15.75" spans="1:48">
      <c r="A1165" s="12">
        <v>1161</v>
      </c>
      <c r="B1165" s="44">
        <v>3353</v>
      </c>
      <c r="C1165" s="45" t="s">
        <v>48</v>
      </c>
      <c r="D1165" s="46"/>
      <c r="E1165" s="47" t="s">
        <v>50</v>
      </c>
      <c r="F1165" s="48">
        <v>5.5</v>
      </c>
      <c r="G1165" s="38">
        <v>0</v>
      </c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  <c r="S1165" s="39"/>
      <c r="T1165" s="39"/>
      <c r="U1165" s="39"/>
      <c r="V1165" s="39"/>
      <c r="W1165" s="39"/>
      <c r="X1165" s="49" t="s">
        <v>155</v>
      </c>
      <c r="Y1165" s="50">
        <v>0</v>
      </c>
      <c r="Z1165" s="51"/>
      <c r="AA1165" s="52">
        <f t="shared" si="27"/>
        <v>0</v>
      </c>
      <c r="AB1165" s="12">
        <v>0</v>
      </c>
      <c r="AC1165" s="12">
        <v>0</v>
      </c>
      <c r="AD1165" s="43"/>
      <c r="AE1165" s="43"/>
      <c r="AF1165" s="43"/>
      <c r="AG1165" s="43"/>
      <c r="AH1165" s="43"/>
      <c r="AI1165" s="43"/>
      <c r="AJ1165" s="43"/>
      <c r="AK1165" s="43"/>
      <c r="AL1165" s="43"/>
      <c r="AM1165" s="43"/>
      <c r="AN1165" s="43"/>
      <c r="AO1165" s="43"/>
      <c r="AP1165" s="43"/>
      <c r="AQ1165" s="43"/>
      <c r="AR1165" s="43"/>
      <c r="AS1165" s="43"/>
      <c r="AT1165" s="43"/>
      <c r="AU1165" s="43"/>
      <c r="AV1165" s="43"/>
    </row>
    <row r="1166" ht="15.75" spans="1:48">
      <c r="A1166" s="12">
        <v>1162</v>
      </c>
      <c r="B1166" s="61" t="s">
        <v>299</v>
      </c>
      <c r="C1166" s="62" t="s">
        <v>300</v>
      </c>
      <c r="D1166" s="46">
        <v>12</v>
      </c>
      <c r="E1166" s="47" t="s">
        <v>301</v>
      </c>
      <c r="F1166" s="48">
        <v>1.5</v>
      </c>
      <c r="G1166" s="38">
        <v>6.5</v>
      </c>
      <c r="H1166" s="39"/>
      <c r="I1166" s="39"/>
      <c r="J1166" s="39"/>
      <c r="K1166" s="39"/>
      <c r="L1166" s="39"/>
      <c r="M1166" s="39"/>
      <c r="N1166" s="39"/>
      <c r="O1166" s="39"/>
      <c r="P1166" s="39"/>
      <c r="Q1166" s="39">
        <v>0.83</v>
      </c>
      <c r="R1166" s="39"/>
      <c r="S1166" s="39"/>
      <c r="T1166" s="39"/>
      <c r="U1166" s="39"/>
      <c r="V1166" s="39">
        <v>5.67</v>
      </c>
      <c r="W1166" s="39"/>
      <c r="X1166" s="49" t="s">
        <v>194</v>
      </c>
      <c r="Y1166" s="50">
        <v>502.5</v>
      </c>
      <c r="Z1166" s="51">
        <v>240</v>
      </c>
      <c r="AA1166" s="52">
        <f t="shared" si="27"/>
        <v>0.477611940298507</v>
      </c>
      <c r="AB1166" s="12">
        <v>240</v>
      </c>
      <c r="AC1166" s="12">
        <v>0</v>
      </c>
      <c r="AD1166" s="43"/>
      <c r="AE1166" s="43"/>
      <c r="AF1166" s="43"/>
      <c r="AG1166" s="43"/>
      <c r="AH1166" s="43"/>
      <c r="AI1166" s="43"/>
      <c r="AJ1166" s="43"/>
      <c r="AK1166" s="43"/>
      <c r="AL1166" s="43"/>
      <c r="AM1166" s="43"/>
      <c r="AN1166" s="43"/>
      <c r="AO1166" s="43"/>
      <c r="AP1166" s="43"/>
      <c r="AQ1166" s="43"/>
      <c r="AR1166" s="43"/>
      <c r="AS1166" s="43"/>
      <c r="AT1166" s="43"/>
      <c r="AU1166" s="43"/>
      <c r="AV1166" s="43"/>
    </row>
    <row r="1167" ht="15.75" spans="1:48">
      <c r="A1167" s="12">
        <v>1163</v>
      </c>
      <c r="B1167" s="61" t="s">
        <v>302</v>
      </c>
      <c r="C1167" s="62" t="s">
        <v>303</v>
      </c>
      <c r="D1167" s="46">
        <v>12</v>
      </c>
      <c r="E1167" s="47" t="s">
        <v>301</v>
      </c>
      <c r="F1167" s="48">
        <v>1.5</v>
      </c>
      <c r="G1167" s="38">
        <v>6.5</v>
      </c>
      <c r="H1167" s="39"/>
      <c r="I1167" s="39"/>
      <c r="J1167" s="39"/>
      <c r="K1167" s="39"/>
      <c r="L1167" s="39"/>
      <c r="M1167" s="39"/>
      <c r="N1167" s="39"/>
      <c r="O1167" s="39"/>
      <c r="P1167" s="39"/>
      <c r="Q1167" s="39">
        <v>0.83</v>
      </c>
      <c r="R1167" s="39"/>
      <c r="S1167" s="39"/>
      <c r="T1167" s="39"/>
      <c r="U1167" s="39"/>
      <c r="V1167" s="39">
        <v>5.67</v>
      </c>
      <c r="W1167" s="39"/>
      <c r="X1167" s="49" t="s">
        <v>194</v>
      </c>
      <c r="Y1167" s="50">
        <v>502.5</v>
      </c>
      <c r="Z1167" s="51">
        <v>240</v>
      </c>
      <c r="AA1167" s="52">
        <f t="shared" si="27"/>
        <v>0.477611940298507</v>
      </c>
      <c r="AB1167" s="12">
        <v>240</v>
      </c>
      <c r="AC1167" s="12">
        <v>0</v>
      </c>
      <c r="AD1167" s="43"/>
      <c r="AE1167" s="43"/>
      <c r="AF1167" s="43"/>
      <c r="AG1167" s="43"/>
      <c r="AH1167" s="43"/>
      <c r="AI1167" s="43"/>
      <c r="AJ1167" s="43"/>
      <c r="AK1167" s="43"/>
      <c r="AL1167" s="43"/>
      <c r="AM1167" s="43"/>
      <c r="AN1167" s="43"/>
      <c r="AO1167" s="43"/>
      <c r="AP1167" s="43"/>
      <c r="AQ1167" s="43"/>
      <c r="AR1167" s="43"/>
      <c r="AS1167" s="43"/>
      <c r="AT1167" s="43"/>
      <c r="AU1167" s="43"/>
      <c r="AV1167" s="43"/>
    </row>
    <row r="1168" ht="15.75" spans="1:48">
      <c r="A1168" s="12">
        <v>1164</v>
      </c>
      <c r="B1168" s="44">
        <v>3526</v>
      </c>
      <c r="C1168" s="45" t="s">
        <v>65</v>
      </c>
      <c r="D1168" s="46"/>
      <c r="E1168" s="47" t="s">
        <v>50</v>
      </c>
      <c r="F1168" s="48">
        <v>10.83</v>
      </c>
      <c r="G1168" s="38">
        <v>1.17</v>
      </c>
      <c r="H1168" s="39"/>
      <c r="I1168" s="39"/>
      <c r="J1168" s="39"/>
      <c r="K1168" s="39"/>
      <c r="L1168" s="39"/>
      <c r="M1168" s="39"/>
      <c r="N1168" s="39"/>
      <c r="O1168" s="39"/>
      <c r="P1168" s="39"/>
      <c r="Q1168" s="39">
        <v>1.17</v>
      </c>
      <c r="R1168" s="39"/>
      <c r="S1168" s="39"/>
      <c r="T1168" s="39"/>
      <c r="U1168" s="39"/>
      <c r="V1168" s="39"/>
      <c r="W1168" s="39"/>
      <c r="X1168" s="49" t="s">
        <v>191</v>
      </c>
      <c r="Y1168" s="50">
        <v>3628.05</v>
      </c>
      <c r="Z1168" s="51">
        <v>3400</v>
      </c>
      <c r="AA1168" s="52">
        <f t="shared" si="27"/>
        <v>0.937142542136961</v>
      </c>
      <c r="AB1168" s="12">
        <v>3400</v>
      </c>
      <c r="AC1168" s="12">
        <v>0</v>
      </c>
      <c r="AD1168" s="43"/>
      <c r="AE1168" s="43"/>
      <c r="AF1168" s="43"/>
      <c r="AG1168" s="43"/>
      <c r="AH1168" s="43"/>
      <c r="AI1168" s="43"/>
      <c r="AJ1168" s="43"/>
      <c r="AK1168" s="43"/>
      <c r="AL1168" s="43"/>
      <c r="AM1168" s="43"/>
      <c r="AN1168" s="43"/>
      <c r="AO1168" s="43"/>
      <c r="AP1168" s="43"/>
      <c r="AQ1168" s="43"/>
      <c r="AR1168" s="43"/>
      <c r="AS1168" s="43"/>
      <c r="AT1168" s="43"/>
      <c r="AU1168" s="43"/>
      <c r="AV1168" s="43"/>
    </row>
    <row r="1169" ht="15.75" spans="1:48">
      <c r="A1169" s="12">
        <v>1165</v>
      </c>
      <c r="B1169" s="44">
        <v>3352</v>
      </c>
      <c r="C1169" s="45" t="s">
        <v>66</v>
      </c>
      <c r="D1169" s="46"/>
      <c r="E1169" s="47" t="s">
        <v>50</v>
      </c>
      <c r="F1169" s="48">
        <v>10.83</v>
      </c>
      <c r="G1169" s="38">
        <v>1.17</v>
      </c>
      <c r="H1169" s="39"/>
      <c r="I1169" s="39"/>
      <c r="J1169" s="39"/>
      <c r="K1169" s="39"/>
      <c r="L1169" s="39"/>
      <c r="M1169" s="39"/>
      <c r="N1169" s="39"/>
      <c r="O1169" s="39"/>
      <c r="P1169" s="39"/>
      <c r="Q1169" s="39">
        <v>1.17</v>
      </c>
      <c r="R1169" s="39"/>
      <c r="S1169" s="39"/>
      <c r="T1169" s="39"/>
      <c r="U1169" s="39"/>
      <c r="V1169" s="39"/>
      <c r="W1169" s="39"/>
      <c r="X1169" s="49" t="s">
        <v>67</v>
      </c>
      <c r="Y1169" s="50">
        <v>2707.5</v>
      </c>
      <c r="Z1169" s="51">
        <v>2600</v>
      </c>
      <c r="AA1169" s="52">
        <f t="shared" si="27"/>
        <v>0.960295475530933</v>
      </c>
      <c r="AB1169" s="12">
        <v>2600</v>
      </c>
      <c r="AC1169" s="12">
        <v>0</v>
      </c>
      <c r="AD1169" s="43"/>
      <c r="AE1169" s="43"/>
      <c r="AF1169" s="43"/>
      <c r="AG1169" s="43"/>
      <c r="AH1169" s="43"/>
      <c r="AI1169" s="43"/>
      <c r="AJ1169" s="43"/>
      <c r="AK1169" s="43"/>
      <c r="AL1169" s="43"/>
      <c r="AM1169" s="43"/>
      <c r="AN1169" s="43"/>
      <c r="AO1169" s="43"/>
      <c r="AP1169" s="43"/>
      <c r="AQ1169" s="43"/>
      <c r="AR1169" s="43"/>
      <c r="AS1169" s="43"/>
      <c r="AT1169" s="43"/>
      <c r="AU1169" s="43"/>
      <c r="AV1169" s="43"/>
    </row>
    <row r="1170" ht="15.75" spans="1:48">
      <c r="A1170" s="12">
        <v>1166</v>
      </c>
      <c r="B1170" s="44" t="s">
        <v>290</v>
      </c>
      <c r="C1170" s="45" t="e">
        <v>#N/A</v>
      </c>
      <c r="D1170" s="46">
        <v>11</v>
      </c>
      <c r="E1170" s="47" t="s">
        <v>50</v>
      </c>
      <c r="F1170" s="48">
        <v>10.67</v>
      </c>
      <c r="G1170" s="38">
        <v>1.34</v>
      </c>
      <c r="H1170" s="39"/>
      <c r="I1170" s="39"/>
      <c r="J1170" s="39"/>
      <c r="K1170" s="39"/>
      <c r="L1170" s="39"/>
      <c r="M1170" s="39"/>
      <c r="N1170" s="39"/>
      <c r="O1170" s="39"/>
      <c r="P1170" s="39"/>
      <c r="Q1170" s="39">
        <v>1.17</v>
      </c>
      <c r="R1170" s="39"/>
      <c r="S1170" s="39"/>
      <c r="T1170" s="39"/>
      <c r="U1170" s="39">
        <v>0.17</v>
      </c>
      <c r="V1170" s="39"/>
      <c r="W1170" s="39"/>
      <c r="X1170" s="49" t="s">
        <v>69</v>
      </c>
      <c r="Y1170" s="50">
        <v>5441.7</v>
      </c>
      <c r="Z1170" s="51">
        <v>4995</v>
      </c>
      <c r="AA1170" s="52">
        <f t="shared" si="27"/>
        <v>0.917911682011136</v>
      </c>
      <c r="AB1170" s="12">
        <v>4995</v>
      </c>
      <c r="AC1170" s="12">
        <v>0</v>
      </c>
      <c r="AD1170" s="43"/>
      <c r="AE1170" s="43"/>
      <c r="AF1170" s="43"/>
      <c r="AG1170" s="43"/>
      <c r="AH1170" s="43"/>
      <c r="AI1170" s="43"/>
      <c r="AJ1170" s="43"/>
      <c r="AK1170" s="43"/>
      <c r="AL1170" s="43"/>
      <c r="AM1170" s="43"/>
      <c r="AN1170" s="43"/>
      <c r="AO1170" s="43"/>
      <c r="AP1170" s="43"/>
      <c r="AQ1170" s="43"/>
      <c r="AR1170" s="43"/>
      <c r="AS1170" s="43"/>
      <c r="AT1170" s="43"/>
      <c r="AU1170" s="43"/>
      <c r="AV1170" s="43"/>
    </row>
    <row r="1171" ht="15.75" spans="1:48">
      <c r="A1171" s="12">
        <v>1167</v>
      </c>
      <c r="B1171" s="44" t="s">
        <v>289</v>
      </c>
      <c r="C1171" s="45" t="e">
        <v>#N/A</v>
      </c>
      <c r="D1171" s="46"/>
      <c r="E1171" s="47" t="s">
        <v>50</v>
      </c>
      <c r="F1171" s="48">
        <v>9.67</v>
      </c>
      <c r="G1171" s="38">
        <v>2.34</v>
      </c>
      <c r="H1171" s="39"/>
      <c r="I1171" s="39"/>
      <c r="J1171" s="39"/>
      <c r="K1171" s="39"/>
      <c r="L1171" s="39"/>
      <c r="M1171" s="39"/>
      <c r="N1171" s="39"/>
      <c r="O1171" s="39"/>
      <c r="P1171" s="39"/>
      <c r="Q1171" s="39">
        <v>1.17</v>
      </c>
      <c r="R1171" s="39"/>
      <c r="S1171" s="39">
        <v>1</v>
      </c>
      <c r="T1171" s="39"/>
      <c r="U1171" s="39">
        <v>0.17</v>
      </c>
      <c r="V1171" s="39"/>
      <c r="W1171" s="39"/>
      <c r="X1171" s="49">
        <v>127</v>
      </c>
      <c r="Y1171" s="50">
        <v>4835</v>
      </c>
      <c r="Z1171" s="51">
        <v>4080</v>
      </c>
      <c r="AA1171" s="52">
        <f t="shared" si="27"/>
        <v>0.843846949327818</v>
      </c>
      <c r="AB1171" s="12">
        <v>4080</v>
      </c>
      <c r="AC1171" s="12">
        <v>0</v>
      </c>
      <c r="AD1171" s="43"/>
      <c r="AE1171" s="43"/>
      <c r="AF1171" s="43"/>
      <c r="AG1171" s="43"/>
      <c r="AH1171" s="43"/>
      <c r="AI1171" s="43"/>
      <c r="AJ1171" s="43"/>
      <c r="AK1171" s="43"/>
      <c r="AL1171" s="43"/>
      <c r="AM1171" s="43"/>
      <c r="AN1171" s="43"/>
      <c r="AO1171" s="43"/>
      <c r="AP1171" s="43"/>
      <c r="AQ1171" s="43"/>
      <c r="AR1171" s="43"/>
      <c r="AS1171" s="43"/>
      <c r="AT1171" s="43"/>
      <c r="AU1171" s="43"/>
      <c r="AV1171" s="43"/>
    </row>
    <row r="1172" ht="15.75" spans="1:48">
      <c r="A1172" s="12">
        <v>1168</v>
      </c>
      <c r="B1172" s="44">
        <v>4031</v>
      </c>
      <c r="C1172" s="45" t="s">
        <v>64</v>
      </c>
      <c r="D1172" s="46"/>
      <c r="E1172" s="47" t="s">
        <v>50</v>
      </c>
      <c r="F1172" s="48">
        <v>7.67</v>
      </c>
      <c r="G1172" s="38">
        <v>0</v>
      </c>
      <c r="H1172" s="39"/>
      <c r="I1172" s="39"/>
      <c r="J1172" s="39"/>
      <c r="K1172" s="39"/>
      <c r="L1172" s="39"/>
      <c r="M1172" s="39"/>
      <c r="N1172" s="39"/>
      <c r="O1172" s="39"/>
      <c r="P1172" s="39"/>
      <c r="Q1172" s="39"/>
      <c r="R1172" s="39"/>
      <c r="S1172" s="39"/>
      <c r="T1172" s="39"/>
      <c r="U1172" s="39"/>
      <c r="V1172" s="39"/>
      <c r="W1172" s="39"/>
      <c r="X1172" s="49" t="s">
        <v>282</v>
      </c>
      <c r="Y1172" s="50">
        <v>920.4</v>
      </c>
      <c r="Z1172" s="51">
        <v>921</v>
      </c>
      <c r="AA1172" s="52">
        <f t="shared" si="27"/>
        <v>1.0006518904824</v>
      </c>
      <c r="AB1172" s="12">
        <v>921</v>
      </c>
      <c r="AC1172" s="12">
        <v>0</v>
      </c>
      <c r="AD1172" s="43"/>
      <c r="AE1172" s="43"/>
      <c r="AF1172" s="43"/>
      <c r="AG1172" s="43"/>
      <c r="AH1172" s="43"/>
      <c r="AI1172" s="43"/>
      <c r="AJ1172" s="43"/>
      <c r="AK1172" s="43"/>
      <c r="AL1172" s="43"/>
      <c r="AM1172" s="43"/>
      <c r="AN1172" s="43"/>
      <c r="AO1172" s="43"/>
      <c r="AP1172" s="43"/>
      <c r="AQ1172" s="43"/>
      <c r="AR1172" s="43"/>
      <c r="AS1172" s="43"/>
      <c r="AT1172" s="43"/>
      <c r="AU1172" s="43"/>
      <c r="AV1172" s="43"/>
    </row>
    <row r="1173" ht="15.75" spans="1:48">
      <c r="A1173" s="12">
        <v>1169</v>
      </c>
      <c r="B1173" s="44">
        <v>4031</v>
      </c>
      <c r="C1173" s="45" t="s">
        <v>64</v>
      </c>
      <c r="D1173" s="46"/>
      <c r="E1173" s="47" t="s">
        <v>50</v>
      </c>
      <c r="F1173" s="48">
        <v>3.17</v>
      </c>
      <c r="G1173" s="38">
        <v>1.17</v>
      </c>
      <c r="H1173" s="39"/>
      <c r="I1173" s="39"/>
      <c r="J1173" s="39"/>
      <c r="K1173" s="39"/>
      <c r="L1173" s="39"/>
      <c r="M1173" s="39"/>
      <c r="N1173" s="39"/>
      <c r="O1173" s="39"/>
      <c r="P1173" s="39"/>
      <c r="Q1173" s="39">
        <v>1.17</v>
      </c>
      <c r="R1173" s="39"/>
      <c r="S1173" s="39"/>
      <c r="T1173" s="39"/>
      <c r="U1173" s="39"/>
      <c r="V1173" s="39"/>
      <c r="W1173" s="39"/>
      <c r="X1173" s="49">
        <v>2168</v>
      </c>
      <c r="Y1173" s="50">
        <v>1902</v>
      </c>
      <c r="Z1173" s="51">
        <v>1900</v>
      </c>
      <c r="AA1173" s="52">
        <f t="shared" si="27"/>
        <v>0.998948475289169</v>
      </c>
      <c r="AB1173" s="12">
        <v>1900</v>
      </c>
      <c r="AC1173" s="12">
        <v>0</v>
      </c>
      <c r="AD1173" s="43"/>
      <c r="AE1173" s="43"/>
      <c r="AF1173" s="43"/>
      <c r="AG1173" s="43"/>
      <c r="AH1173" s="43"/>
      <c r="AI1173" s="43"/>
      <c r="AJ1173" s="43"/>
      <c r="AK1173" s="43"/>
      <c r="AL1173" s="43"/>
      <c r="AM1173" s="43"/>
      <c r="AN1173" s="43"/>
      <c r="AO1173" s="43"/>
      <c r="AP1173" s="43"/>
      <c r="AQ1173" s="43"/>
      <c r="AR1173" s="43"/>
      <c r="AS1173" s="43"/>
      <c r="AT1173" s="43"/>
      <c r="AU1173" s="43"/>
      <c r="AV1173" s="43"/>
    </row>
    <row r="1174" ht="15.75" spans="1:48">
      <c r="A1174" s="12">
        <v>1170</v>
      </c>
      <c r="B1174" s="44">
        <v>3959</v>
      </c>
      <c r="C1174" s="45" t="s">
        <v>123</v>
      </c>
      <c r="D1174" s="46"/>
      <c r="E1174" s="47" t="s">
        <v>113</v>
      </c>
      <c r="F1174" s="48">
        <v>10.66</v>
      </c>
      <c r="G1174" s="38">
        <v>1.33</v>
      </c>
      <c r="H1174" s="39"/>
      <c r="I1174" s="39"/>
      <c r="J1174" s="39"/>
      <c r="K1174" s="39"/>
      <c r="L1174" s="39"/>
      <c r="M1174" s="39"/>
      <c r="N1174" s="39"/>
      <c r="O1174" s="39"/>
      <c r="P1174" s="39"/>
      <c r="Q1174" s="39">
        <v>1.33</v>
      </c>
      <c r="R1174" s="39"/>
      <c r="S1174" s="39"/>
      <c r="T1174" s="39"/>
      <c r="U1174" s="39"/>
      <c r="V1174" s="39"/>
      <c r="W1174" s="39"/>
      <c r="X1174" s="49">
        <v>9276</v>
      </c>
      <c r="Y1174" s="50">
        <v>5330</v>
      </c>
      <c r="Z1174" s="51">
        <v>5330</v>
      </c>
      <c r="AA1174" s="52">
        <f t="shared" si="27"/>
        <v>1</v>
      </c>
      <c r="AB1174" s="12">
        <v>5330</v>
      </c>
      <c r="AC1174" s="12">
        <v>0</v>
      </c>
      <c r="AD1174" s="43"/>
      <c r="AE1174" s="43"/>
      <c r="AF1174" s="43"/>
      <c r="AG1174" s="43"/>
      <c r="AH1174" s="43"/>
      <c r="AI1174" s="43"/>
      <c r="AJ1174" s="43"/>
      <c r="AK1174" s="43"/>
      <c r="AL1174" s="43"/>
      <c r="AM1174" s="43"/>
      <c r="AN1174" s="43"/>
      <c r="AO1174" s="43"/>
      <c r="AP1174" s="43"/>
      <c r="AQ1174" s="43"/>
      <c r="AR1174" s="43"/>
      <c r="AS1174" s="43"/>
      <c r="AT1174" s="43"/>
      <c r="AU1174" s="43"/>
      <c r="AV1174" s="43"/>
    </row>
    <row r="1175" ht="15.75" spans="1:48">
      <c r="A1175" s="12">
        <v>1171</v>
      </c>
      <c r="B1175" s="44">
        <v>655</v>
      </c>
      <c r="C1175" s="45" t="s">
        <v>198</v>
      </c>
      <c r="D1175" s="46">
        <v>11</v>
      </c>
      <c r="E1175" s="47" t="s">
        <v>113</v>
      </c>
      <c r="F1175" s="48">
        <v>10.5</v>
      </c>
      <c r="G1175" s="38">
        <v>1.5</v>
      </c>
      <c r="H1175" s="39"/>
      <c r="I1175" s="39"/>
      <c r="J1175" s="39"/>
      <c r="K1175" s="39"/>
      <c r="L1175" s="39"/>
      <c r="M1175" s="39"/>
      <c r="N1175" s="39"/>
      <c r="O1175" s="39"/>
      <c r="P1175" s="39"/>
      <c r="Q1175" s="39">
        <v>1.33</v>
      </c>
      <c r="R1175" s="39"/>
      <c r="S1175" s="39"/>
      <c r="T1175" s="39"/>
      <c r="U1175" s="39">
        <v>0.17</v>
      </c>
      <c r="V1175" s="39"/>
      <c r="W1175" s="39"/>
      <c r="X1175" s="49" t="s">
        <v>239</v>
      </c>
      <c r="Y1175" s="50">
        <v>5355</v>
      </c>
      <c r="Z1175" s="51">
        <v>5265</v>
      </c>
      <c r="AA1175" s="52">
        <f t="shared" si="27"/>
        <v>0.983193277310924</v>
      </c>
      <c r="AB1175" s="12">
        <v>5265</v>
      </c>
      <c r="AC1175" s="12">
        <v>0</v>
      </c>
      <c r="AD1175" s="43"/>
      <c r="AE1175" s="43"/>
      <c r="AF1175" s="43"/>
      <c r="AG1175" s="43"/>
      <c r="AH1175" s="43"/>
      <c r="AI1175" s="43"/>
      <c r="AJ1175" s="43"/>
      <c r="AK1175" s="43"/>
      <c r="AL1175" s="43"/>
      <c r="AM1175" s="43"/>
      <c r="AN1175" s="43"/>
      <c r="AO1175" s="43"/>
      <c r="AP1175" s="43"/>
      <c r="AQ1175" s="43"/>
      <c r="AR1175" s="43"/>
      <c r="AS1175" s="43"/>
      <c r="AT1175" s="43"/>
      <c r="AU1175" s="43"/>
      <c r="AV1175" s="43"/>
    </row>
    <row r="1176" ht="15.75" spans="1:48">
      <c r="A1176" s="12">
        <v>1172</v>
      </c>
      <c r="B1176" s="44" t="s">
        <v>267</v>
      </c>
      <c r="C1176" s="45" t="e">
        <v>#N/A</v>
      </c>
      <c r="D1176" s="46">
        <v>10</v>
      </c>
      <c r="E1176" s="47" t="s">
        <v>113</v>
      </c>
      <c r="F1176" s="48">
        <v>10.5</v>
      </c>
      <c r="G1176" s="38">
        <v>1.5</v>
      </c>
      <c r="H1176" s="39"/>
      <c r="I1176" s="39"/>
      <c r="J1176" s="39"/>
      <c r="K1176" s="39"/>
      <c r="L1176" s="39"/>
      <c r="M1176" s="39"/>
      <c r="N1176" s="39"/>
      <c r="O1176" s="39"/>
      <c r="P1176" s="39"/>
      <c r="Q1176" s="39">
        <v>1.33</v>
      </c>
      <c r="R1176" s="39"/>
      <c r="S1176" s="39"/>
      <c r="T1176" s="39"/>
      <c r="U1176" s="39">
        <v>0.17</v>
      </c>
      <c r="V1176" s="39"/>
      <c r="W1176" s="39"/>
      <c r="X1176" s="49">
        <v>127</v>
      </c>
      <c r="Y1176" s="50">
        <v>5250</v>
      </c>
      <c r="Z1176" s="51">
        <v>5265</v>
      </c>
      <c r="AA1176" s="52">
        <f t="shared" si="27"/>
        <v>1.00285714285714</v>
      </c>
      <c r="AB1176" s="12">
        <v>5265</v>
      </c>
      <c r="AC1176" s="12">
        <v>0</v>
      </c>
      <c r="AD1176" s="43"/>
      <c r="AE1176" s="43"/>
      <c r="AF1176" s="43"/>
      <c r="AG1176" s="43"/>
      <c r="AH1176" s="43"/>
      <c r="AI1176" s="43"/>
      <c r="AJ1176" s="43"/>
      <c r="AK1176" s="43"/>
      <c r="AL1176" s="43"/>
      <c r="AM1176" s="43"/>
      <c r="AN1176" s="43"/>
      <c r="AO1176" s="43"/>
      <c r="AP1176" s="43"/>
      <c r="AQ1176" s="43"/>
      <c r="AR1176" s="43"/>
      <c r="AS1176" s="43"/>
      <c r="AT1176" s="43"/>
      <c r="AU1176" s="43"/>
      <c r="AV1176" s="43"/>
    </row>
    <row r="1177" ht="15.75" spans="1:48">
      <c r="A1177" s="12">
        <v>1173</v>
      </c>
      <c r="B1177" s="44">
        <v>4504</v>
      </c>
      <c r="C1177" s="45" t="s">
        <v>304</v>
      </c>
      <c r="D1177" s="46">
        <v>1</v>
      </c>
      <c r="E1177" s="47" t="s">
        <v>113</v>
      </c>
      <c r="F1177" s="48">
        <v>10.33</v>
      </c>
      <c r="G1177" s="38">
        <v>1.67</v>
      </c>
      <c r="H1177" s="39"/>
      <c r="I1177" s="39"/>
      <c r="J1177" s="39"/>
      <c r="K1177" s="39">
        <v>0.17</v>
      </c>
      <c r="L1177" s="39"/>
      <c r="M1177" s="39"/>
      <c r="N1177" s="39"/>
      <c r="O1177" s="39"/>
      <c r="P1177" s="39"/>
      <c r="Q1177" s="39">
        <v>1.33</v>
      </c>
      <c r="R1177" s="39"/>
      <c r="S1177" s="39"/>
      <c r="T1177" s="39"/>
      <c r="U1177" s="39">
        <v>0.17</v>
      </c>
      <c r="V1177" s="39"/>
      <c r="W1177" s="39"/>
      <c r="X1177" s="49" t="s">
        <v>199</v>
      </c>
      <c r="Y1177" s="50">
        <v>3615.5</v>
      </c>
      <c r="Z1177" s="51">
        <v>3600</v>
      </c>
      <c r="AA1177" s="52">
        <f t="shared" si="27"/>
        <v>0.995712902779698</v>
      </c>
      <c r="AB1177" s="12">
        <v>3600</v>
      </c>
      <c r="AC1177" s="12">
        <v>0</v>
      </c>
      <c r="AD1177" s="43"/>
      <c r="AE1177" s="43"/>
      <c r="AF1177" s="43"/>
      <c r="AG1177" s="43"/>
      <c r="AH1177" s="43"/>
      <c r="AI1177" s="43"/>
      <c r="AJ1177" s="43"/>
      <c r="AK1177" s="43"/>
      <c r="AL1177" s="43"/>
      <c r="AM1177" s="43"/>
      <c r="AN1177" s="43"/>
      <c r="AO1177" s="43"/>
      <c r="AP1177" s="43"/>
      <c r="AQ1177" s="43"/>
      <c r="AR1177" s="43"/>
      <c r="AS1177" s="43"/>
      <c r="AT1177" s="43"/>
      <c r="AU1177" s="43"/>
      <c r="AV1177" s="43"/>
    </row>
    <row r="1178" ht="15.75" spans="1:48">
      <c r="A1178" s="12">
        <v>1174</v>
      </c>
      <c r="B1178" s="44">
        <v>4456</v>
      </c>
      <c r="C1178" s="45" t="s">
        <v>119</v>
      </c>
      <c r="D1178" s="46"/>
      <c r="E1178" s="47" t="s">
        <v>113</v>
      </c>
      <c r="F1178" s="48">
        <v>10.66</v>
      </c>
      <c r="G1178" s="38">
        <v>1.33</v>
      </c>
      <c r="H1178" s="39"/>
      <c r="I1178" s="39"/>
      <c r="J1178" s="39"/>
      <c r="K1178" s="39"/>
      <c r="L1178" s="39"/>
      <c r="M1178" s="39"/>
      <c r="N1178" s="39"/>
      <c r="O1178" s="39"/>
      <c r="P1178" s="39"/>
      <c r="Q1178" s="39">
        <v>1.33</v>
      </c>
      <c r="R1178" s="39"/>
      <c r="S1178" s="39"/>
      <c r="T1178" s="39"/>
      <c r="U1178" s="39"/>
      <c r="V1178" s="39"/>
      <c r="W1178" s="39"/>
      <c r="X1178" s="49" t="s">
        <v>120</v>
      </c>
      <c r="Y1178" s="50">
        <v>2665</v>
      </c>
      <c r="Z1178" s="51">
        <v>2550</v>
      </c>
      <c r="AA1178" s="52">
        <f t="shared" si="27"/>
        <v>0.956848030018762</v>
      </c>
      <c r="AB1178" s="12">
        <v>2550</v>
      </c>
      <c r="AC1178" s="12">
        <v>0</v>
      </c>
      <c r="AD1178" s="43"/>
      <c r="AE1178" s="43"/>
      <c r="AF1178" s="43"/>
      <c r="AG1178" s="43"/>
      <c r="AH1178" s="43"/>
      <c r="AI1178" s="43"/>
      <c r="AJ1178" s="43"/>
      <c r="AK1178" s="43"/>
      <c r="AL1178" s="43"/>
      <c r="AM1178" s="43"/>
      <c r="AN1178" s="43"/>
      <c r="AO1178" s="43"/>
      <c r="AP1178" s="43"/>
      <c r="AQ1178" s="43"/>
      <c r="AR1178" s="43"/>
      <c r="AS1178" s="43"/>
      <c r="AT1178" s="43"/>
      <c r="AU1178" s="43"/>
      <c r="AV1178" s="43"/>
    </row>
    <row r="1179" ht="15.75" spans="1:48">
      <c r="A1179" s="12">
        <v>1175</v>
      </c>
      <c r="B1179" s="44">
        <v>4325</v>
      </c>
      <c r="C1179" s="45" t="s">
        <v>118</v>
      </c>
      <c r="D1179" s="46">
        <v>12</v>
      </c>
      <c r="E1179" s="47" t="s">
        <v>113</v>
      </c>
      <c r="F1179" s="48">
        <v>5.66</v>
      </c>
      <c r="G1179" s="38">
        <v>0</v>
      </c>
      <c r="H1179" s="39"/>
      <c r="I1179" s="39"/>
      <c r="J1179" s="39"/>
      <c r="K1179" s="39"/>
      <c r="L1179" s="39"/>
      <c r="M1179" s="39"/>
      <c r="N1179" s="39"/>
      <c r="O1179" s="39"/>
      <c r="P1179" s="39"/>
      <c r="Q1179" s="39"/>
      <c r="R1179" s="39"/>
      <c r="S1179" s="39"/>
      <c r="T1179" s="39"/>
      <c r="U1179" s="39"/>
      <c r="V1179" s="39"/>
      <c r="W1179" s="39"/>
      <c r="X1179" s="49" t="s">
        <v>194</v>
      </c>
      <c r="Y1179" s="50">
        <v>1896.1</v>
      </c>
      <c r="Z1179" s="51">
        <v>1920</v>
      </c>
      <c r="AA1179" s="52">
        <f t="shared" si="27"/>
        <v>1.01260482042086</v>
      </c>
      <c r="AB1179" s="12">
        <v>1920</v>
      </c>
      <c r="AC1179" s="12">
        <v>0</v>
      </c>
      <c r="AD1179" s="43"/>
      <c r="AE1179" s="43"/>
      <c r="AF1179" s="43"/>
      <c r="AG1179" s="43"/>
      <c r="AH1179" s="43"/>
      <c r="AI1179" s="43"/>
      <c r="AJ1179" s="43"/>
      <c r="AK1179" s="43"/>
      <c r="AL1179" s="43"/>
      <c r="AM1179" s="43"/>
      <c r="AN1179" s="43"/>
      <c r="AO1179" s="43"/>
      <c r="AP1179" s="43"/>
      <c r="AQ1179" s="43"/>
      <c r="AR1179" s="43"/>
      <c r="AS1179" s="43"/>
      <c r="AT1179" s="43"/>
      <c r="AU1179" s="43"/>
      <c r="AV1179" s="43"/>
    </row>
    <row r="1180" ht="15.75" spans="1:48">
      <c r="A1180" s="12">
        <v>1176</v>
      </c>
      <c r="B1180" s="44">
        <v>656</v>
      </c>
      <c r="C1180" s="45" t="s">
        <v>195</v>
      </c>
      <c r="D1180" s="46"/>
      <c r="E1180" s="47" t="s">
        <v>113</v>
      </c>
      <c r="F1180" s="48">
        <v>6.33</v>
      </c>
      <c r="G1180" s="38">
        <v>0</v>
      </c>
      <c r="H1180" s="39"/>
      <c r="I1180" s="39"/>
      <c r="J1180" s="39"/>
      <c r="K1180" s="39"/>
      <c r="L1180" s="39"/>
      <c r="M1180" s="39"/>
      <c r="N1180" s="39"/>
      <c r="O1180" s="39"/>
      <c r="P1180" s="39"/>
      <c r="Q1180" s="39"/>
      <c r="R1180" s="39"/>
      <c r="S1180" s="39"/>
      <c r="T1180" s="39"/>
      <c r="U1180" s="39"/>
      <c r="V1180" s="39"/>
      <c r="W1180" s="39"/>
      <c r="X1180" s="49">
        <v>9276</v>
      </c>
      <c r="Y1180" s="50">
        <v>3165</v>
      </c>
      <c r="Z1180" s="51">
        <v>3213</v>
      </c>
      <c r="AA1180" s="52">
        <f t="shared" si="27"/>
        <v>1.01516587677725</v>
      </c>
      <c r="AB1180" s="12">
        <v>3213</v>
      </c>
      <c r="AC1180" s="12">
        <v>0</v>
      </c>
      <c r="AD1180" s="43"/>
      <c r="AE1180" s="43"/>
      <c r="AF1180" s="43"/>
      <c r="AG1180" s="43"/>
      <c r="AH1180" s="43"/>
      <c r="AI1180" s="43"/>
      <c r="AJ1180" s="43"/>
      <c r="AK1180" s="43"/>
      <c r="AL1180" s="43"/>
      <c r="AM1180" s="43"/>
      <c r="AN1180" s="43"/>
      <c r="AO1180" s="43"/>
      <c r="AP1180" s="43"/>
      <c r="AQ1180" s="43"/>
      <c r="AR1180" s="43"/>
      <c r="AS1180" s="43"/>
      <c r="AT1180" s="43"/>
      <c r="AU1180" s="43"/>
      <c r="AV1180" s="43"/>
    </row>
    <row r="1181" ht="15.75" spans="1:48">
      <c r="A1181" s="12">
        <v>1177</v>
      </c>
      <c r="B1181" s="44">
        <v>656</v>
      </c>
      <c r="C1181" s="45" t="s">
        <v>195</v>
      </c>
      <c r="D1181" s="46"/>
      <c r="E1181" s="47" t="s">
        <v>113</v>
      </c>
      <c r="F1181" s="48">
        <v>4.33</v>
      </c>
      <c r="G1181" s="38">
        <v>1.33</v>
      </c>
      <c r="H1181" s="39"/>
      <c r="I1181" s="39"/>
      <c r="J1181" s="39"/>
      <c r="K1181" s="39"/>
      <c r="L1181" s="39"/>
      <c r="M1181" s="39"/>
      <c r="N1181" s="39"/>
      <c r="O1181" s="39"/>
      <c r="P1181" s="39"/>
      <c r="Q1181" s="39">
        <v>1.33</v>
      </c>
      <c r="R1181" s="39"/>
      <c r="S1181" s="39"/>
      <c r="T1181" s="39"/>
      <c r="U1181" s="39"/>
      <c r="V1181" s="39"/>
      <c r="W1181" s="39"/>
      <c r="X1181" s="49" t="s">
        <v>71</v>
      </c>
      <c r="Y1181" s="50">
        <v>1450.55</v>
      </c>
      <c r="Z1181" s="51">
        <v>1440</v>
      </c>
      <c r="AA1181" s="52">
        <f t="shared" si="27"/>
        <v>0.992726896694357</v>
      </c>
      <c r="AB1181" s="12">
        <v>1440</v>
      </c>
      <c r="AC1181" s="12">
        <v>0</v>
      </c>
      <c r="AD1181" s="43"/>
      <c r="AE1181" s="43"/>
      <c r="AF1181" s="43"/>
      <c r="AG1181" s="43"/>
      <c r="AH1181" s="43"/>
      <c r="AI1181" s="43"/>
      <c r="AJ1181" s="43"/>
      <c r="AK1181" s="43"/>
      <c r="AL1181" s="43"/>
      <c r="AM1181" s="43"/>
      <c r="AN1181" s="43"/>
      <c r="AO1181" s="43"/>
      <c r="AP1181" s="43"/>
      <c r="AQ1181" s="43"/>
      <c r="AR1181" s="43"/>
      <c r="AS1181" s="43"/>
      <c r="AT1181" s="43"/>
      <c r="AU1181" s="43"/>
      <c r="AV1181" s="43"/>
    </row>
    <row r="1182" ht="15.75" spans="1:48">
      <c r="A1182" s="12">
        <v>1178</v>
      </c>
      <c r="B1182" s="44">
        <v>4325</v>
      </c>
      <c r="C1182" s="45" t="s">
        <v>118</v>
      </c>
      <c r="D1182" s="46"/>
      <c r="E1182" s="47" t="s">
        <v>113</v>
      </c>
      <c r="F1182" s="48">
        <v>1</v>
      </c>
      <c r="G1182" s="38">
        <v>1.33</v>
      </c>
      <c r="H1182" s="39"/>
      <c r="I1182" s="39"/>
      <c r="J1182" s="39"/>
      <c r="K1182" s="39"/>
      <c r="L1182" s="39"/>
      <c r="M1182" s="39"/>
      <c r="N1182" s="39"/>
      <c r="O1182" s="39"/>
      <c r="P1182" s="39"/>
      <c r="Q1182" s="39">
        <v>1.33</v>
      </c>
      <c r="R1182" s="39"/>
      <c r="S1182" s="39"/>
      <c r="T1182" s="39"/>
      <c r="U1182" s="39"/>
      <c r="V1182" s="39"/>
      <c r="W1182" s="39"/>
      <c r="X1182" s="49" t="s">
        <v>127</v>
      </c>
      <c r="Y1182" s="50">
        <v>1300</v>
      </c>
      <c r="Z1182" s="51">
        <v>1350</v>
      </c>
      <c r="AA1182" s="52">
        <f t="shared" si="27"/>
        <v>1.03846153846154</v>
      </c>
      <c r="AB1182" s="12">
        <v>1350</v>
      </c>
      <c r="AC1182" s="12">
        <v>0</v>
      </c>
      <c r="AD1182" s="43"/>
      <c r="AE1182" s="43"/>
      <c r="AF1182" s="43"/>
      <c r="AG1182" s="43"/>
      <c r="AH1182" s="43"/>
      <c r="AI1182" s="43"/>
      <c r="AJ1182" s="43"/>
      <c r="AK1182" s="43"/>
      <c r="AL1182" s="43"/>
      <c r="AM1182" s="43"/>
      <c r="AN1182" s="43"/>
      <c r="AO1182" s="43"/>
      <c r="AP1182" s="43"/>
      <c r="AQ1182" s="43"/>
      <c r="AR1182" s="43"/>
      <c r="AS1182" s="43"/>
      <c r="AT1182" s="43"/>
      <c r="AU1182" s="43"/>
      <c r="AV1182" s="43"/>
    </row>
    <row r="1183" ht="15.75" spans="1:48">
      <c r="A1183" s="12">
        <v>1179</v>
      </c>
      <c r="B1183" s="44">
        <v>4325</v>
      </c>
      <c r="C1183" s="45" t="s">
        <v>118</v>
      </c>
      <c r="D1183" s="46"/>
      <c r="E1183" s="47" t="s">
        <v>113</v>
      </c>
      <c r="F1183" s="48">
        <v>4</v>
      </c>
      <c r="G1183" s="38">
        <v>0</v>
      </c>
      <c r="H1183" s="39"/>
      <c r="I1183" s="39"/>
      <c r="J1183" s="39"/>
      <c r="K1183" s="39"/>
      <c r="L1183" s="39"/>
      <c r="M1183" s="39"/>
      <c r="N1183" s="39"/>
      <c r="O1183" s="39"/>
      <c r="P1183" s="39"/>
      <c r="Q1183" s="39"/>
      <c r="R1183" s="39"/>
      <c r="S1183" s="39"/>
      <c r="T1183" s="39"/>
      <c r="U1183" s="39"/>
      <c r="V1183" s="39"/>
      <c r="W1183" s="39"/>
      <c r="X1183" s="49" t="s">
        <v>305</v>
      </c>
      <c r="Y1183" s="50">
        <v>5200</v>
      </c>
      <c r="Z1183" s="51">
        <v>4670</v>
      </c>
      <c r="AA1183" s="52">
        <f t="shared" si="27"/>
        <v>0.898076923076923</v>
      </c>
      <c r="AB1183" s="12">
        <v>2850</v>
      </c>
      <c r="AC1183" s="12">
        <v>1820</v>
      </c>
      <c r="AD1183" s="43"/>
      <c r="AE1183" s="43"/>
      <c r="AF1183" s="43"/>
      <c r="AG1183" s="43"/>
      <c r="AH1183" s="43"/>
      <c r="AI1183" s="43"/>
      <c r="AJ1183" s="43"/>
      <c r="AK1183" s="43"/>
      <c r="AL1183" s="43"/>
      <c r="AM1183" s="43"/>
      <c r="AN1183" s="19">
        <v>1820</v>
      </c>
      <c r="AO1183" s="43"/>
      <c r="AP1183" s="43"/>
      <c r="AQ1183" s="43"/>
      <c r="AR1183" s="43"/>
      <c r="AS1183" s="43"/>
      <c r="AT1183" s="43"/>
      <c r="AU1183" s="43"/>
      <c r="AV1183" s="43"/>
    </row>
    <row r="1184" ht="15.75" spans="1:48">
      <c r="A1184" s="12">
        <v>1180</v>
      </c>
      <c r="B1184" s="44">
        <v>2649</v>
      </c>
      <c r="C1184" s="45" t="s">
        <v>121</v>
      </c>
      <c r="D1184" s="46"/>
      <c r="E1184" s="47" t="s">
        <v>113</v>
      </c>
      <c r="F1184" s="48">
        <v>2</v>
      </c>
      <c r="G1184" s="38">
        <v>0</v>
      </c>
      <c r="H1184" s="39"/>
      <c r="I1184" s="39"/>
      <c r="J1184" s="39"/>
      <c r="K1184" s="39"/>
      <c r="L1184" s="39"/>
      <c r="M1184" s="39"/>
      <c r="N1184" s="39"/>
      <c r="O1184" s="39"/>
      <c r="P1184" s="39"/>
      <c r="Q1184" s="39"/>
      <c r="R1184" s="39"/>
      <c r="S1184" s="39"/>
      <c r="T1184" s="39"/>
      <c r="U1184" s="39"/>
      <c r="V1184" s="39"/>
      <c r="W1184" s="39"/>
      <c r="X1184" s="49" t="s">
        <v>260</v>
      </c>
      <c r="Y1184" s="50">
        <v>2600</v>
      </c>
      <c r="Z1184" s="51">
        <v>2700</v>
      </c>
      <c r="AA1184" s="52">
        <f t="shared" si="27"/>
        <v>1.03846153846154</v>
      </c>
      <c r="AB1184" s="12">
        <v>2700</v>
      </c>
      <c r="AC1184" s="12">
        <v>0</v>
      </c>
      <c r="AD1184" s="43"/>
      <c r="AE1184" s="43"/>
      <c r="AF1184" s="43"/>
      <c r="AG1184" s="43"/>
      <c r="AH1184" s="43"/>
      <c r="AI1184" s="43"/>
      <c r="AJ1184" s="43"/>
      <c r="AK1184" s="43"/>
      <c r="AL1184" s="43"/>
      <c r="AM1184" s="43"/>
      <c r="AN1184" s="43"/>
      <c r="AO1184" s="43"/>
      <c r="AP1184" s="43"/>
      <c r="AQ1184" s="43"/>
      <c r="AR1184" s="43"/>
      <c r="AS1184" s="43"/>
      <c r="AT1184" s="43"/>
      <c r="AU1184" s="43"/>
      <c r="AV1184" s="43"/>
    </row>
    <row r="1185" ht="15.75" spans="1:48">
      <c r="A1185" s="12">
        <v>1181</v>
      </c>
      <c r="B1185" s="44">
        <v>2649</v>
      </c>
      <c r="C1185" s="45" t="s">
        <v>121</v>
      </c>
      <c r="D1185" s="46"/>
      <c r="E1185" s="47" t="s">
        <v>113</v>
      </c>
      <c r="F1185" s="48">
        <v>2.66</v>
      </c>
      <c r="G1185" s="38">
        <v>0</v>
      </c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  <c r="S1185" s="39"/>
      <c r="T1185" s="39"/>
      <c r="U1185" s="39"/>
      <c r="V1185" s="39"/>
      <c r="W1185" s="39"/>
      <c r="X1185" s="49" t="s">
        <v>122</v>
      </c>
      <c r="Y1185" s="50">
        <v>0</v>
      </c>
      <c r="Z1185" s="51"/>
      <c r="AA1185" s="52">
        <f t="shared" si="27"/>
        <v>0</v>
      </c>
      <c r="AB1185" s="12">
        <v>0</v>
      </c>
      <c r="AC1185" s="12">
        <v>0</v>
      </c>
      <c r="AD1185" s="43"/>
      <c r="AE1185" s="43"/>
      <c r="AF1185" s="43"/>
      <c r="AG1185" s="43"/>
      <c r="AH1185" s="43"/>
      <c r="AI1185" s="43"/>
      <c r="AJ1185" s="43"/>
      <c r="AK1185" s="43"/>
      <c r="AL1185" s="43"/>
      <c r="AM1185" s="43"/>
      <c r="AN1185" s="43"/>
      <c r="AO1185" s="43"/>
      <c r="AP1185" s="43"/>
      <c r="AQ1185" s="43"/>
      <c r="AR1185" s="43"/>
      <c r="AS1185" s="43"/>
      <c r="AT1185" s="43"/>
      <c r="AU1185" s="43"/>
      <c r="AV1185" s="43"/>
    </row>
    <row r="1186" ht="15.75" spans="1:48">
      <c r="A1186" s="12">
        <v>1182</v>
      </c>
      <c r="B1186" s="44">
        <v>2649</v>
      </c>
      <c r="C1186" s="45" t="s">
        <v>121</v>
      </c>
      <c r="D1186" s="46"/>
      <c r="E1186" s="47" t="s">
        <v>113</v>
      </c>
      <c r="F1186" s="48">
        <v>3</v>
      </c>
      <c r="G1186" s="38">
        <v>0</v>
      </c>
      <c r="H1186" s="39"/>
      <c r="I1186" s="39"/>
      <c r="J1186" s="39"/>
      <c r="K1186" s="39"/>
      <c r="L1186" s="39"/>
      <c r="M1186" s="39"/>
      <c r="N1186" s="39"/>
      <c r="O1186" s="39"/>
      <c r="P1186" s="39"/>
      <c r="Q1186" s="39"/>
      <c r="R1186" s="39"/>
      <c r="S1186" s="39"/>
      <c r="T1186" s="39"/>
      <c r="U1186" s="39"/>
      <c r="V1186" s="39"/>
      <c r="W1186" s="39"/>
      <c r="X1186" s="49" t="s">
        <v>305</v>
      </c>
      <c r="Y1186" s="50">
        <v>3900</v>
      </c>
      <c r="Z1186" s="51">
        <v>3310</v>
      </c>
      <c r="AA1186" s="52">
        <f t="shared" si="27"/>
        <v>0.848717948717949</v>
      </c>
      <c r="AB1186" s="12">
        <v>3111</v>
      </c>
      <c r="AC1186" s="12">
        <v>199</v>
      </c>
      <c r="AD1186" s="43"/>
      <c r="AE1186" s="43"/>
      <c r="AF1186" s="43"/>
      <c r="AG1186" s="43"/>
      <c r="AH1186" s="43"/>
      <c r="AI1186" s="43"/>
      <c r="AJ1186" s="43"/>
      <c r="AK1186" s="43"/>
      <c r="AL1186" s="43"/>
      <c r="AM1186" s="43"/>
      <c r="AN1186" s="19">
        <v>199</v>
      </c>
      <c r="AO1186" s="43"/>
      <c r="AP1186" s="43"/>
      <c r="AQ1186" s="43"/>
      <c r="AR1186" s="43"/>
      <c r="AS1186" s="43"/>
      <c r="AT1186" s="43"/>
      <c r="AU1186" s="43"/>
      <c r="AV1186" s="43"/>
    </row>
    <row r="1187" ht="15.75" spans="1:48">
      <c r="A1187" s="12">
        <v>1183</v>
      </c>
      <c r="B1187" s="44">
        <v>2649</v>
      </c>
      <c r="C1187" s="45" t="s">
        <v>121</v>
      </c>
      <c r="D1187" s="46"/>
      <c r="E1187" s="47" t="s">
        <v>113</v>
      </c>
      <c r="F1187" s="48">
        <v>3</v>
      </c>
      <c r="G1187" s="38">
        <v>0</v>
      </c>
      <c r="H1187" s="39"/>
      <c r="I1187" s="39"/>
      <c r="J1187" s="39"/>
      <c r="K1187" s="39"/>
      <c r="L1187" s="39"/>
      <c r="M1187" s="39"/>
      <c r="N1187" s="39"/>
      <c r="O1187" s="39"/>
      <c r="P1187" s="39"/>
      <c r="Q1187" s="39"/>
      <c r="R1187" s="39"/>
      <c r="S1187" s="39"/>
      <c r="T1187" s="39"/>
      <c r="U1187" s="39"/>
      <c r="V1187" s="39"/>
      <c r="W1187" s="39"/>
      <c r="X1187" s="49" t="s">
        <v>127</v>
      </c>
      <c r="Y1187" s="50">
        <v>3900</v>
      </c>
      <c r="Z1187" s="51">
        <v>4185</v>
      </c>
      <c r="AA1187" s="52">
        <f t="shared" si="27"/>
        <v>1.07307692307692</v>
      </c>
      <c r="AB1187" s="12">
        <v>4185</v>
      </c>
      <c r="AC1187" s="12">
        <v>0</v>
      </c>
      <c r="AD1187" s="43"/>
      <c r="AE1187" s="43"/>
      <c r="AF1187" s="43"/>
      <c r="AG1187" s="43"/>
      <c r="AH1187" s="43"/>
      <c r="AI1187" s="43"/>
      <c r="AJ1187" s="43"/>
      <c r="AK1187" s="43"/>
      <c r="AL1187" s="43"/>
      <c r="AM1187" s="43"/>
      <c r="AN1187" s="43"/>
      <c r="AO1187" s="43"/>
      <c r="AP1187" s="43"/>
      <c r="AQ1187" s="43"/>
      <c r="AR1187" s="43"/>
      <c r="AS1187" s="43"/>
      <c r="AT1187" s="43"/>
      <c r="AU1187" s="43"/>
      <c r="AV1187" s="43"/>
    </row>
    <row r="1188" ht="15.75" spans="1:48">
      <c r="A1188" s="12">
        <v>1184</v>
      </c>
      <c r="B1188" s="44">
        <v>2890</v>
      </c>
      <c r="C1188" s="45" t="s">
        <v>111</v>
      </c>
      <c r="D1188" s="46" t="s">
        <v>116</v>
      </c>
      <c r="E1188" s="47" t="s">
        <v>113</v>
      </c>
      <c r="F1188" s="48">
        <v>10.33</v>
      </c>
      <c r="G1188" s="38">
        <v>1.67</v>
      </c>
      <c r="H1188" s="39"/>
      <c r="I1188" s="39"/>
      <c r="J1188" s="39"/>
      <c r="K1188" s="39">
        <v>0.17</v>
      </c>
      <c r="L1188" s="39"/>
      <c r="M1188" s="39"/>
      <c r="N1188" s="39"/>
      <c r="O1188" s="39"/>
      <c r="P1188" s="39"/>
      <c r="Q1188" s="39">
        <v>1.33</v>
      </c>
      <c r="R1188" s="39"/>
      <c r="S1188" s="39"/>
      <c r="T1188" s="39"/>
      <c r="U1188" s="39">
        <v>0.17</v>
      </c>
      <c r="V1188" s="39"/>
      <c r="W1188" s="39"/>
      <c r="X1188" s="49" t="s">
        <v>284</v>
      </c>
      <c r="Y1188" s="50">
        <v>8264</v>
      </c>
      <c r="Z1188" s="51">
        <v>8300</v>
      </c>
      <c r="AA1188" s="52">
        <f t="shared" si="27"/>
        <v>1.00435624394966</v>
      </c>
      <c r="AB1188" s="12">
        <v>8277</v>
      </c>
      <c r="AC1188" s="12">
        <v>23</v>
      </c>
      <c r="AD1188" s="43"/>
      <c r="AE1188" s="43"/>
      <c r="AF1188" s="43"/>
      <c r="AG1188" s="43"/>
      <c r="AH1188" s="43"/>
      <c r="AI1188" s="43"/>
      <c r="AJ1188" s="43"/>
      <c r="AK1188" s="19">
        <v>15</v>
      </c>
      <c r="AL1188" s="43"/>
      <c r="AM1188" s="43"/>
      <c r="AN1188" s="19">
        <v>8</v>
      </c>
      <c r="AO1188" s="43"/>
      <c r="AP1188" s="43"/>
      <c r="AQ1188" s="43"/>
      <c r="AR1188" s="43"/>
      <c r="AS1188" s="43"/>
      <c r="AT1188" s="43"/>
      <c r="AU1188" s="43"/>
      <c r="AV1188" s="43"/>
    </row>
    <row r="1189" ht="15.75" spans="1:48">
      <c r="A1189" s="12">
        <v>1185</v>
      </c>
      <c r="B1189" s="44">
        <v>3111</v>
      </c>
      <c r="C1189" s="45" t="s">
        <v>124</v>
      </c>
      <c r="D1189" s="46" t="s">
        <v>215</v>
      </c>
      <c r="E1189" s="47" t="s">
        <v>113</v>
      </c>
      <c r="F1189" s="48">
        <v>7.17</v>
      </c>
      <c r="G1189" s="38">
        <v>1.83</v>
      </c>
      <c r="H1189" s="39"/>
      <c r="I1189" s="39"/>
      <c r="J1189" s="39">
        <v>0.33</v>
      </c>
      <c r="K1189" s="39"/>
      <c r="L1189" s="39"/>
      <c r="M1189" s="39"/>
      <c r="N1189" s="39"/>
      <c r="O1189" s="39"/>
      <c r="P1189" s="39"/>
      <c r="Q1189" s="39">
        <v>1.33</v>
      </c>
      <c r="R1189" s="39"/>
      <c r="S1189" s="39"/>
      <c r="T1189" s="39"/>
      <c r="U1189" s="39">
        <v>0.17</v>
      </c>
      <c r="V1189" s="39"/>
      <c r="W1189" s="39"/>
      <c r="X1189" s="49" t="s">
        <v>117</v>
      </c>
      <c r="Y1189" s="50">
        <v>22262.85</v>
      </c>
      <c r="Z1189" s="51">
        <v>22560</v>
      </c>
      <c r="AA1189" s="52">
        <f t="shared" si="27"/>
        <v>1.01334734771155</v>
      </c>
      <c r="AB1189" s="12">
        <v>22560</v>
      </c>
      <c r="AC1189" s="12">
        <v>0</v>
      </c>
      <c r="AD1189" s="43"/>
      <c r="AE1189" s="43"/>
      <c r="AF1189" s="43"/>
      <c r="AG1189" s="43"/>
      <c r="AH1189" s="43"/>
      <c r="AI1189" s="43"/>
      <c r="AJ1189" s="43"/>
      <c r="AK1189" s="43"/>
      <c r="AL1189" s="43"/>
      <c r="AM1189" s="43"/>
      <c r="AN1189" s="43"/>
      <c r="AO1189" s="43"/>
      <c r="AP1189" s="43"/>
      <c r="AQ1189" s="43"/>
      <c r="AR1189" s="43"/>
      <c r="AS1189" s="43"/>
      <c r="AT1189" s="43"/>
      <c r="AU1189" s="43"/>
      <c r="AV1189" s="43"/>
    </row>
    <row r="1190" ht="15.75" spans="1:48">
      <c r="A1190" s="12">
        <v>1186</v>
      </c>
      <c r="B1190" s="44">
        <v>3111</v>
      </c>
      <c r="C1190" s="45" t="s">
        <v>124</v>
      </c>
      <c r="D1190" s="46" t="s">
        <v>217</v>
      </c>
      <c r="E1190" s="47" t="s">
        <v>113</v>
      </c>
      <c r="F1190" s="48">
        <v>2.5</v>
      </c>
      <c r="G1190" s="38">
        <v>0.5</v>
      </c>
      <c r="H1190" s="39"/>
      <c r="I1190" s="39"/>
      <c r="J1190" s="39"/>
      <c r="K1190" s="39"/>
      <c r="L1190" s="39"/>
      <c r="M1190" s="39"/>
      <c r="N1190" s="39"/>
      <c r="O1190" s="39"/>
      <c r="P1190" s="39"/>
      <c r="Q1190" s="39"/>
      <c r="R1190" s="39"/>
      <c r="S1190" s="39"/>
      <c r="T1190" s="39">
        <v>0.5</v>
      </c>
      <c r="U1190" s="39"/>
      <c r="V1190" s="39"/>
      <c r="W1190" s="39"/>
      <c r="X1190" s="49" t="s">
        <v>218</v>
      </c>
      <c r="Y1190" s="50">
        <v>6037.5</v>
      </c>
      <c r="Z1190" s="51">
        <v>6000</v>
      </c>
      <c r="AA1190" s="52">
        <f t="shared" si="27"/>
        <v>0.993788819875776</v>
      </c>
      <c r="AB1190" s="12">
        <v>6000</v>
      </c>
      <c r="AC1190" s="12">
        <v>0</v>
      </c>
      <c r="AD1190" s="43"/>
      <c r="AE1190" s="43"/>
      <c r="AF1190" s="43"/>
      <c r="AG1190" s="43"/>
      <c r="AH1190" s="43"/>
      <c r="AI1190" s="43"/>
      <c r="AJ1190" s="43"/>
      <c r="AK1190" s="43"/>
      <c r="AL1190" s="43"/>
      <c r="AM1190" s="43"/>
      <c r="AN1190" s="43"/>
      <c r="AO1190" s="43"/>
      <c r="AP1190" s="43"/>
      <c r="AQ1190" s="43"/>
      <c r="AR1190" s="43"/>
      <c r="AS1190" s="43"/>
      <c r="AT1190" s="43"/>
      <c r="AU1190" s="43"/>
      <c r="AV1190" s="43"/>
    </row>
    <row r="1191" ht="15.75" spans="1:48">
      <c r="A1191" s="12">
        <v>1187</v>
      </c>
      <c r="B1191" s="44">
        <v>4019</v>
      </c>
      <c r="C1191" s="45" t="s">
        <v>134</v>
      </c>
      <c r="D1191" s="46" t="s">
        <v>166</v>
      </c>
      <c r="E1191" s="47" t="s">
        <v>245</v>
      </c>
      <c r="F1191" s="48">
        <v>10.5</v>
      </c>
      <c r="G1191" s="38">
        <v>1.5</v>
      </c>
      <c r="H1191" s="39"/>
      <c r="I1191" s="39"/>
      <c r="J1191" s="39"/>
      <c r="K1191" s="39"/>
      <c r="L1191" s="39"/>
      <c r="M1191" s="39"/>
      <c r="N1191" s="39"/>
      <c r="O1191" s="39"/>
      <c r="P1191" s="39"/>
      <c r="Q1191" s="39">
        <v>1.33</v>
      </c>
      <c r="R1191" s="39"/>
      <c r="S1191" s="39"/>
      <c r="T1191" s="39"/>
      <c r="U1191" s="39">
        <v>0.17</v>
      </c>
      <c r="V1191" s="39"/>
      <c r="W1191" s="39"/>
      <c r="X1191" s="49" t="s">
        <v>208</v>
      </c>
      <c r="Y1191" s="50">
        <v>16012.5</v>
      </c>
      <c r="Z1191" s="51">
        <v>15800</v>
      </c>
      <c r="AA1191" s="52">
        <f t="shared" si="27"/>
        <v>0.986729117876659</v>
      </c>
      <c r="AB1191" s="12">
        <v>15789</v>
      </c>
      <c r="AC1191" s="12">
        <v>11</v>
      </c>
      <c r="AD1191" s="43"/>
      <c r="AE1191" s="43"/>
      <c r="AF1191" s="43"/>
      <c r="AG1191" s="19">
        <v>11</v>
      </c>
      <c r="AH1191" s="43"/>
      <c r="AI1191" s="43"/>
      <c r="AJ1191" s="43"/>
      <c r="AK1191" s="43"/>
      <c r="AL1191" s="43"/>
      <c r="AM1191" s="43"/>
      <c r="AN1191" s="43"/>
      <c r="AO1191" s="43"/>
      <c r="AP1191" s="43"/>
      <c r="AQ1191" s="43"/>
      <c r="AR1191" s="43"/>
      <c r="AS1191" s="43"/>
      <c r="AT1191" s="43"/>
      <c r="AU1191" s="43"/>
      <c r="AV1191" s="43"/>
    </row>
    <row r="1192" ht="15.75" spans="1:48">
      <c r="A1192" s="12">
        <v>1188</v>
      </c>
      <c r="B1192" s="44">
        <v>3919</v>
      </c>
      <c r="C1192" s="45" t="s">
        <v>137</v>
      </c>
      <c r="D1192" s="46" t="s">
        <v>129</v>
      </c>
      <c r="E1192" s="47" t="s">
        <v>113</v>
      </c>
      <c r="F1192" s="48">
        <v>2.33</v>
      </c>
      <c r="G1192" s="38">
        <v>0</v>
      </c>
      <c r="H1192" s="39"/>
      <c r="I1192" s="39"/>
      <c r="J1192" s="39"/>
      <c r="K1192" s="39"/>
      <c r="L1192" s="39"/>
      <c r="M1192" s="39"/>
      <c r="N1192" s="39"/>
      <c r="O1192" s="39"/>
      <c r="P1192" s="39"/>
      <c r="Q1192" s="39"/>
      <c r="R1192" s="39"/>
      <c r="S1192" s="39"/>
      <c r="T1192" s="39"/>
      <c r="U1192" s="39"/>
      <c r="V1192" s="39"/>
      <c r="W1192" s="39"/>
      <c r="X1192" s="49" t="s">
        <v>274</v>
      </c>
      <c r="Y1192" s="50">
        <v>5592</v>
      </c>
      <c r="Z1192" s="51">
        <v>5304</v>
      </c>
      <c r="AA1192" s="52">
        <f t="shared" si="27"/>
        <v>0.948497854077253</v>
      </c>
      <c r="AB1192" s="12">
        <v>5304</v>
      </c>
      <c r="AC1192" s="12">
        <v>0</v>
      </c>
      <c r="AD1192" s="43"/>
      <c r="AE1192" s="43"/>
      <c r="AF1192" s="43"/>
      <c r="AG1192" s="43"/>
      <c r="AH1192" s="43"/>
      <c r="AI1192" s="43"/>
      <c r="AJ1192" s="43"/>
      <c r="AK1192" s="43"/>
      <c r="AL1192" s="43"/>
      <c r="AM1192" s="43"/>
      <c r="AN1192" s="43"/>
      <c r="AO1192" s="43"/>
      <c r="AP1192" s="43"/>
      <c r="AQ1192" s="43"/>
      <c r="AR1192" s="43"/>
      <c r="AS1192" s="43"/>
      <c r="AT1192" s="43"/>
      <c r="AU1192" s="43"/>
      <c r="AV1192" s="43"/>
    </row>
    <row r="1193" ht="15.75" spans="1:48">
      <c r="A1193" s="12">
        <v>1189</v>
      </c>
      <c r="B1193" s="44">
        <v>3919</v>
      </c>
      <c r="C1193" s="45" t="s">
        <v>137</v>
      </c>
      <c r="D1193" s="46" t="s">
        <v>129</v>
      </c>
      <c r="E1193" s="47" t="s">
        <v>245</v>
      </c>
      <c r="F1193" s="48">
        <v>0.67</v>
      </c>
      <c r="G1193" s="38">
        <v>9</v>
      </c>
      <c r="H1193" s="39"/>
      <c r="I1193" s="39"/>
      <c r="J1193" s="39"/>
      <c r="K1193" s="39"/>
      <c r="L1193" s="39"/>
      <c r="M1193" s="39"/>
      <c r="N1193" s="39"/>
      <c r="O1193" s="39"/>
      <c r="P1193" s="39"/>
      <c r="Q1193" s="39">
        <v>1.33</v>
      </c>
      <c r="R1193" s="39"/>
      <c r="S1193" s="39">
        <v>7.67</v>
      </c>
      <c r="T1193" s="39"/>
      <c r="U1193" s="39"/>
      <c r="V1193" s="39"/>
      <c r="W1193" s="39"/>
      <c r="X1193" s="49" t="s">
        <v>220</v>
      </c>
      <c r="Y1193" s="50">
        <v>1206</v>
      </c>
      <c r="Z1193" s="51">
        <v>1200</v>
      </c>
      <c r="AA1193" s="52">
        <f t="shared" si="27"/>
        <v>0.995024875621891</v>
      </c>
      <c r="AB1193" s="12">
        <v>1200</v>
      </c>
      <c r="AC1193" s="12">
        <v>0</v>
      </c>
      <c r="AD1193" s="43"/>
      <c r="AE1193" s="43"/>
      <c r="AF1193" s="43"/>
      <c r="AG1193" s="43"/>
      <c r="AH1193" s="43"/>
      <c r="AI1193" s="43"/>
      <c r="AJ1193" s="43"/>
      <c r="AK1193" s="43"/>
      <c r="AL1193" s="43"/>
      <c r="AM1193" s="43"/>
      <c r="AN1193" s="43"/>
      <c r="AO1193" s="43"/>
      <c r="AP1193" s="43"/>
      <c r="AQ1193" s="43"/>
      <c r="AR1193" s="43"/>
      <c r="AS1193" s="43"/>
      <c r="AT1193" s="43"/>
      <c r="AU1193" s="43"/>
      <c r="AV1193" s="43"/>
    </row>
    <row r="1194" ht="15.75" spans="1:48">
      <c r="A1194" s="12">
        <v>1190</v>
      </c>
      <c r="B1194" s="44">
        <v>4496</v>
      </c>
      <c r="C1194" s="45" t="s">
        <v>133</v>
      </c>
      <c r="D1194" s="46" t="s">
        <v>76</v>
      </c>
      <c r="E1194" s="47" t="s">
        <v>113</v>
      </c>
      <c r="F1194" s="48">
        <v>10.33</v>
      </c>
      <c r="G1194" s="38">
        <v>1.66</v>
      </c>
      <c r="H1194" s="39"/>
      <c r="I1194" s="39"/>
      <c r="J1194" s="39"/>
      <c r="K1194" s="39"/>
      <c r="L1194" s="39"/>
      <c r="M1194" s="39"/>
      <c r="N1194" s="39"/>
      <c r="O1194" s="39"/>
      <c r="P1194" s="39"/>
      <c r="Q1194" s="39">
        <v>1.33</v>
      </c>
      <c r="R1194" s="39"/>
      <c r="S1194" s="39"/>
      <c r="T1194" s="39"/>
      <c r="U1194" s="39">
        <v>0.33</v>
      </c>
      <c r="V1194" s="39"/>
      <c r="W1194" s="39"/>
      <c r="X1194" s="49" t="s">
        <v>77</v>
      </c>
      <c r="Y1194" s="50">
        <v>61980</v>
      </c>
      <c r="Z1194" s="51">
        <v>57984</v>
      </c>
      <c r="AA1194" s="52">
        <f t="shared" si="27"/>
        <v>0.935527589545014</v>
      </c>
      <c r="AB1194" s="12">
        <v>57944</v>
      </c>
      <c r="AC1194" s="12">
        <v>40</v>
      </c>
      <c r="AD1194" s="43"/>
      <c r="AE1194" s="43"/>
      <c r="AF1194" s="43"/>
      <c r="AG1194" s="19">
        <v>40</v>
      </c>
      <c r="AH1194" s="43"/>
      <c r="AI1194" s="43"/>
      <c r="AJ1194" s="43"/>
      <c r="AK1194" s="43"/>
      <c r="AL1194" s="43"/>
      <c r="AM1194" s="43"/>
      <c r="AN1194" s="43"/>
      <c r="AO1194" s="43"/>
      <c r="AP1194" s="43"/>
      <c r="AQ1194" s="43"/>
      <c r="AR1194" s="43"/>
      <c r="AS1194" s="43"/>
      <c r="AT1194" s="43"/>
      <c r="AU1194" s="43"/>
      <c r="AV1194" s="43"/>
    </row>
    <row r="1195" ht="15.75" spans="1:48">
      <c r="A1195" s="12">
        <v>1191</v>
      </c>
      <c r="B1195" s="44">
        <v>4496</v>
      </c>
      <c r="C1195" s="45" t="s">
        <v>133</v>
      </c>
      <c r="D1195" s="46" t="s">
        <v>207</v>
      </c>
      <c r="E1195" s="47" t="s">
        <v>113</v>
      </c>
      <c r="F1195" s="48">
        <v>10.5</v>
      </c>
      <c r="G1195" s="38">
        <v>1.5</v>
      </c>
      <c r="H1195" s="39"/>
      <c r="I1195" s="39"/>
      <c r="J1195" s="39"/>
      <c r="K1195" s="39"/>
      <c r="L1195" s="39"/>
      <c r="M1195" s="39"/>
      <c r="N1195" s="39"/>
      <c r="O1195" s="39"/>
      <c r="P1195" s="39"/>
      <c r="Q1195" s="39">
        <v>1.33</v>
      </c>
      <c r="R1195" s="39"/>
      <c r="S1195" s="39"/>
      <c r="T1195" s="39"/>
      <c r="U1195" s="39">
        <v>0.17</v>
      </c>
      <c r="V1195" s="39"/>
      <c r="W1195" s="39"/>
      <c r="X1195" s="49" t="s">
        <v>79</v>
      </c>
      <c r="Y1195" s="50">
        <v>69930</v>
      </c>
      <c r="Z1195" s="51">
        <v>61120</v>
      </c>
      <c r="AA1195" s="52">
        <f t="shared" si="27"/>
        <v>0.874016874016874</v>
      </c>
      <c r="AB1195" s="12">
        <v>61096</v>
      </c>
      <c r="AC1195" s="12">
        <v>24</v>
      </c>
      <c r="AD1195" s="43"/>
      <c r="AE1195" s="43"/>
      <c r="AF1195" s="43"/>
      <c r="AG1195" s="19">
        <v>24</v>
      </c>
      <c r="AH1195" s="43"/>
      <c r="AI1195" s="43"/>
      <c r="AJ1195" s="43"/>
      <c r="AK1195" s="43"/>
      <c r="AL1195" s="43"/>
      <c r="AM1195" s="43"/>
      <c r="AN1195" s="43"/>
      <c r="AO1195" s="43"/>
      <c r="AP1195" s="43"/>
      <c r="AQ1195" s="43"/>
      <c r="AR1195" s="43"/>
      <c r="AS1195" s="43"/>
      <c r="AT1195" s="43"/>
      <c r="AU1195" s="43"/>
      <c r="AV1195" s="43"/>
    </row>
    <row r="1196" ht="15.75" spans="1:48">
      <c r="A1196" s="12">
        <v>1192</v>
      </c>
      <c r="B1196" s="44">
        <v>4496</v>
      </c>
      <c r="C1196" s="45" t="s">
        <v>133</v>
      </c>
      <c r="D1196" s="46" t="s">
        <v>78</v>
      </c>
      <c r="E1196" s="47" t="s">
        <v>113</v>
      </c>
      <c r="F1196" s="48">
        <v>10.33</v>
      </c>
      <c r="G1196" s="38">
        <v>1.66</v>
      </c>
      <c r="H1196" s="39"/>
      <c r="I1196" s="39"/>
      <c r="J1196" s="39"/>
      <c r="K1196" s="39"/>
      <c r="L1196" s="39"/>
      <c r="M1196" s="39"/>
      <c r="N1196" s="39"/>
      <c r="O1196" s="39"/>
      <c r="P1196" s="39"/>
      <c r="Q1196" s="39">
        <v>1.33</v>
      </c>
      <c r="R1196" s="39"/>
      <c r="S1196" s="39"/>
      <c r="T1196" s="39"/>
      <c r="U1196" s="39">
        <v>0.33</v>
      </c>
      <c r="V1196" s="39"/>
      <c r="W1196" s="39"/>
      <c r="X1196" s="49" t="s">
        <v>79</v>
      </c>
      <c r="Y1196" s="50">
        <v>68797.8</v>
      </c>
      <c r="Z1196" s="51">
        <v>61280</v>
      </c>
      <c r="AA1196" s="52">
        <f t="shared" si="27"/>
        <v>0.890726156941065</v>
      </c>
      <c r="AB1196" s="12">
        <v>61240</v>
      </c>
      <c r="AC1196" s="12">
        <v>40</v>
      </c>
      <c r="AD1196" s="43"/>
      <c r="AE1196" s="43"/>
      <c r="AF1196" s="43"/>
      <c r="AG1196" s="19">
        <v>40</v>
      </c>
      <c r="AH1196" s="43"/>
      <c r="AI1196" s="43"/>
      <c r="AJ1196" s="43"/>
      <c r="AK1196" s="43"/>
      <c r="AL1196" s="43"/>
      <c r="AM1196" s="43"/>
      <c r="AN1196" s="43"/>
      <c r="AO1196" s="43"/>
      <c r="AP1196" s="43"/>
      <c r="AQ1196" s="43"/>
      <c r="AR1196" s="43"/>
      <c r="AS1196" s="43"/>
      <c r="AT1196" s="43"/>
      <c r="AU1196" s="43"/>
      <c r="AV1196" s="43"/>
    </row>
    <row r="1197" ht="15.75" spans="1:48">
      <c r="A1197" s="12">
        <v>1193</v>
      </c>
      <c r="B1197" s="57">
        <v>4352</v>
      </c>
      <c r="C1197" s="58" t="s">
        <v>132</v>
      </c>
      <c r="D1197" s="59" t="s">
        <v>81</v>
      </c>
      <c r="E1197" s="47" t="s">
        <v>113</v>
      </c>
      <c r="F1197" s="48">
        <v>7.33</v>
      </c>
      <c r="G1197" s="38">
        <v>1.5</v>
      </c>
      <c r="H1197" s="39"/>
      <c r="I1197" s="39"/>
      <c r="J1197" s="39"/>
      <c r="K1197" s="39"/>
      <c r="L1197" s="39"/>
      <c r="M1197" s="39"/>
      <c r="N1197" s="39"/>
      <c r="O1197" s="39"/>
      <c r="P1197" s="39"/>
      <c r="Q1197" s="39">
        <v>1.33</v>
      </c>
      <c r="R1197" s="39"/>
      <c r="S1197" s="39"/>
      <c r="T1197" s="39"/>
      <c r="U1197" s="39">
        <v>0.17</v>
      </c>
      <c r="V1197" s="39"/>
      <c r="W1197" s="39"/>
      <c r="X1197" s="49" t="s">
        <v>210</v>
      </c>
      <c r="Y1197" s="50">
        <v>11911.25</v>
      </c>
      <c r="Z1197" s="51">
        <v>11872</v>
      </c>
      <c r="AA1197" s="52">
        <f t="shared" si="27"/>
        <v>0.996704795886242</v>
      </c>
      <c r="AB1197" s="12">
        <v>11872</v>
      </c>
      <c r="AC1197" s="12">
        <v>0</v>
      </c>
      <c r="AD1197" s="43"/>
      <c r="AE1197" s="43"/>
      <c r="AF1197" s="43"/>
      <c r="AG1197" s="43"/>
      <c r="AH1197" s="43"/>
      <c r="AI1197" s="43"/>
      <c r="AJ1197" s="43"/>
      <c r="AK1197" s="43"/>
      <c r="AL1197" s="43"/>
      <c r="AM1197" s="43"/>
      <c r="AN1197" s="43"/>
      <c r="AO1197" s="43"/>
      <c r="AP1197" s="43"/>
      <c r="AQ1197" s="43"/>
      <c r="AR1197" s="43"/>
      <c r="AS1197" s="43"/>
      <c r="AT1197" s="43"/>
      <c r="AU1197" s="43"/>
      <c r="AV1197" s="43"/>
    </row>
    <row r="1198" ht="15.75" spans="1:48">
      <c r="A1198" s="12">
        <v>1194</v>
      </c>
      <c r="B1198" s="44">
        <v>4352</v>
      </c>
      <c r="C1198" s="45" t="s">
        <v>132</v>
      </c>
      <c r="D1198" s="46" t="s">
        <v>73</v>
      </c>
      <c r="E1198" s="47" t="s">
        <v>113</v>
      </c>
      <c r="F1198" s="48">
        <v>3.17</v>
      </c>
      <c r="G1198" s="38">
        <v>0</v>
      </c>
      <c r="H1198" s="39"/>
      <c r="I1198" s="39"/>
      <c r="J1198" s="39"/>
      <c r="K1198" s="39"/>
      <c r="L1198" s="39"/>
      <c r="M1198" s="39"/>
      <c r="N1198" s="39"/>
      <c r="O1198" s="39"/>
      <c r="P1198" s="39"/>
      <c r="Q1198" s="39"/>
      <c r="R1198" s="39"/>
      <c r="S1198" s="39"/>
      <c r="T1198" s="39"/>
      <c r="U1198" s="39"/>
      <c r="V1198" s="39"/>
      <c r="W1198" s="39"/>
      <c r="X1198" s="49" t="s">
        <v>74</v>
      </c>
      <c r="Y1198" s="50">
        <v>5151.25</v>
      </c>
      <c r="Z1198" s="51">
        <v>5160</v>
      </c>
      <c r="AA1198" s="52">
        <f t="shared" si="27"/>
        <v>1.00169861684057</v>
      </c>
      <c r="AB1198" s="12">
        <v>5150</v>
      </c>
      <c r="AC1198" s="12">
        <v>10</v>
      </c>
      <c r="AD1198" s="43"/>
      <c r="AE1198" s="43"/>
      <c r="AF1198" s="43"/>
      <c r="AG1198" s="19">
        <v>10</v>
      </c>
      <c r="AH1198" s="43"/>
      <c r="AI1198" s="43"/>
      <c r="AJ1198" s="43"/>
      <c r="AK1198" s="43"/>
      <c r="AL1198" s="43"/>
      <c r="AM1198" s="43"/>
      <c r="AN1198" s="43"/>
      <c r="AO1198" s="43"/>
      <c r="AP1198" s="43"/>
      <c r="AQ1198" s="43"/>
      <c r="AR1198" s="43"/>
      <c r="AS1198" s="43"/>
      <c r="AT1198" s="43"/>
      <c r="AU1198" s="43"/>
      <c r="AV1198" s="43"/>
    </row>
    <row r="1199" ht="15.75" spans="1:48">
      <c r="A1199" s="12">
        <v>1195</v>
      </c>
      <c r="B1199" s="44">
        <v>4490</v>
      </c>
      <c r="C1199" s="45" t="s">
        <v>91</v>
      </c>
      <c r="D1199" s="46">
        <v>3</v>
      </c>
      <c r="E1199" s="47" t="s">
        <v>113</v>
      </c>
      <c r="F1199" s="48">
        <v>7.17</v>
      </c>
      <c r="G1199" s="38">
        <v>1.83</v>
      </c>
      <c r="H1199" s="39"/>
      <c r="I1199" s="39"/>
      <c r="J1199" s="39"/>
      <c r="K1199" s="39"/>
      <c r="L1199" s="39"/>
      <c r="M1199" s="39"/>
      <c r="N1199" s="39"/>
      <c r="O1199" s="39"/>
      <c r="P1199" s="39"/>
      <c r="Q1199" s="39">
        <v>1.33</v>
      </c>
      <c r="R1199" s="39"/>
      <c r="S1199" s="39"/>
      <c r="T1199" s="39">
        <v>0.33</v>
      </c>
      <c r="U1199" s="39">
        <v>0.17</v>
      </c>
      <c r="V1199" s="39"/>
      <c r="W1199" s="39"/>
      <c r="X1199" s="49">
        <v>9740</v>
      </c>
      <c r="Y1199" s="50">
        <v>3011.4</v>
      </c>
      <c r="Z1199" s="51">
        <v>2940</v>
      </c>
      <c r="AA1199" s="52">
        <f t="shared" si="27"/>
        <v>0.97629009762901</v>
      </c>
      <c r="AB1199" s="12">
        <v>2873</v>
      </c>
      <c r="AC1199" s="12">
        <v>67</v>
      </c>
      <c r="AD1199" s="19">
        <v>67</v>
      </c>
      <c r="AE1199" s="43"/>
      <c r="AF1199" s="43"/>
      <c r="AG1199" s="43"/>
      <c r="AH1199" s="43"/>
      <c r="AI1199" s="43"/>
      <c r="AJ1199" s="43"/>
      <c r="AK1199" s="43"/>
      <c r="AL1199" s="43"/>
      <c r="AM1199" s="43"/>
      <c r="AN1199" s="43"/>
      <c r="AO1199" s="43"/>
      <c r="AP1199" s="43"/>
      <c r="AQ1199" s="43"/>
      <c r="AR1199" s="43"/>
      <c r="AS1199" s="43"/>
      <c r="AT1199" s="43"/>
      <c r="AU1199" s="43"/>
      <c r="AV1199" s="43"/>
    </row>
    <row r="1200" ht="15.75" spans="1:48">
      <c r="A1200" s="12">
        <v>1196</v>
      </c>
      <c r="B1200" s="44">
        <v>4384</v>
      </c>
      <c r="C1200" s="45" t="s">
        <v>145</v>
      </c>
      <c r="D1200" s="46">
        <v>21</v>
      </c>
      <c r="E1200" s="47" t="s">
        <v>113</v>
      </c>
      <c r="F1200" s="48">
        <v>10.5</v>
      </c>
      <c r="G1200" s="38">
        <v>1.5</v>
      </c>
      <c r="H1200" s="39"/>
      <c r="I1200" s="39"/>
      <c r="J1200" s="39"/>
      <c r="K1200" s="39"/>
      <c r="L1200" s="39"/>
      <c r="M1200" s="39"/>
      <c r="N1200" s="39"/>
      <c r="O1200" s="39"/>
      <c r="P1200" s="39"/>
      <c r="Q1200" s="39">
        <v>1.33</v>
      </c>
      <c r="R1200" s="39"/>
      <c r="S1200" s="39"/>
      <c r="T1200" s="39"/>
      <c r="U1200" s="39">
        <v>0.17</v>
      </c>
      <c r="V1200" s="39"/>
      <c r="W1200" s="39"/>
      <c r="X1200" s="49" t="s">
        <v>228</v>
      </c>
      <c r="Y1200" s="50">
        <v>15225</v>
      </c>
      <c r="Z1200" s="51">
        <v>14922</v>
      </c>
      <c r="AA1200" s="52">
        <f t="shared" si="27"/>
        <v>0.980098522167488</v>
      </c>
      <c r="AB1200" s="12">
        <v>14922</v>
      </c>
      <c r="AC1200" s="12">
        <v>0</v>
      </c>
      <c r="AD1200" s="43"/>
      <c r="AE1200" s="43"/>
      <c r="AF1200" s="43"/>
      <c r="AG1200" s="43"/>
      <c r="AH1200" s="43"/>
      <c r="AI1200" s="43"/>
      <c r="AJ1200" s="43"/>
      <c r="AK1200" s="43"/>
      <c r="AL1200" s="43"/>
      <c r="AM1200" s="43"/>
      <c r="AN1200" s="43"/>
      <c r="AO1200" s="43"/>
      <c r="AP1200" s="43"/>
      <c r="AQ1200" s="43"/>
      <c r="AR1200" s="43"/>
      <c r="AS1200" s="43"/>
      <c r="AT1200" s="43"/>
      <c r="AU1200" s="43"/>
      <c r="AV1200" s="43"/>
    </row>
    <row r="1201" ht="15.75" spans="1:48">
      <c r="A1201" s="12">
        <v>1197</v>
      </c>
      <c r="B1201" s="44">
        <v>666</v>
      </c>
      <c r="C1201" s="45" t="s">
        <v>151</v>
      </c>
      <c r="D1201" s="46"/>
      <c r="E1201" s="47" t="s">
        <v>113</v>
      </c>
      <c r="F1201" s="48">
        <v>1.43</v>
      </c>
      <c r="G1201" s="38">
        <v>1.33</v>
      </c>
      <c r="H1201" s="39"/>
      <c r="I1201" s="39"/>
      <c r="J1201" s="39"/>
      <c r="K1201" s="39"/>
      <c r="L1201" s="39"/>
      <c r="M1201" s="39"/>
      <c r="N1201" s="39"/>
      <c r="O1201" s="39"/>
      <c r="P1201" s="39"/>
      <c r="Q1201" s="39">
        <v>1.33</v>
      </c>
      <c r="R1201" s="39"/>
      <c r="S1201" s="39"/>
      <c r="T1201" s="39"/>
      <c r="U1201" s="39"/>
      <c r="V1201" s="39"/>
      <c r="W1201" s="39"/>
      <c r="X1201" s="49" t="s">
        <v>285</v>
      </c>
      <c r="Y1201" s="50">
        <v>672.1</v>
      </c>
      <c r="Z1201" s="51">
        <v>540</v>
      </c>
      <c r="AA1201" s="52">
        <f t="shared" si="27"/>
        <v>0.803451867281655</v>
      </c>
      <c r="AB1201" s="12">
        <v>540</v>
      </c>
      <c r="AC1201" s="12">
        <v>0</v>
      </c>
      <c r="AD1201" s="43"/>
      <c r="AE1201" s="43"/>
      <c r="AF1201" s="43"/>
      <c r="AG1201" s="43"/>
      <c r="AH1201" s="43"/>
      <c r="AI1201" s="43"/>
      <c r="AJ1201" s="43"/>
      <c r="AK1201" s="43"/>
      <c r="AL1201" s="43"/>
      <c r="AM1201" s="43"/>
      <c r="AN1201" s="43"/>
      <c r="AO1201" s="43"/>
      <c r="AP1201" s="43"/>
      <c r="AQ1201" s="43"/>
      <c r="AR1201" s="43"/>
      <c r="AS1201" s="43"/>
      <c r="AT1201" s="43"/>
      <c r="AU1201" s="43"/>
      <c r="AV1201" s="43"/>
    </row>
    <row r="1202" ht="15.75" spans="1:48">
      <c r="A1202" s="12">
        <v>1198</v>
      </c>
      <c r="B1202" s="44">
        <v>4489</v>
      </c>
      <c r="C1202" s="45" t="s">
        <v>88</v>
      </c>
      <c r="D1202" s="46">
        <v>17</v>
      </c>
      <c r="E1202" s="47" t="s">
        <v>113</v>
      </c>
      <c r="F1202" s="48">
        <v>8.83</v>
      </c>
      <c r="G1202" s="38">
        <v>3.16</v>
      </c>
      <c r="H1202" s="39"/>
      <c r="I1202" s="39"/>
      <c r="J1202" s="39"/>
      <c r="K1202" s="39"/>
      <c r="L1202" s="39"/>
      <c r="M1202" s="39"/>
      <c r="N1202" s="39"/>
      <c r="O1202" s="39"/>
      <c r="P1202" s="39"/>
      <c r="Q1202" s="39">
        <v>1.33</v>
      </c>
      <c r="R1202" s="39"/>
      <c r="S1202" s="39"/>
      <c r="T1202" s="39">
        <v>1.66</v>
      </c>
      <c r="U1202" s="39">
        <v>0.17</v>
      </c>
      <c r="V1202" s="39"/>
      <c r="W1202" s="39"/>
      <c r="X1202" s="49">
        <v>977</v>
      </c>
      <c r="Y1202" s="50">
        <v>1854.3</v>
      </c>
      <c r="Z1202" s="51">
        <v>1128</v>
      </c>
      <c r="AA1202" s="52">
        <f t="shared" ref="AA1202:AA1265" si="28">IFERROR(Z1202/Y1202,0)</f>
        <v>0.608315806503802</v>
      </c>
      <c r="AB1202" s="12">
        <v>765</v>
      </c>
      <c r="AC1202" s="12">
        <v>363</v>
      </c>
      <c r="AD1202" s="19">
        <v>363</v>
      </c>
      <c r="AE1202" s="43"/>
      <c r="AF1202" s="43"/>
      <c r="AG1202" s="43"/>
      <c r="AH1202" s="43"/>
      <c r="AI1202" s="43"/>
      <c r="AJ1202" s="43"/>
      <c r="AK1202" s="43"/>
      <c r="AL1202" s="43"/>
      <c r="AM1202" s="43"/>
      <c r="AN1202" s="43"/>
      <c r="AO1202" s="43"/>
      <c r="AP1202" s="43"/>
      <c r="AQ1202" s="43"/>
      <c r="AR1202" s="43"/>
      <c r="AS1202" s="43"/>
      <c r="AT1202" s="43"/>
      <c r="AU1202" s="43"/>
      <c r="AV1202" s="43"/>
    </row>
    <row r="1203" ht="15.75" spans="1:48">
      <c r="A1203" s="12">
        <v>1199</v>
      </c>
      <c r="B1203" s="44">
        <v>4335</v>
      </c>
      <c r="C1203" s="45" t="s">
        <v>154</v>
      </c>
      <c r="D1203" s="46">
        <v>15</v>
      </c>
      <c r="E1203" s="47" t="s">
        <v>113</v>
      </c>
      <c r="F1203" s="48">
        <v>2</v>
      </c>
      <c r="G1203" s="38">
        <v>4.84</v>
      </c>
      <c r="H1203" s="39"/>
      <c r="I1203" s="39"/>
      <c r="J1203" s="39"/>
      <c r="K1203" s="39"/>
      <c r="L1203" s="39"/>
      <c r="M1203" s="39"/>
      <c r="N1203" s="39"/>
      <c r="O1203" s="39"/>
      <c r="P1203" s="39"/>
      <c r="Q1203" s="39">
        <v>1.33</v>
      </c>
      <c r="R1203" s="39"/>
      <c r="S1203" s="39">
        <v>3.17</v>
      </c>
      <c r="T1203" s="39">
        <v>0.17</v>
      </c>
      <c r="U1203" s="39">
        <v>0.17</v>
      </c>
      <c r="V1203" s="39"/>
      <c r="W1203" s="39"/>
      <c r="X1203" s="49">
        <v>9149</v>
      </c>
      <c r="Y1203" s="50">
        <v>720</v>
      </c>
      <c r="Z1203" s="51">
        <v>720</v>
      </c>
      <c r="AA1203" s="52">
        <f t="shared" si="28"/>
        <v>1</v>
      </c>
      <c r="AB1203" s="12">
        <v>720</v>
      </c>
      <c r="AC1203" s="12">
        <v>0</v>
      </c>
      <c r="AD1203" s="43"/>
      <c r="AE1203" s="43"/>
      <c r="AF1203" s="43"/>
      <c r="AG1203" s="43"/>
      <c r="AH1203" s="43"/>
      <c r="AI1203" s="43"/>
      <c r="AJ1203" s="43"/>
      <c r="AK1203" s="43"/>
      <c r="AL1203" s="43"/>
      <c r="AM1203" s="43"/>
      <c r="AN1203" s="43"/>
      <c r="AO1203" s="43"/>
      <c r="AP1203" s="43"/>
      <c r="AQ1203" s="43"/>
      <c r="AR1203" s="43"/>
      <c r="AS1203" s="43"/>
      <c r="AT1203" s="43"/>
      <c r="AU1203" s="43"/>
      <c r="AV1203" s="43"/>
    </row>
    <row r="1204" ht="15.75" spans="1:48">
      <c r="A1204" s="12">
        <v>1200</v>
      </c>
      <c r="B1204" s="44">
        <v>4110</v>
      </c>
      <c r="C1204" s="45" t="s">
        <v>135</v>
      </c>
      <c r="D1204" s="46">
        <v>5</v>
      </c>
      <c r="E1204" s="47" t="s">
        <v>113</v>
      </c>
      <c r="F1204" s="48">
        <v>7</v>
      </c>
      <c r="G1204" s="38">
        <v>1.83</v>
      </c>
      <c r="H1204" s="39"/>
      <c r="I1204" s="39"/>
      <c r="J1204" s="39"/>
      <c r="K1204" s="39"/>
      <c r="L1204" s="39"/>
      <c r="M1204" s="39"/>
      <c r="N1204" s="39"/>
      <c r="O1204" s="39"/>
      <c r="P1204" s="39"/>
      <c r="Q1204" s="39">
        <v>1.33</v>
      </c>
      <c r="R1204" s="39"/>
      <c r="S1204" s="39"/>
      <c r="T1204" s="39">
        <v>0.33</v>
      </c>
      <c r="U1204" s="39">
        <v>0.17</v>
      </c>
      <c r="V1204" s="39"/>
      <c r="W1204" s="39"/>
      <c r="X1204" s="49">
        <v>5770</v>
      </c>
      <c r="Y1204" s="50">
        <v>4235</v>
      </c>
      <c r="Z1204" s="51">
        <v>4300</v>
      </c>
      <c r="AA1204" s="52">
        <f t="shared" si="28"/>
        <v>1.01534828807556</v>
      </c>
      <c r="AB1204" s="12">
        <v>4200</v>
      </c>
      <c r="AC1204" s="12">
        <v>100</v>
      </c>
      <c r="AD1204" s="19">
        <v>100</v>
      </c>
      <c r="AE1204" s="43"/>
      <c r="AF1204" s="43"/>
      <c r="AG1204" s="43"/>
      <c r="AH1204" s="43"/>
      <c r="AI1204" s="43"/>
      <c r="AJ1204" s="43"/>
      <c r="AK1204" s="43"/>
      <c r="AL1204" s="43"/>
      <c r="AM1204" s="43"/>
      <c r="AN1204" s="43"/>
      <c r="AO1204" s="43"/>
      <c r="AP1204" s="43"/>
      <c r="AQ1204" s="43"/>
      <c r="AR1204" s="43"/>
      <c r="AS1204" s="43"/>
      <c r="AT1204" s="43"/>
      <c r="AU1204" s="43"/>
      <c r="AV1204" s="43"/>
    </row>
    <row r="1205" ht="15.75" spans="1:48">
      <c r="A1205" s="12">
        <v>1201</v>
      </c>
      <c r="B1205" s="44">
        <v>947</v>
      </c>
      <c r="C1205" s="45" t="s">
        <v>143</v>
      </c>
      <c r="D1205" s="46">
        <v>8</v>
      </c>
      <c r="E1205" s="47" t="s">
        <v>113</v>
      </c>
      <c r="F1205" s="48">
        <v>4.5</v>
      </c>
      <c r="G1205" s="38">
        <v>2</v>
      </c>
      <c r="H1205" s="39"/>
      <c r="I1205" s="39"/>
      <c r="J1205" s="39"/>
      <c r="K1205" s="39">
        <v>0.17</v>
      </c>
      <c r="L1205" s="39"/>
      <c r="M1205" s="39"/>
      <c r="N1205" s="39"/>
      <c r="O1205" s="39"/>
      <c r="P1205" s="39"/>
      <c r="Q1205" s="39">
        <v>1.33</v>
      </c>
      <c r="R1205" s="39"/>
      <c r="S1205" s="39"/>
      <c r="T1205" s="39">
        <v>0.33</v>
      </c>
      <c r="U1205" s="39">
        <v>0.17</v>
      </c>
      <c r="V1205" s="39"/>
      <c r="W1205" s="39"/>
      <c r="X1205" s="49">
        <v>6270</v>
      </c>
      <c r="Y1205" s="50">
        <v>2722.5</v>
      </c>
      <c r="Z1205" s="51">
        <v>2558</v>
      </c>
      <c r="AA1205" s="52">
        <f t="shared" si="28"/>
        <v>0.939577594123049</v>
      </c>
      <c r="AB1205" s="12">
        <v>2530</v>
      </c>
      <c r="AC1205" s="12">
        <v>28</v>
      </c>
      <c r="AD1205" s="19">
        <v>28</v>
      </c>
      <c r="AE1205" s="43"/>
      <c r="AF1205" s="43"/>
      <c r="AG1205" s="43"/>
      <c r="AH1205" s="43"/>
      <c r="AI1205" s="43"/>
      <c r="AJ1205" s="43"/>
      <c r="AK1205" s="43"/>
      <c r="AL1205" s="43"/>
      <c r="AM1205" s="43"/>
      <c r="AN1205" s="43"/>
      <c r="AO1205" s="43"/>
      <c r="AP1205" s="43"/>
      <c r="AQ1205" s="43"/>
      <c r="AR1205" s="43"/>
      <c r="AS1205" s="43"/>
      <c r="AT1205" s="43"/>
      <c r="AU1205" s="43"/>
      <c r="AV1205" s="43"/>
    </row>
    <row r="1206" ht="15.75" spans="1:48">
      <c r="A1206" s="12">
        <v>1202</v>
      </c>
      <c r="B1206" s="44">
        <v>2865</v>
      </c>
      <c r="C1206" s="45" t="s">
        <v>149</v>
      </c>
      <c r="D1206" s="46">
        <v>6</v>
      </c>
      <c r="E1206" s="47" t="s">
        <v>113</v>
      </c>
      <c r="F1206" s="48">
        <v>10.5</v>
      </c>
      <c r="G1206" s="38">
        <v>1.5</v>
      </c>
      <c r="H1206" s="39"/>
      <c r="I1206" s="39"/>
      <c r="J1206" s="39"/>
      <c r="K1206" s="39"/>
      <c r="L1206" s="39"/>
      <c r="M1206" s="39"/>
      <c r="N1206" s="39"/>
      <c r="O1206" s="39"/>
      <c r="P1206" s="39"/>
      <c r="Q1206" s="39">
        <v>1.33</v>
      </c>
      <c r="R1206" s="39"/>
      <c r="S1206" s="39"/>
      <c r="T1206" s="39"/>
      <c r="U1206" s="39">
        <v>0.17</v>
      </c>
      <c r="V1206" s="39"/>
      <c r="W1206" s="39"/>
      <c r="X1206" s="49">
        <v>1090</v>
      </c>
      <c r="Y1206" s="50">
        <v>6930</v>
      </c>
      <c r="Z1206" s="51">
        <v>6869</v>
      </c>
      <c r="AA1206" s="52">
        <f t="shared" si="28"/>
        <v>0.991197691197691</v>
      </c>
      <c r="AB1206" s="12">
        <v>6832</v>
      </c>
      <c r="AC1206" s="12">
        <v>37</v>
      </c>
      <c r="AD1206" s="19">
        <v>37</v>
      </c>
      <c r="AE1206" s="43"/>
      <c r="AF1206" s="43"/>
      <c r="AG1206" s="43"/>
      <c r="AH1206" s="43"/>
      <c r="AI1206" s="43"/>
      <c r="AJ1206" s="43"/>
      <c r="AK1206" s="43"/>
      <c r="AL1206" s="43"/>
      <c r="AM1206" s="43"/>
      <c r="AN1206" s="43"/>
      <c r="AO1206" s="43"/>
      <c r="AP1206" s="43"/>
      <c r="AQ1206" s="43"/>
      <c r="AR1206" s="43"/>
      <c r="AS1206" s="43"/>
      <c r="AT1206" s="43"/>
      <c r="AU1206" s="43"/>
      <c r="AV1206" s="43"/>
    </row>
    <row r="1207" ht="15.75" spans="1:48">
      <c r="A1207" s="12">
        <v>1203</v>
      </c>
      <c r="B1207" s="44">
        <v>551</v>
      </c>
      <c r="C1207" s="45" t="s">
        <v>146</v>
      </c>
      <c r="D1207" s="46">
        <v>14</v>
      </c>
      <c r="E1207" s="47" t="s">
        <v>113</v>
      </c>
      <c r="F1207" s="48">
        <v>0.5</v>
      </c>
      <c r="G1207" s="38">
        <v>1.33</v>
      </c>
      <c r="H1207" s="39"/>
      <c r="I1207" s="39"/>
      <c r="J1207" s="39"/>
      <c r="K1207" s="39"/>
      <c r="L1207" s="39"/>
      <c r="M1207" s="39"/>
      <c r="N1207" s="39"/>
      <c r="O1207" s="39"/>
      <c r="P1207" s="39"/>
      <c r="Q1207" s="39">
        <v>1.33</v>
      </c>
      <c r="R1207" s="39"/>
      <c r="S1207" s="39"/>
      <c r="T1207" s="39"/>
      <c r="U1207" s="39"/>
      <c r="V1207" s="39"/>
      <c r="W1207" s="39"/>
      <c r="X1207" s="49">
        <v>8484</v>
      </c>
      <c r="Y1207" s="50">
        <v>270</v>
      </c>
      <c r="Z1207" s="51">
        <v>217</v>
      </c>
      <c r="AA1207" s="52">
        <f t="shared" si="28"/>
        <v>0.803703703703704</v>
      </c>
      <c r="AB1207" s="12">
        <v>217</v>
      </c>
      <c r="AC1207" s="12">
        <v>0</v>
      </c>
      <c r="AD1207" s="43"/>
      <c r="AE1207" s="43"/>
      <c r="AF1207" s="43"/>
      <c r="AG1207" s="43"/>
      <c r="AH1207" s="43"/>
      <c r="AI1207" s="43"/>
      <c r="AJ1207" s="43"/>
      <c r="AK1207" s="43"/>
      <c r="AL1207" s="43"/>
      <c r="AM1207" s="43"/>
      <c r="AN1207" s="43"/>
      <c r="AO1207" s="43"/>
      <c r="AP1207" s="43"/>
      <c r="AQ1207" s="43"/>
      <c r="AR1207" s="43"/>
      <c r="AS1207" s="43"/>
      <c r="AT1207" s="43"/>
      <c r="AU1207" s="43"/>
      <c r="AV1207" s="43"/>
    </row>
    <row r="1208" ht="15.75" spans="1:48">
      <c r="A1208" s="12">
        <v>1204</v>
      </c>
      <c r="B1208" s="44">
        <v>551</v>
      </c>
      <c r="C1208" s="45" t="s">
        <v>146</v>
      </c>
      <c r="D1208" s="46">
        <v>7</v>
      </c>
      <c r="E1208" s="47" t="s">
        <v>113</v>
      </c>
      <c r="F1208" s="48">
        <v>6</v>
      </c>
      <c r="G1208" s="38">
        <v>0.17</v>
      </c>
      <c r="H1208" s="39"/>
      <c r="I1208" s="39"/>
      <c r="J1208" s="39"/>
      <c r="K1208" s="39"/>
      <c r="L1208" s="39"/>
      <c r="M1208" s="39"/>
      <c r="N1208" s="39"/>
      <c r="O1208" s="39"/>
      <c r="P1208" s="39"/>
      <c r="Q1208" s="39"/>
      <c r="R1208" s="39"/>
      <c r="S1208" s="39"/>
      <c r="T1208" s="39"/>
      <c r="U1208" s="39">
        <v>0.17</v>
      </c>
      <c r="V1208" s="39"/>
      <c r="W1208" s="39"/>
      <c r="X1208" s="49" t="s">
        <v>95</v>
      </c>
      <c r="Y1208" s="50">
        <v>8400</v>
      </c>
      <c r="Z1208" s="51">
        <v>8400</v>
      </c>
      <c r="AA1208" s="52">
        <f t="shared" si="28"/>
        <v>1</v>
      </c>
      <c r="AB1208" s="12">
        <v>8400</v>
      </c>
      <c r="AC1208" s="12">
        <v>0</v>
      </c>
      <c r="AD1208" s="43"/>
      <c r="AE1208" s="43"/>
      <c r="AF1208" s="43"/>
      <c r="AG1208" s="43"/>
      <c r="AH1208" s="43"/>
      <c r="AI1208" s="43"/>
      <c r="AJ1208" s="43"/>
      <c r="AK1208" s="43"/>
      <c r="AL1208" s="43"/>
      <c r="AM1208" s="43"/>
      <c r="AN1208" s="43"/>
      <c r="AO1208" s="43"/>
      <c r="AP1208" s="43"/>
      <c r="AQ1208" s="43"/>
      <c r="AR1208" s="43"/>
      <c r="AS1208" s="43"/>
      <c r="AT1208" s="43"/>
      <c r="AU1208" s="43"/>
      <c r="AV1208" s="43"/>
    </row>
    <row r="1209" ht="15.75" spans="1:48">
      <c r="A1209" s="12">
        <v>1205</v>
      </c>
      <c r="B1209" s="44">
        <v>551</v>
      </c>
      <c r="C1209" s="45" t="s">
        <v>146</v>
      </c>
      <c r="D1209" s="46">
        <v>18</v>
      </c>
      <c r="E1209" s="47" t="s">
        <v>113</v>
      </c>
      <c r="F1209" s="48">
        <v>1.83</v>
      </c>
      <c r="G1209" s="38">
        <v>0</v>
      </c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  <c r="S1209" s="39"/>
      <c r="T1209" s="39"/>
      <c r="U1209" s="39"/>
      <c r="V1209" s="39"/>
      <c r="W1209" s="39"/>
      <c r="X1209" s="49">
        <v>2801</v>
      </c>
      <c r="Y1209" s="50">
        <v>1107.15</v>
      </c>
      <c r="Z1209" s="51">
        <v>1080</v>
      </c>
      <c r="AA1209" s="52">
        <f t="shared" si="28"/>
        <v>0.975477577564016</v>
      </c>
      <c r="AB1209" s="12">
        <v>1080</v>
      </c>
      <c r="AC1209" s="12">
        <v>0</v>
      </c>
      <c r="AD1209" s="43"/>
      <c r="AE1209" s="43"/>
      <c r="AF1209" s="43"/>
      <c r="AG1209" s="43"/>
      <c r="AH1209" s="43"/>
      <c r="AI1209" s="43"/>
      <c r="AJ1209" s="43"/>
      <c r="AK1209" s="43"/>
      <c r="AL1209" s="43"/>
      <c r="AM1209" s="43"/>
      <c r="AN1209" s="43"/>
      <c r="AO1209" s="43"/>
      <c r="AP1209" s="43"/>
      <c r="AQ1209" s="43"/>
      <c r="AR1209" s="43"/>
      <c r="AS1209" s="43"/>
      <c r="AT1209" s="43"/>
      <c r="AU1209" s="43"/>
      <c r="AV1209" s="43"/>
    </row>
    <row r="1210" ht="15.75" spans="1:48">
      <c r="A1210" s="12">
        <v>1206</v>
      </c>
      <c r="B1210" s="44" t="s">
        <v>254</v>
      </c>
      <c r="C1210" s="45" t="s">
        <v>255</v>
      </c>
      <c r="D1210" s="46">
        <v>18</v>
      </c>
      <c r="E1210" s="47" t="s">
        <v>93</v>
      </c>
      <c r="F1210" s="48">
        <v>3.5</v>
      </c>
      <c r="G1210" s="38">
        <v>1.84</v>
      </c>
      <c r="H1210" s="39"/>
      <c r="I1210" s="39"/>
      <c r="J1210" s="39"/>
      <c r="K1210" s="39"/>
      <c r="L1210" s="39"/>
      <c r="M1210" s="39"/>
      <c r="N1210" s="39"/>
      <c r="O1210" s="39"/>
      <c r="P1210" s="39"/>
      <c r="Q1210" s="39">
        <v>1</v>
      </c>
      <c r="R1210" s="39"/>
      <c r="S1210" s="39"/>
      <c r="T1210" s="39">
        <v>0.67</v>
      </c>
      <c r="U1210" s="39">
        <v>0.17</v>
      </c>
      <c r="V1210" s="39"/>
      <c r="W1210" s="39"/>
      <c r="X1210" s="49">
        <v>2801</v>
      </c>
      <c r="Y1210" s="50">
        <v>1482.25</v>
      </c>
      <c r="Z1210" s="51">
        <v>1002</v>
      </c>
      <c r="AA1210" s="52">
        <f t="shared" si="28"/>
        <v>0.675999325349975</v>
      </c>
      <c r="AB1210" s="12">
        <v>813</v>
      </c>
      <c r="AC1210" s="12">
        <v>189</v>
      </c>
      <c r="AD1210" s="19">
        <v>189</v>
      </c>
      <c r="AE1210" s="43"/>
      <c r="AF1210" s="43"/>
      <c r="AG1210" s="43"/>
      <c r="AH1210" s="43"/>
      <c r="AI1210" s="43"/>
      <c r="AJ1210" s="43"/>
      <c r="AK1210" s="43"/>
      <c r="AL1210" s="43"/>
      <c r="AM1210" s="43"/>
      <c r="AN1210" s="43"/>
      <c r="AO1210" s="43"/>
      <c r="AP1210" s="43"/>
      <c r="AQ1210" s="43"/>
      <c r="AR1210" s="43"/>
      <c r="AS1210" s="43"/>
      <c r="AT1210" s="43"/>
      <c r="AU1210" s="43"/>
      <c r="AV1210" s="43"/>
    </row>
    <row r="1211" ht="15.75" spans="1:48">
      <c r="A1211" s="12">
        <v>1207</v>
      </c>
      <c r="B1211" s="44">
        <v>4017</v>
      </c>
      <c r="C1211" s="45" t="s">
        <v>148</v>
      </c>
      <c r="D1211" s="46">
        <v>2</v>
      </c>
      <c r="E1211" s="47" t="s">
        <v>113</v>
      </c>
      <c r="F1211" s="48">
        <v>10.17</v>
      </c>
      <c r="G1211" s="38">
        <v>1.83</v>
      </c>
      <c r="H1211" s="39"/>
      <c r="I1211" s="39"/>
      <c r="J1211" s="39"/>
      <c r="K1211" s="39"/>
      <c r="L1211" s="39"/>
      <c r="M1211" s="39"/>
      <c r="N1211" s="39"/>
      <c r="O1211" s="39"/>
      <c r="P1211" s="39"/>
      <c r="Q1211" s="39">
        <v>1.33</v>
      </c>
      <c r="R1211" s="39"/>
      <c r="S1211" s="39"/>
      <c r="T1211" s="39">
        <v>0.33</v>
      </c>
      <c r="U1211" s="39">
        <v>0.17</v>
      </c>
      <c r="V1211" s="39"/>
      <c r="W1211" s="39"/>
      <c r="X1211" s="49">
        <v>1080</v>
      </c>
      <c r="Y1211" s="50">
        <v>6712.2</v>
      </c>
      <c r="Z1211" s="51">
        <v>6613</v>
      </c>
      <c r="AA1211" s="52">
        <f t="shared" si="28"/>
        <v>0.985220940973153</v>
      </c>
      <c r="AB1211" s="12">
        <v>6544</v>
      </c>
      <c r="AC1211" s="12">
        <v>69</v>
      </c>
      <c r="AD1211" s="19">
        <v>69</v>
      </c>
      <c r="AE1211" s="43"/>
      <c r="AF1211" s="43"/>
      <c r="AG1211" s="43"/>
      <c r="AH1211" s="43"/>
      <c r="AI1211" s="43"/>
      <c r="AJ1211" s="43"/>
      <c r="AK1211" s="43"/>
      <c r="AL1211" s="43"/>
      <c r="AM1211" s="43"/>
      <c r="AN1211" s="43"/>
      <c r="AO1211" s="43"/>
      <c r="AP1211" s="43"/>
      <c r="AQ1211" s="43"/>
      <c r="AR1211" s="43"/>
      <c r="AS1211" s="43"/>
      <c r="AT1211" s="43"/>
      <c r="AU1211" s="43"/>
      <c r="AV1211" s="43"/>
    </row>
    <row r="1212" ht="15.75" spans="1:48">
      <c r="A1212" s="12">
        <v>1208</v>
      </c>
      <c r="B1212" s="44">
        <v>666</v>
      </c>
      <c r="C1212" s="45" t="s">
        <v>151</v>
      </c>
      <c r="D1212" s="46"/>
      <c r="E1212" s="47" t="s">
        <v>113</v>
      </c>
      <c r="F1212" s="48">
        <v>0.67</v>
      </c>
      <c r="G1212" s="38">
        <v>0</v>
      </c>
      <c r="H1212" s="39"/>
      <c r="I1212" s="39"/>
      <c r="J1212" s="39"/>
      <c r="K1212" s="39"/>
      <c r="L1212" s="39"/>
      <c r="M1212" s="39"/>
      <c r="N1212" s="39"/>
      <c r="O1212" s="39"/>
      <c r="P1212" s="39"/>
      <c r="Q1212" s="39"/>
      <c r="R1212" s="39"/>
      <c r="S1212" s="39"/>
      <c r="T1212" s="39"/>
      <c r="U1212" s="39"/>
      <c r="V1212" s="39"/>
      <c r="W1212" s="39"/>
      <c r="X1212" s="49" t="s">
        <v>101</v>
      </c>
      <c r="Y1212" s="50">
        <v>1286.4</v>
      </c>
      <c r="Z1212" s="51">
        <v>900</v>
      </c>
      <c r="AA1212" s="52">
        <f t="shared" si="28"/>
        <v>0.699626865671642</v>
      </c>
      <c r="AB1212" s="12">
        <v>900</v>
      </c>
      <c r="AC1212" s="12">
        <v>0</v>
      </c>
      <c r="AD1212" s="43"/>
      <c r="AE1212" s="43"/>
      <c r="AF1212" s="43"/>
      <c r="AG1212" s="43"/>
      <c r="AH1212" s="43"/>
      <c r="AI1212" s="43"/>
      <c r="AJ1212" s="43"/>
      <c r="AK1212" s="43"/>
      <c r="AL1212" s="43"/>
      <c r="AM1212" s="43"/>
      <c r="AN1212" s="43"/>
      <c r="AO1212" s="43"/>
      <c r="AP1212" s="43"/>
      <c r="AQ1212" s="43"/>
      <c r="AR1212" s="43"/>
      <c r="AS1212" s="43"/>
      <c r="AT1212" s="43"/>
      <c r="AU1212" s="43"/>
      <c r="AV1212" s="43"/>
    </row>
    <row r="1213" ht="15.75" spans="1:48">
      <c r="A1213" s="12">
        <v>1209</v>
      </c>
      <c r="B1213" s="44">
        <v>666</v>
      </c>
      <c r="C1213" s="45" t="s">
        <v>151</v>
      </c>
      <c r="D1213" s="46"/>
      <c r="E1213" s="47" t="s">
        <v>113</v>
      </c>
      <c r="F1213" s="48">
        <v>1.07</v>
      </c>
      <c r="G1213" s="38">
        <v>0</v>
      </c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  <c r="S1213" s="39"/>
      <c r="T1213" s="39"/>
      <c r="U1213" s="39"/>
      <c r="V1213" s="39"/>
      <c r="W1213" s="39"/>
      <c r="X1213" s="49" t="s">
        <v>295</v>
      </c>
      <c r="Y1213" s="50">
        <v>2054.4</v>
      </c>
      <c r="Z1213" s="51">
        <v>1440</v>
      </c>
      <c r="AA1213" s="52">
        <f t="shared" si="28"/>
        <v>0.700934579439252</v>
      </c>
      <c r="AB1213" s="12">
        <v>1440</v>
      </c>
      <c r="AC1213" s="12">
        <v>0</v>
      </c>
      <c r="AD1213" s="43"/>
      <c r="AE1213" s="43"/>
      <c r="AF1213" s="43"/>
      <c r="AG1213" s="43"/>
      <c r="AH1213" s="43"/>
      <c r="AI1213" s="43"/>
      <c r="AJ1213" s="43"/>
      <c r="AK1213" s="43"/>
      <c r="AL1213" s="43"/>
      <c r="AM1213" s="43"/>
      <c r="AN1213" s="43"/>
      <c r="AO1213" s="43"/>
      <c r="AP1213" s="43"/>
      <c r="AQ1213" s="43"/>
      <c r="AR1213" s="43"/>
      <c r="AS1213" s="43"/>
      <c r="AT1213" s="43"/>
      <c r="AU1213" s="43"/>
      <c r="AV1213" s="43"/>
    </row>
    <row r="1214" ht="15.75" spans="1:48">
      <c r="A1214" s="12">
        <v>1210</v>
      </c>
      <c r="B1214" s="44">
        <v>666</v>
      </c>
      <c r="C1214" s="45" t="s">
        <v>151</v>
      </c>
      <c r="D1214" s="46"/>
      <c r="E1214" s="47" t="s">
        <v>113</v>
      </c>
      <c r="F1214" s="48">
        <v>3.75</v>
      </c>
      <c r="G1214" s="38">
        <v>0.5</v>
      </c>
      <c r="H1214" s="39"/>
      <c r="I1214" s="39"/>
      <c r="J1214" s="39"/>
      <c r="K1214" s="39"/>
      <c r="L1214" s="39"/>
      <c r="M1214" s="39"/>
      <c r="N1214" s="39"/>
      <c r="O1214" s="39"/>
      <c r="P1214" s="39"/>
      <c r="Q1214" s="39"/>
      <c r="R1214" s="39"/>
      <c r="S1214" s="39"/>
      <c r="T1214" s="39">
        <v>0.33</v>
      </c>
      <c r="U1214" s="39">
        <v>0.17</v>
      </c>
      <c r="V1214" s="39"/>
      <c r="W1214" s="39"/>
      <c r="X1214" s="49" t="s">
        <v>229</v>
      </c>
      <c r="Y1214" s="50">
        <v>13950</v>
      </c>
      <c r="Z1214" s="51">
        <v>11250</v>
      </c>
      <c r="AA1214" s="52">
        <f t="shared" si="28"/>
        <v>0.806451612903226</v>
      </c>
      <c r="AB1214" s="12">
        <v>11250</v>
      </c>
      <c r="AC1214" s="12">
        <v>0</v>
      </c>
      <c r="AD1214" s="43"/>
      <c r="AE1214" s="43"/>
      <c r="AF1214" s="43"/>
      <c r="AG1214" s="43"/>
      <c r="AH1214" s="43"/>
      <c r="AI1214" s="43"/>
      <c r="AJ1214" s="43"/>
      <c r="AK1214" s="43"/>
      <c r="AL1214" s="43"/>
      <c r="AM1214" s="43"/>
      <c r="AN1214" s="43"/>
      <c r="AO1214" s="43"/>
      <c r="AP1214" s="43"/>
      <c r="AQ1214" s="43"/>
      <c r="AR1214" s="43"/>
      <c r="AS1214" s="43"/>
      <c r="AT1214" s="43"/>
      <c r="AU1214" s="43"/>
      <c r="AV1214" s="43"/>
    </row>
    <row r="1215" ht="15.75" spans="1:48">
      <c r="A1215" s="12">
        <v>1211</v>
      </c>
      <c r="B1215" s="44">
        <v>666</v>
      </c>
      <c r="C1215" s="45" t="s">
        <v>151</v>
      </c>
      <c r="D1215" s="46"/>
      <c r="E1215" s="47" t="s">
        <v>113</v>
      </c>
      <c r="F1215" s="48">
        <v>2.2</v>
      </c>
      <c r="G1215" s="38">
        <v>0</v>
      </c>
      <c r="H1215" s="39"/>
      <c r="I1215" s="39"/>
      <c r="J1215" s="39"/>
      <c r="K1215" s="39"/>
      <c r="L1215" s="39"/>
      <c r="M1215" s="39"/>
      <c r="N1215" s="39"/>
      <c r="O1215" s="39"/>
      <c r="P1215" s="39"/>
      <c r="Q1215" s="39"/>
      <c r="R1215" s="39"/>
      <c r="S1215" s="39"/>
      <c r="T1215" s="39"/>
      <c r="U1215" s="39"/>
      <c r="V1215" s="39"/>
      <c r="W1215" s="39"/>
      <c r="X1215" s="49" t="s">
        <v>152</v>
      </c>
      <c r="Y1215" s="50">
        <v>9570</v>
      </c>
      <c r="Z1215" s="51">
        <v>7700</v>
      </c>
      <c r="AA1215" s="52">
        <f t="shared" si="28"/>
        <v>0.804597701149425</v>
      </c>
      <c r="AB1215" s="12">
        <v>7700</v>
      </c>
      <c r="AC1215" s="12">
        <v>0</v>
      </c>
      <c r="AD1215" s="43"/>
      <c r="AE1215" s="43"/>
      <c r="AF1215" s="43"/>
      <c r="AG1215" s="43"/>
      <c r="AH1215" s="43"/>
      <c r="AI1215" s="43"/>
      <c r="AJ1215" s="43"/>
      <c r="AK1215" s="43"/>
      <c r="AL1215" s="43"/>
      <c r="AM1215" s="43"/>
      <c r="AN1215" s="43"/>
      <c r="AO1215" s="43"/>
      <c r="AP1215" s="43"/>
      <c r="AQ1215" s="43"/>
      <c r="AR1215" s="43"/>
      <c r="AS1215" s="43"/>
      <c r="AT1215" s="43"/>
      <c r="AU1215" s="43"/>
      <c r="AV1215" s="43"/>
    </row>
    <row r="1216" ht="15.75" spans="1:48">
      <c r="A1216" s="12">
        <v>1212</v>
      </c>
      <c r="B1216" s="44">
        <v>666</v>
      </c>
      <c r="C1216" s="45" t="s">
        <v>151</v>
      </c>
      <c r="D1216" s="46"/>
      <c r="E1216" s="47" t="s">
        <v>113</v>
      </c>
      <c r="F1216" s="48">
        <v>1.05</v>
      </c>
      <c r="G1216" s="38">
        <v>0</v>
      </c>
      <c r="H1216" s="39"/>
      <c r="I1216" s="39"/>
      <c r="J1216" s="39"/>
      <c r="K1216" s="39"/>
      <c r="L1216" s="39"/>
      <c r="M1216" s="39"/>
      <c r="N1216" s="39"/>
      <c r="O1216" s="39"/>
      <c r="P1216" s="39"/>
      <c r="Q1216" s="39"/>
      <c r="R1216" s="39"/>
      <c r="S1216" s="39"/>
      <c r="T1216" s="39"/>
      <c r="U1216" s="39"/>
      <c r="V1216" s="39"/>
      <c r="W1216" s="39"/>
      <c r="X1216" s="49" t="s">
        <v>234</v>
      </c>
      <c r="Y1216" s="50">
        <v>3906</v>
      </c>
      <c r="Z1216" s="51">
        <v>3150</v>
      </c>
      <c r="AA1216" s="52">
        <f t="shared" si="28"/>
        <v>0.806451612903226</v>
      </c>
      <c r="AB1216" s="12">
        <v>3150</v>
      </c>
      <c r="AC1216" s="12">
        <v>0</v>
      </c>
      <c r="AD1216" s="43"/>
      <c r="AE1216" s="43"/>
      <c r="AF1216" s="43"/>
      <c r="AG1216" s="43"/>
      <c r="AH1216" s="43"/>
      <c r="AI1216" s="43"/>
      <c r="AJ1216" s="43"/>
      <c r="AK1216" s="43"/>
      <c r="AL1216" s="43"/>
      <c r="AM1216" s="43"/>
      <c r="AN1216" s="43"/>
      <c r="AO1216" s="43"/>
      <c r="AP1216" s="43"/>
      <c r="AQ1216" s="43"/>
      <c r="AR1216" s="43"/>
      <c r="AS1216" s="43"/>
      <c r="AT1216" s="43"/>
      <c r="AU1216" s="43"/>
      <c r="AV1216" s="43"/>
    </row>
    <row r="1217" ht="15.75" spans="1:48">
      <c r="A1217" s="12">
        <v>1213</v>
      </c>
      <c r="B1217" s="44" t="s">
        <v>254</v>
      </c>
      <c r="C1217" s="45" t="s">
        <v>255</v>
      </c>
      <c r="D1217" s="46"/>
      <c r="E1217" s="47" t="s">
        <v>113</v>
      </c>
      <c r="F1217" s="48">
        <v>2.67</v>
      </c>
      <c r="G1217" s="38">
        <v>0</v>
      </c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  <c r="S1217" s="39"/>
      <c r="T1217" s="39"/>
      <c r="U1217" s="39"/>
      <c r="V1217" s="39"/>
      <c r="W1217" s="39"/>
      <c r="X1217" s="49" t="s">
        <v>103</v>
      </c>
      <c r="Y1217" s="50">
        <v>1569.96</v>
      </c>
      <c r="Z1217" s="51">
        <v>1002</v>
      </c>
      <c r="AA1217" s="52">
        <f t="shared" si="28"/>
        <v>0.638232821218375</v>
      </c>
      <c r="AB1217" s="12">
        <v>1002</v>
      </c>
      <c r="AC1217" s="12">
        <v>0</v>
      </c>
      <c r="AD1217" s="43"/>
      <c r="AE1217" s="43"/>
      <c r="AF1217" s="43"/>
      <c r="AG1217" s="43"/>
      <c r="AH1217" s="43"/>
      <c r="AI1217" s="43"/>
      <c r="AJ1217" s="43"/>
      <c r="AK1217" s="43"/>
      <c r="AL1217" s="43"/>
      <c r="AM1217" s="43"/>
      <c r="AN1217" s="43"/>
      <c r="AO1217" s="43"/>
      <c r="AP1217" s="43"/>
      <c r="AQ1217" s="43"/>
      <c r="AR1217" s="43"/>
      <c r="AS1217" s="43"/>
      <c r="AT1217" s="43"/>
      <c r="AU1217" s="43"/>
      <c r="AV1217" s="43"/>
    </row>
    <row r="1218" ht="15.75" spans="1:48">
      <c r="A1218" s="12">
        <v>1214</v>
      </c>
      <c r="B1218" s="44">
        <v>4490</v>
      </c>
      <c r="C1218" s="45" t="s">
        <v>91</v>
      </c>
      <c r="D1218" s="46"/>
      <c r="E1218" s="47" t="s">
        <v>113</v>
      </c>
      <c r="F1218" s="48">
        <v>3</v>
      </c>
      <c r="G1218" s="38">
        <v>0</v>
      </c>
      <c r="H1218" s="39"/>
      <c r="I1218" s="39"/>
      <c r="J1218" s="39"/>
      <c r="K1218" s="39"/>
      <c r="L1218" s="39"/>
      <c r="M1218" s="39"/>
      <c r="N1218" s="39"/>
      <c r="O1218" s="39"/>
      <c r="P1218" s="39"/>
      <c r="Q1218" s="39"/>
      <c r="R1218" s="39"/>
      <c r="S1218" s="39"/>
      <c r="T1218" s="39"/>
      <c r="U1218" s="39"/>
      <c r="V1218" s="39"/>
      <c r="W1218" s="39"/>
      <c r="X1218" s="49" t="s">
        <v>103</v>
      </c>
      <c r="Y1218" s="50">
        <v>2520</v>
      </c>
      <c r="Z1218" s="51">
        <v>2460</v>
      </c>
      <c r="AA1218" s="52">
        <f t="shared" si="28"/>
        <v>0.976190476190476</v>
      </c>
      <c r="AB1218" s="12">
        <v>2460</v>
      </c>
      <c r="AC1218" s="12">
        <v>0</v>
      </c>
      <c r="AD1218" s="43"/>
      <c r="AE1218" s="43"/>
      <c r="AF1218" s="43"/>
      <c r="AG1218" s="43"/>
      <c r="AH1218" s="43"/>
      <c r="AI1218" s="43"/>
      <c r="AJ1218" s="43"/>
      <c r="AK1218" s="43"/>
      <c r="AL1218" s="43"/>
      <c r="AM1218" s="43"/>
      <c r="AN1218" s="43"/>
      <c r="AO1218" s="43"/>
      <c r="AP1218" s="43"/>
      <c r="AQ1218" s="43"/>
      <c r="AR1218" s="43"/>
      <c r="AS1218" s="43"/>
      <c r="AT1218" s="43"/>
      <c r="AU1218" s="43"/>
      <c r="AV1218" s="43"/>
    </row>
    <row r="1219" ht="15.75" spans="1:48">
      <c r="A1219" s="12">
        <v>1215</v>
      </c>
      <c r="B1219" s="44">
        <v>4335</v>
      </c>
      <c r="C1219" s="45" t="s">
        <v>154</v>
      </c>
      <c r="D1219" s="46"/>
      <c r="E1219" s="47" t="s">
        <v>113</v>
      </c>
      <c r="F1219" s="48">
        <v>4.17</v>
      </c>
      <c r="G1219" s="38">
        <v>0</v>
      </c>
      <c r="H1219" s="39"/>
      <c r="I1219" s="39"/>
      <c r="J1219" s="39"/>
      <c r="K1219" s="39"/>
      <c r="L1219" s="39"/>
      <c r="M1219" s="39"/>
      <c r="N1219" s="39"/>
      <c r="O1219" s="39"/>
      <c r="P1219" s="39"/>
      <c r="Q1219" s="39"/>
      <c r="R1219" s="39"/>
      <c r="S1219" s="39"/>
      <c r="T1219" s="39"/>
      <c r="U1219" s="39"/>
      <c r="V1219" s="39"/>
      <c r="W1219" s="39"/>
      <c r="X1219" s="49" t="s">
        <v>105</v>
      </c>
      <c r="Y1219" s="50">
        <v>2752.2</v>
      </c>
      <c r="Z1219" s="51">
        <v>2400</v>
      </c>
      <c r="AA1219" s="52">
        <f t="shared" si="28"/>
        <v>0.872029649008066</v>
      </c>
      <c r="AB1219" s="12">
        <v>2400</v>
      </c>
      <c r="AC1219" s="12">
        <v>0</v>
      </c>
      <c r="AD1219" s="43"/>
      <c r="AE1219" s="43"/>
      <c r="AF1219" s="43"/>
      <c r="AG1219" s="43"/>
      <c r="AH1219" s="43"/>
      <c r="AI1219" s="43"/>
      <c r="AJ1219" s="43"/>
      <c r="AK1219" s="43"/>
      <c r="AL1219" s="43"/>
      <c r="AM1219" s="43"/>
      <c r="AN1219" s="43"/>
      <c r="AO1219" s="43"/>
      <c r="AP1219" s="43"/>
      <c r="AQ1219" s="43"/>
      <c r="AR1219" s="43"/>
      <c r="AS1219" s="43"/>
      <c r="AT1219" s="43"/>
      <c r="AU1219" s="43"/>
      <c r="AV1219" s="43"/>
    </row>
    <row r="1220" ht="15.75" spans="1:48">
      <c r="A1220" s="12">
        <v>1216</v>
      </c>
      <c r="B1220" s="44">
        <v>4335</v>
      </c>
      <c r="C1220" s="45" t="s">
        <v>154</v>
      </c>
      <c r="D1220" s="46"/>
      <c r="E1220" s="47" t="s">
        <v>113</v>
      </c>
      <c r="F1220" s="48">
        <v>1</v>
      </c>
      <c r="G1220" s="38">
        <v>0</v>
      </c>
      <c r="H1220" s="39"/>
      <c r="I1220" s="39"/>
      <c r="J1220" s="39"/>
      <c r="K1220" s="39"/>
      <c r="L1220" s="39"/>
      <c r="M1220" s="39"/>
      <c r="N1220" s="39"/>
      <c r="O1220" s="39"/>
      <c r="P1220" s="39"/>
      <c r="Q1220" s="39"/>
      <c r="R1220" s="39"/>
      <c r="S1220" s="39"/>
      <c r="T1220" s="39"/>
      <c r="U1220" s="39"/>
      <c r="V1220" s="39"/>
      <c r="W1220" s="39"/>
      <c r="X1220" s="49" t="s">
        <v>103</v>
      </c>
      <c r="Y1220" s="50">
        <v>840</v>
      </c>
      <c r="Z1220" s="51">
        <v>720</v>
      </c>
      <c r="AA1220" s="52">
        <f t="shared" si="28"/>
        <v>0.857142857142857</v>
      </c>
      <c r="AB1220" s="12">
        <v>720</v>
      </c>
      <c r="AC1220" s="12">
        <v>0</v>
      </c>
      <c r="AD1220" s="43"/>
      <c r="AE1220" s="43"/>
      <c r="AF1220" s="43"/>
      <c r="AG1220" s="43"/>
      <c r="AH1220" s="43"/>
      <c r="AI1220" s="43"/>
      <c r="AJ1220" s="43"/>
      <c r="AK1220" s="43"/>
      <c r="AL1220" s="43"/>
      <c r="AM1220" s="43"/>
      <c r="AN1220" s="43"/>
      <c r="AO1220" s="43"/>
      <c r="AP1220" s="43"/>
      <c r="AQ1220" s="43"/>
      <c r="AR1220" s="43"/>
      <c r="AS1220" s="43"/>
      <c r="AT1220" s="43"/>
      <c r="AU1220" s="43"/>
      <c r="AV1220" s="43"/>
    </row>
    <row r="1221" ht="15.75" spans="1:48">
      <c r="A1221" s="12">
        <v>1217</v>
      </c>
      <c r="B1221" s="44" t="s">
        <v>275</v>
      </c>
      <c r="C1221" s="45" t="s">
        <v>253</v>
      </c>
      <c r="D1221" s="46"/>
      <c r="E1221" s="47" t="s">
        <v>113</v>
      </c>
      <c r="F1221" s="48">
        <v>7</v>
      </c>
      <c r="G1221" s="38">
        <v>1</v>
      </c>
      <c r="H1221" s="39"/>
      <c r="I1221" s="39"/>
      <c r="J1221" s="39"/>
      <c r="K1221" s="39"/>
      <c r="L1221" s="39"/>
      <c r="M1221" s="39"/>
      <c r="N1221" s="39"/>
      <c r="O1221" s="39"/>
      <c r="P1221" s="39"/>
      <c r="Q1221" s="39">
        <v>1</v>
      </c>
      <c r="R1221" s="39"/>
      <c r="S1221" s="39"/>
      <c r="T1221" s="39"/>
      <c r="U1221" s="39"/>
      <c r="V1221" s="39"/>
      <c r="W1221" s="39"/>
      <c r="X1221" s="49" t="s">
        <v>105</v>
      </c>
      <c r="Y1221" s="50">
        <v>4620</v>
      </c>
      <c r="Z1221" s="51">
        <v>4213</v>
      </c>
      <c r="AA1221" s="52">
        <f t="shared" si="28"/>
        <v>0.911904761904762</v>
      </c>
      <c r="AB1221" s="12">
        <v>4213</v>
      </c>
      <c r="AC1221" s="12">
        <v>0</v>
      </c>
      <c r="AD1221" s="43"/>
      <c r="AE1221" s="43"/>
      <c r="AF1221" s="43"/>
      <c r="AG1221" s="43"/>
      <c r="AH1221" s="43"/>
      <c r="AI1221" s="43"/>
      <c r="AJ1221" s="43"/>
      <c r="AK1221" s="43"/>
      <c r="AL1221" s="43"/>
      <c r="AM1221" s="43"/>
      <c r="AN1221" s="43"/>
      <c r="AO1221" s="43"/>
      <c r="AP1221" s="43"/>
      <c r="AQ1221" s="43"/>
      <c r="AR1221" s="43"/>
      <c r="AS1221" s="43"/>
      <c r="AT1221" s="43"/>
      <c r="AU1221" s="43"/>
      <c r="AV1221" s="43"/>
    </row>
    <row r="1222" ht="15.75" spans="1:48">
      <c r="A1222" s="12">
        <v>1218</v>
      </c>
      <c r="B1222" s="44">
        <v>4110</v>
      </c>
      <c r="C1222" s="45" t="s">
        <v>135</v>
      </c>
      <c r="D1222" s="46"/>
      <c r="E1222" s="47" t="s">
        <v>113</v>
      </c>
      <c r="F1222" s="48">
        <v>3.17</v>
      </c>
      <c r="G1222" s="38">
        <v>0</v>
      </c>
      <c r="H1222" s="39"/>
      <c r="I1222" s="39"/>
      <c r="J1222" s="39"/>
      <c r="K1222" s="39"/>
      <c r="L1222" s="39"/>
      <c r="M1222" s="39"/>
      <c r="N1222" s="39"/>
      <c r="O1222" s="39"/>
      <c r="P1222" s="39"/>
      <c r="Q1222" s="39"/>
      <c r="R1222" s="39"/>
      <c r="S1222" s="39"/>
      <c r="T1222" s="39"/>
      <c r="U1222" s="39"/>
      <c r="V1222" s="39"/>
      <c r="W1222" s="39"/>
      <c r="X1222" s="49" t="s">
        <v>103</v>
      </c>
      <c r="Y1222" s="50">
        <v>2662.8</v>
      </c>
      <c r="Z1222" s="51">
        <v>2400</v>
      </c>
      <c r="AA1222" s="52">
        <f t="shared" si="28"/>
        <v>0.901306894997747</v>
      </c>
      <c r="AB1222" s="12">
        <v>2400</v>
      </c>
      <c r="AC1222" s="12">
        <v>0</v>
      </c>
      <c r="AD1222" s="43"/>
      <c r="AE1222" s="43"/>
      <c r="AF1222" s="43"/>
      <c r="AG1222" s="43"/>
      <c r="AH1222" s="43"/>
      <c r="AI1222" s="43"/>
      <c r="AJ1222" s="43"/>
      <c r="AK1222" s="43"/>
      <c r="AL1222" s="43"/>
      <c r="AM1222" s="43"/>
      <c r="AN1222" s="43"/>
      <c r="AO1222" s="43"/>
      <c r="AP1222" s="43"/>
      <c r="AQ1222" s="43"/>
      <c r="AR1222" s="43"/>
      <c r="AS1222" s="43"/>
      <c r="AT1222" s="43"/>
      <c r="AU1222" s="43"/>
      <c r="AV1222" s="43"/>
    </row>
    <row r="1223" ht="15.75" spans="1:48">
      <c r="A1223" s="12">
        <v>1219</v>
      </c>
      <c r="B1223" s="44">
        <v>1733</v>
      </c>
      <c r="C1223" s="45" t="s">
        <v>153</v>
      </c>
      <c r="D1223" s="46"/>
      <c r="E1223" s="47" t="s">
        <v>113</v>
      </c>
      <c r="F1223" s="48">
        <v>10.67</v>
      </c>
      <c r="G1223" s="38">
        <v>1.33</v>
      </c>
      <c r="H1223" s="39"/>
      <c r="I1223" s="39"/>
      <c r="J1223" s="39"/>
      <c r="K1223" s="39"/>
      <c r="L1223" s="39"/>
      <c r="M1223" s="39"/>
      <c r="N1223" s="39"/>
      <c r="O1223" s="39"/>
      <c r="P1223" s="39"/>
      <c r="Q1223" s="39">
        <v>1.33</v>
      </c>
      <c r="R1223" s="39"/>
      <c r="S1223" s="39"/>
      <c r="T1223" s="39"/>
      <c r="U1223" s="39"/>
      <c r="V1223" s="39"/>
      <c r="W1223" s="39"/>
      <c r="X1223" s="49" t="s">
        <v>105</v>
      </c>
      <c r="Y1223" s="50">
        <v>7042.2</v>
      </c>
      <c r="Z1223" s="51">
        <v>6869</v>
      </c>
      <c r="AA1223" s="52">
        <f t="shared" si="28"/>
        <v>0.975405413081139</v>
      </c>
      <c r="AB1223" s="12">
        <v>6869</v>
      </c>
      <c r="AC1223" s="12">
        <v>0</v>
      </c>
      <c r="AD1223" s="43"/>
      <c r="AE1223" s="43"/>
      <c r="AF1223" s="43"/>
      <c r="AG1223" s="43"/>
      <c r="AH1223" s="43"/>
      <c r="AI1223" s="43"/>
      <c r="AJ1223" s="43"/>
      <c r="AK1223" s="43"/>
      <c r="AL1223" s="43"/>
      <c r="AM1223" s="43"/>
      <c r="AN1223" s="43"/>
      <c r="AO1223" s="43"/>
      <c r="AP1223" s="43"/>
      <c r="AQ1223" s="43"/>
      <c r="AR1223" s="43"/>
      <c r="AS1223" s="43"/>
      <c r="AT1223" s="43"/>
      <c r="AU1223" s="43"/>
      <c r="AV1223" s="43"/>
    </row>
    <row r="1224" ht="15.75" spans="1:48">
      <c r="A1224" s="12">
        <v>1220</v>
      </c>
      <c r="B1224" s="44">
        <v>551</v>
      </c>
      <c r="C1224" s="45" t="s">
        <v>146</v>
      </c>
      <c r="D1224" s="46"/>
      <c r="E1224" s="47" t="s">
        <v>113</v>
      </c>
      <c r="F1224" s="48">
        <v>0.87</v>
      </c>
      <c r="G1224" s="38">
        <v>0</v>
      </c>
      <c r="H1224" s="39"/>
      <c r="I1224" s="39"/>
      <c r="J1224" s="39"/>
      <c r="K1224" s="39"/>
      <c r="L1224" s="39"/>
      <c r="M1224" s="39"/>
      <c r="N1224" s="39"/>
      <c r="O1224" s="39"/>
      <c r="P1224" s="39"/>
      <c r="Q1224" s="39"/>
      <c r="R1224" s="39"/>
      <c r="S1224" s="39"/>
      <c r="T1224" s="39"/>
      <c r="U1224" s="39"/>
      <c r="V1224" s="39"/>
      <c r="W1224" s="39"/>
      <c r="X1224" s="49" t="s">
        <v>105</v>
      </c>
      <c r="Y1224" s="50">
        <v>574.2</v>
      </c>
      <c r="Z1224" s="51">
        <v>577</v>
      </c>
      <c r="AA1224" s="52">
        <f t="shared" si="28"/>
        <v>1.00487634970394</v>
      </c>
      <c r="AB1224" s="12">
        <v>577</v>
      </c>
      <c r="AC1224" s="12">
        <v>0</v>
      </c>
      <c r="AD1224" s="43"/>
      <c r="AE1224" s="43"/>
      <c r="AF1224" s="43"/>
      <c r="AG1224" s="43"/>
      <c r="AH1224" s="43"/>
      <c r="AI1224" s="43"/>
      <c r="AJ1224" s="43"/>
      <c r="AK1224" s="43"/>
      <c r="AL1224" s="43"/>
      <c r="AM1224" s="43"/>
      <c r="AN1224" s="43"/>
      <c r="AO1224" s="43"/>
      <c r="AP1224" s="43"/>
      <c r="AQ1224" s="43"/>
      <c r="AR1224" s="43"/>
      <c r="AS1224" s="43"/>
      <c r="AT1224" s="43"/>
      <c r="AU1224" s="43"/>
      <c r="AV1224" s="43"/>
    </row>
    <row r="1225" ht="15.75" spans="1:48">
      <c r="A1225" s="12">
        <v>1221</v>
      </c>
      <c r="B1225" s="44">
        <v>551</v>
      </c>
      <c r="C1225" s="45" t="s">
        <v>146</v>
      </c>
      <c r="D1225" s="46"/>
      <c r="E1225" s="47" t="s">
        <v>113</v>
      </c>
      <c r="F1225" s="48">
        <v>1.3</v>
      </c>
      <c r="G1225" s="38">
        <v>0</v>
      </c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  <c r="S1225" s="39"/>
      <c r="T1225" s="39"/>
      <c r="U1225" s="39"/>
      <c r="V1225" s="39"/>
      <c r="W1225" s="39"/>
      <c r="X1225" s="49" t="s">
        <v>103</v>
      </c>
      <c r="Y1225" s="50">
        <v>1092</v>
      </c>
      <c r="Z1225" s="51">
        <v>1080</v>
      </c>
      <c r="AA1225" s="52">
        <f t="shared" si="28"/>
        <v>0.989010989010989</v>
      </c>
      <c r="AB1225" s="12">
        <v>1080</v>
      </c>
      <c r="AC1225" s="12">
        <v>0</v>
      </c>
      <c r="AD1225" s="43"/>
      <c r="AE1225" s="43"/>
      <c r="AF1225" s="43"/>
      <c r="AG1225" s="43"/>
      <c r="AH1225" s="43"/>
      <c r="AI1225" s="43"/>
      <c r="AJ1225" s="43"/>
      <c r="AK1225" s="43"/>
      <c r="AL1225" s="43"/>
      <c r="AM1225" s="43"/>
      <c r="AN1225" s="43"/>
      <c r="AO1225" s="43"/>
      <c r="AP1225" s="43"/>
      <c r="AQ1225" s="43"/>
      <c r="AR1225" s="43"/>
      <c r="AS1225" s="43"/>
      <c r="AT1225" s="43"/>
      <c r="AU1225" s="43"/>
      <c r="AV1225" s="43"/>
    </row>
    <row r="1226" ht="15.75" spans="1:48">
      <c r="A1226" s="12">
        <v>1222</v>
      </c>
      <c r="B1226" s="44">
        <v>947</v>
      </c>
      <c r="C1226" s="45" t="s">
        <v>143</v>
      </c>
      <c r="D1226" s="46"/>
      <c r="E1226" s="47" t="s">
        <v>113</v>
      </c>
      <c r="F1226" s="48">
        <v>5.5</v>
      </c>
      <c r="G1226" s="38">
        <v>0</v>
      </c>
      <c r="H1226" s="39"/>
      <c r="I1226" s="39"/>
      <c r="J1226" s="39"/>
      <c r="K1226" s="39"/>
      <c r="L1226" s="39"/>
      <c r="M1226" s="39"/>
      <c r="N1226" s="39"/>
      <c r="O1226" s="39"/>
      <c r="P1226" s="39"/>
      <c r="Q1226" s="39"/>
      <c r="R1226" s="39"/>
      <c r="S1226" s="39"/>
      <c r="T1226" s="39"/>
      <c r="U1226" s="39"/>
      <c r="V1226" s="39"/>
      <c r="W1226" s="39"/>
      <c r="X1226" s="49" t="s">
        <v>103</v>
      </c>
      <c r="Y1226" s="50">
        <v>4620</v>
      </c>
      <c r="Z1226" s="51">
        <v>4307</v>
      </c>
      <c r="AA1226" s="52">
        <f t="shared" si="28"/>
        <v>0.932251082251082</v>
      </c>
      <c r="AB1226" s="12">
        <v>4307</v>
      </c>
      <c r="AC1226" s="12">
        <v>0</v>
      </c>
      <c r="AD1226" s="43"/>
      <c r="AE1226" s="43"/>
      <c r="AF1226" s="43"/>
      <c r="AG1226" s="43"/>
      <c r="AH1226" s="43"/>
      <c r="AI1226" s="43"/>
      <c r="AJ1226" s="43"/>
      <c r="AK1226" s="43"/>
      <c r="AL1226" s="43"/>
      <c r="AM1226" s="43"/>
      <c r="AN1226" s="43"/>
      <c r="AO1226" s="43"/>
      <c r="AP1226" s="43"/>
      <c r="AQ1226" s="43"/>
      <c r="AR1226" s="43"/>
      <c r="AS1226" s="43"/>
      <c r="AT1226" s="43"/>
      <c r="AU1226" s="43"/>
      <c r="AV1226" s="43"/>
    </row>
    <row r="1227" ht="15.75" spans="1:48">
      <c r="A1227" s="12">
        <v>1223</v>
      </c>
      <c r="B1227" s="44">
        <v>2516</v>
      </c>
      <c r="C1227" s="45" t="s">
        <v>189</v>
      </c>
      <c r="D1227" s="46" t="s">
        <v>49</v>
      </c>
      <c r="E1227" s="47" t="s">
        <v>50</v>
      </c>
      <c r="F1227" s="48">
        <v>10.33</v>
      </c>
      <c r="G1227" s="38">
        <v>1.67</v>
      </c>
      <c r="H1227" s="39"/>
      <c r="I1227" s="39"/>
      <c r="J1227" s="39"/>
      <c r="K1227" s="39"/>
      <c r="L1227" s="39"/>
      <c r="M1227" s="39"/>
      <c r="N1227" s="39"/>
      <c r="O1227" s="39"/>
      <c r="P1227" s="39"/>
      <c r="Q1227" s="39">
        <v>1.17</v>
      </c>
      <c r="R1227" s="39"/>
      <c r="S1227" s="39"/>
      <c r="T1227" s="39"/>
      <c r="U1227" s="39">
        <v>0.5</v>
      </c>
      <c r="V1227" s="39"/>
      <c r="W1227" s="39"/>
      <c r="X1227" s="49" t="s">
        <v>278</v>
      </c>
      <c r="Y1227" s="50">
        <v>8264</v>
      </c>
      <c r="Z1227" s="51">
        <v>8300</v>
      </c>
      <c r="AA1227" s="52">
        <f t="shared" si="28"/>
        <v>1.00435624394966</v>
      </c>
      <c r="AB1227" s="12">
        <v>8279</v>
      </c>
      <c r="AC1227" s="12">
        <v>21</v>
      </c>
      <c r="AD1227" s="43"/>
      <c r="AE1227" s="43"/>
      <c r="AF1227" s="43"/>
      <c r="AG1227" s="43"/>
      <c r="AH1227" s="43"/>
      <c r="AI1227" s="43"/>
      <c r="AJ1227" s="43"/>
      <c r="AK1227" s="43"/>
      <c r="AL1227" s="43"/>
      <c r="AM1227" s="43"/>
      <c r="AN1227" s="19">
        <v>21</v>
      </c>
      <c r="AO1227" s="43"/>
      <c r="AP1227" s="43"/>
      <c r="AQ1227" s="43"/>
      <c r="AR1227" s="43"/>
      <c r="AS1227" s="43"/>
      <c r="AT1227" s="43"/>
      <c r="AU1227" s="43"/>
      <c r="AV1227" s="43"/>
    </row>
    <row r="1228" ht="15.75" spans="1:48">
      <c r="A1228" s="12">
        <v>1224</v>
      </c>
      <c r="B1228" s="44">
        <v>4031</v>
      </c>
      <c r="C1228" s="45" t="s">
        <v>64</v>
      </c>
      <c r="D1228" s="46" t="s">
        <v>53</v>
      </c>
      <c r="E1228" s="47" t="s">
        <v>50</v>
      </c>
      <c r="F1228" s="48">
        <v>10.33</v>
      </c>
      <c r="G1228" s="38">
        <v>1.67</v>
      </c>
      <c r="H1228" s="39"/>
      <c r="I1228" s="39"/>
      <c r="J1228" s="39"/>
      <c r="K1228" s="39">
        <v>0.33</v>
      </c>
      <c r="L1228" s="39"/>
      <c r="M1228" s="39"/>
      <c r="N1228" s="39"/>
      <c r="O1228" s="39"/>
      <c r="P1228" s="39"/>
      <c r="Q1228" s="39">
        <v>1.17</v>
      </c>
      <c r="R1228" s="39"/>
      <c r="S1228" s="39"/>
      <c r="T1228" s="39"/>
      <c r="U1228" s="39">
        <v>0.17</v>
      </c>
      <c r="V1228" s="39"/>
      <c r="W1228" s="39"/>
      <c r="X1228" s="49" t="s">
        <v>55</v>
      </c>
      <c r="Y1228" s="50">
        <v>24946.95</v>
      </c>
      <c r="Z1228" s="51">
        <v>25440</v>
      </c>
      <c r="AA1228" s="52">
        <f t="shared" si="28"/>
        <v>1.01976393907872</v>
      </c>
      <c r="AB1228" s="12">
        <v>25440</v>
      </c>
      <c r="AC1228" s="12">
        <v>0</v>
      </c>
      <c r="AD1228" s="43"/>
      <c r="AE1228" s="43"/>
      <c r="AF1228" s="43"/>
      <c r="AG1228" s="43"/>
      <c r="AH1228" s="43"/>
      <c r="AI1228" s="43"/>
      <c r="AJ1228" s="43"/>
      <c r="AK1228" s="43"/>
      <c r="AL1228" s="43"/>
      <c r="AM1228" s="43"/>
      <c r="AN1228" s="43"/>
      <c r="AO1228" s="43"/>
      <c r="AP1228" s="43"/>
      <c r="AQ1228" s="43"/>
      <c r="AR1228" s="43"/>
      <c r="AS1228" s="43"/>
      <c r="AT1228" s="43"/>
      <c r="AU1228" s="43"/>
      <c r="AV1228" s="43"/>
    </row>
    <row r="1229" ht="15.75" spans="1:48">
      <c r="A1229" s="12">
        <v>1225</v>
      </c>
      <c r="B1229" s="44">
        <v>3187</v>
      </c>
      <c r="C1229" s="45" t="s">
        <v>52</v>
      </c>
      <c r="D1229" s="46" t="s">
        <v>49</v>
      </c>
      <c r="E1229" s="47" t="s">
        <v>50</v>
      </c>
      <c r="F1229" s="48">
        <v>0.67</v>
      </c>
      <c r="G1229" s="38">
        <v>0</v>
      </c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  <c r="S1229" s="39"/>
      <c r="T1229" s="39"/>
      <c r="U1229" s="39"/>
      <c r="V1229" s="39"/>
      <c r="W1229" s="39"/>
      <c r="X1229" s="49" t="s">
        <v>190</v>
      </c>
      <c r="Y1229" s="50">
        <v>603</v>
      </c>
      <c r="Z1229" s="51">
        <v>688</v>
      </c>
      <c r="AA1229" s="52">
        <f t="shared" si="28"/>
        <v>1.14096185737977</v>
      </c>
      <c r="AB1229" s="12">
        <v>688</v>
      </c>
      <c r="AC1229" s="12">
        <v>0</v>
      </c>
      <c r="AD1229" s="43"/>
      <c r="AE1229" s="43"/>
      <c r="AF1229" s="43"/>
      <c r="AG1229" s="43"/>
      <c r="AH1229" s="43"/>
      <c r="AI1229" s="43"/>
      <c r="AJ1229" s="43"/>
      <c r="AK1229" s="43"/>
      <c r="AL1229" s="43"/>
      <c r="AM1229" s="43"/>
      <c r="AN1229" s="43"/>
      <c r="AO1229" s="43"/>
      <c r="AP1229" s="43"/>
      <c r="AQ1229" s="43"/>
      <c r="AR1229" s="43"/>
      <c r="AS1229" s="43"/>
      <c r="AT1229" s="43"/>
      <c r="AU1229" s="43"/>
      <c r="AV1229" s="43"/>
    </row>
    <row r="1230" ht="15.75" spans="1:48">
      <c r="A1230" s="12">
        <v>1226</v>
      </c>
      <c r="B1230" s="44">
        <v>3187</v>
      </c>
      <c r="C1230" s="45" t="s">
        <v>52</v>
      </c>
      <c r="D1230" s="46" t="s">
        <v>202</v>
      </c>
      <c r="E1230" s="47" t="s">
        <v>50</v>
      </c>
      <c r="F1230" s="48">
        <v>6.33</v>
      </c>
      <c r="G1230" s="38">
        <v>1</v>
      </c>
      <c r="H1230" s="39"/>
      <c r="I1230" s="39"/>
      <c r="J1230" s="39"/>
      <c r="K1230" s="39"/>
      <c r="L1230" s="39"/>
      <c r="M1230" s="39"/>
      <c r="N1230" s="39"/>
      <c r="O1230" s="39"/>
      <c r="P1230" s="39"/>
      <c r="Q1230" s="39">
        <v>0.83</v>
      </c>
      <c r="R1230" s="39"/>
      <c r="S1230" s="39"/>
      <c r="T1230" s="39"/>
      <c r="U1230" s="39">
        <v>0.17</v>
      </c>
      <c r="V1230" s="39"/>
      <c r="W1230" s="39"/>
      <c r="X1230" s="49" t="s">
        <v>51</v>
      </c>
      <c r="Y1230" s="50">
        <v>19654.65</v>
      </c>
      <c r="Z1230" s="51">
        <v>20280</v>
      </c>
      <c r="AA1230" s="52">
        <f t="shared" si="28"/>
        <v>1.03181689829124</v>
      </c>
      <c r="AB1230" s="12">
        <v>20280</v>
      </c>
      <c r="AC1230" s="12">
        <v>0</v>
      </c>
      <c r="AD1230" s="43"/>
      <c r="AE1230" s="43"/>
      <c r="AF1230" s="43"/>
      <c r="AG1230" s="43"/>
      <c r="AH1230" s="43"/>
      <c r="AI1230" s="43"/>
      <c r="AJ1230" s="43"/>
      <c r="AK1230" s="43"/>
      <c r="AL1230" s="43"/>
      <c r="AM1230" s="43"/>
      <c r="AN1230" s="43"/>
      <c r="AO1230" s="43"/>
      <c r="AP1230" s="43"/>
      <c r="AQ1230" s="43"/>
      <c r="AR1230" s="43"/>
      <c r="AS1230" s="43"/>
      <c r="AT1230" s="43"/>
      <c r="AU1230" s="43"/>
      <c r="AV1230" s="43"/>
    </row>
    <row r="1231" ht="15.75" spans="1:48">
      <c r="A1231" s="12">
        <v>1227</v>
      </c>
      <c r="B1231" s="44" t="s">
        <v>289</v>
      </c>
      <c r="C1231" s="45" t="e">
        <v>#N/A</v>
      </c>
      <c r="D1231" s="46">
        <v>10</v>
      </c>
      <c r="E1231" s="47" t="s">
        <v>50</v>
      </c>
      <c r="F1231" s="48">
        <v>10.67</v>
      </c>
      <c r="G1231" s="38">
        <v>1.34</v>
      </c>
      <c r="H1231" s="39"/>
      <c r="I1231" s="39"/>
      <c r="J1231" s="39"/>
      <c r="K1231" s="39"/>
      <c r="L1231" s="39"/>
      <c r="M1231" s="39"/>
      <c r="N1231" s="39"/>
      <c r="O1231" s="39"/>
      <c r="P1231" s="39"/>
      <c r="Q1231" s="39">
        <v>1.17</v>
      </c>
      <c r="R1231" s="39"/>
      <c r="S1231" s="39"/>
      <c r="T1231" s="39"/>
      <c r="U1231" s="39">
        <v>0.17</v>
      </c>
      <c r="V1231" s="39"/>
      <c r="W1231" s="39"/>
      <c r="X1231" s="49">
        <v>127</v>
      </c>
      <c r="Y1231" s="50">
        <v>5335</v>
      </c>
      <c r="Z1231" s="51">
        <v>4050</v>
      </c>
      <c r="AA1231" s="52">
        <f t="shared" si="28"/>
        <v>0.759137769447048</v>
      </c>
      <c r="AB1231" s="12">
        <v>4050</v>
      </c>
      <c r="AC1231" s="12">
        <v>0</v>
      </c>
      <c r="AD1231" s="43"/>
      <c r="AE1231" s="43"/>
      <c r="AF1231" s="43"/>
      <c r="AG1231" s="43"/>
      <c r="AH1231" s="43"/>
      <c r="AI1231" s="43"/>
      <c r="AJ1231" s="43"/>
      <c r="AK1231" s="43"/>
      <c r="AL1231" s="43"/>
      <c r="AM1231" s="43"/>
      <c r="AN1231" s="43"/>
      <c r="AO1231" s="43"/>
      <c r="AP1231" s="43"/>
      <c r="AQ1231" s="43"/>
      <c r="AR1231" s="43"/>
      <c r="AS1231" s="43"/>
      <c r="AT1231" s="43"/>
      <c r="AU1231" s="43"/>
      <c r="AV1231" s="43"/>
    </row>
    <row r="1232" ht="15.75" spans="1:48">
      <c r="A1232" s="12">
        <v>1228</v>
      </c>
      <c r="B1232" s="44" t="s">
        <v>290</v>
      </c>
      <c r="C1232" s="45" t="e">
        <v>#N/A</v>
      </c>
      <c r="D1232" s="46">
        <v>11</v>
      </c>
      <c r="E1232" s="47" t="s">
        <v>50</v>
      </c>
      <c r="F1232" s="48">
        <v>10.33</v>
      </c>
      <c r="G1232" s="38">
        <v>1.67</v>
      </c>
      <c r="H1232" s="39"/>
      <c r="I1232" s="39"/>
      <c r="J1232" s="39"/>
      <c r="K1232" s="39">
        <v>0.33</v>
      </c>
      <c r="L1232" s="39"/>
      <c r="M1232" s="39"/>
      <c r="N1232" s="39"/>
      <c r="O1232" s="39"/>
      <c r="P1232" s="39"/>
      <c r="Q1232" s="39">
        <v>1.17</v>
      </c>
      <c r="R1232" s="39"/>
      <c r="S1232" s="39"/>
      <c r="T1232" s="39"/>
      <c r="U1232" s="39">
        <v>0.17</v>
      </c>
      <c r="V1232" s="39"/>
      <c r="W1232" s="39"/>
      <c r="X1232" s="49" t="s">
        <v>69</v>
      </c>
      <c r="Y1232" s="50">
        <v>5268.3</v>
      </c>
      <c r="Z1232" s="51">
        <v>4860</v>
      </c>
      <c r="AA1232" s="52">
        <f t="shared" si="28"/>
        <v>0.922498718751779</v>
      </c>
      <c r="AB1232" s="12">
        <v>4860</v>
      </c>
      <c r="AC1232" s="12">
        <v>0</v>
      </c>
      <c r="AD1232" s="43"/>
      <c r="AE1232" s="43"/>
      <c r="AF1232" s="43"/>
      <c r="AG1232" s="43"/>
      <c r="AH1232" s="43"/>
      <c r="AI1232" s="43"/>
      <c r="AJ1232" s="43"/>
      <c r="AK1232" s="43"/>
      <c r="AL1232" s="43"/>
      <c r="AM1232" s="43"/>
      <c r="AN1232" s="43"/>
      <c r="AO1232" s="43"/>
      <c r="AP1232" s="43"/>
      <c r="AQ1232" s="43"/>
      <c r="AR1232" s="43"/>
      <c r="AS1232" s="43"/>
      <c r="AT1232" s="43"/>
      <c r="AU1232" s="43"/>
      <c r="AV1232" s="43"/>
    </row>
    <row r="1233" ht="15.75" spans="1:48">
      <c r="A1233" s="12">
        <v>1229</v>
      </c>
      <c r="B1233" s="44">
        <v>3526</v>
      </c>
      <c r="C1233" s="45" t="s">
        <v>65</v>
      </c>
      <c r="D1233" s="46"/>
      <c r="E1233" s="47" t="s">
        <v>50</v>
      </c>
      <c r="F1233" s="48">
        <v>10.83</v>
      </c>
      <c r="G1233" s="38">
        <v>1.17</v>
      </c>
      <c r="H1233" s="39"/>
      <c r="I1233" s="39"/>
      <c r="J1233" s="39"/>
      <c r="K1233" s="39"/>
      <c r="L1233" s="39"/>
      <c r="M1233" s="39"/>
      <c r="N1233" s="39"/>
      <c r="O1233" s="39"/>
      <c r="P1233" s="39"/>
      <c r="Q1233" s="39">
        <v>1.17</v>
      </c>
      <c r="R1233" s="39"/>
      <c r="S1233" s="39"/>
      <c r="T1233" s="39"/>
      <c r="U1233" s="39"/>
      <c r="V1233" s="39"/>
      <c r="W1233" s="39"/>
      <c r="X1233" s="49" t="s">
        <v>191</v>
      </c>
      <c r="Y1233" s="50">
        <v>3628.05</v>
      </c>
      <c r="Z1233" s="51">
        <v>3400</v>
      </c>
      <c r="AA1233" s="52">
        <f t="shared" si="28"/>
        <v>0.937142542136961</v>
      </c>
      <c r="AB1233" s="12">
        <v>3400</v>
      </c>
      <c r="AC1233" s="12">
        <v>0</v>
      </c>
      <c r="AD1233" s="43"/>
      <c r="AE1233" s="43"/>
      <c r="AF1233" s="43"/>
      <c r="AG1233" s="43"/>
      <c r="AH1233" s="43"/>
      <c r="AI1233" s="43"/>
      <c r="AJ1233" s="43"/>
      <c r="AK1233" s="43"/>
      <c r="AL1233" s="43"/>
      <c r="AM1233" s="43"/>
      <c r="AN1233" s="43"/>
      <c r="AO1233" s="43"/>
      <c r="AP1233" s="43"/>
      <c r="AQ1233" s="43"/>
      <c r="AR1233" s="43"/>
      <c r="AS1233" s="43"/>
      <c r="AT1233" s="43"/>
      <c r="AU1233" s="43"/>
      <c r="AV1233" s="43"/>
    </row>
    <row r="1234" ht="15.75" spans="1:48">
      <c r="A1234" s="12">
        <v>1230</v>
      </c>
      <c r="B1234" s="44">
        <v>3352</v>
      </c>
      <c r="C1234" s="45" t="s">
        <v>66</v>
      </c>
      <c r="D1234" s="46"/>
      <c r="E1234" s="47" t="s">
        <v>50</v>
      </c>
      <c r="F1234" s="48">
        <v>10.83</v>
      </c>
      <c r="G1234" s="38">
        <v>1.17</v>
      </c>
      <c r="H1234" s="39"/>
      <c r="I1234" s="39"/>
      <c r="J1234" s="39"/>
      <c r="K1234" s="39"/>
      <c r="L1234" s="39"/>
      <c r="M1234" s="39"/>
      <c r="N1234" s="39"/>
      <c r="O1234" s="39"/>
      <c r="P1234" s="39"/>
      <c r="Q1234" s="39">
        <v>1.17</v>
      </c>
      <c r="R1234" s="39"/>
      <c r="S1234" s="39"/>
      <c r="T1234" s="39"/>
      <c r="U1234" s="39"/>
      <c r="V1234" s="39"/>
      <c r="W1234" s="39"/>
      <c r="X1234" s="49" t="s">
        <v>67</v>
      </c>
      <c r="Y1234" s="50">
        <v>2707.5</v>
      </c>
      <c r="Z1234" s="51">
        <v>2600</v>
      </c>
      <c r="AA1234" s="52">
        <f t="shared" si="28"/>
        <v>0.960295475530933</v>
      </c>
      <c r="AB1234" s="12">
        <v>2600</v>
      </c>
      <c r="AC1234" s="12">
        <v>0</v>
      </c>
      <c r="AD1234" s="43"/>
      <c r="AE1234" s="43"/>
      <c r="AF1234" s="43"/>
      <c r="AG1234" s="43"/>
      <c r="AH1234" s="43"/>
      <c r="AI1234" s="43"/>
      <c r="AJ1234" s="43"/>
      <c r="AK1234" s="43"/>
      <c r="AL1234" s="43"/>
      <c r="AM1234" s="43"/>
      <c r="AN1234" s="43"/>
      <c r="AO1234" s="43"/>
      <c r="AP1234" s="43"/>
      <c r="AQ1234" s="43"/>
      <c r="AR1234" s="43"/>
      <c r="AS1234" s="43"/>
      <c r="AT1234" s="43"/>
      <c r="AU1234" s="43"/>
      <c r="AV1234" s="43"/>
    </row>
    <row r="1235" ht="15.75" spans="1:48">
      <c r="A1235" s="12">
        <v>1231</v>
      </c>
      <c r="B1235" s="61" t="s">
        <v>299</v>
      </c>
      <c r="C1235" s="62" t="s">
        <v>300</v>
      </c>
      <c r="D1235" s="46">
        <v>12</v>
      </c>
      <c r="E1235" s="47" t="s">
        <v>50</v>
      </c>
      <c r="F1235" s="48">
        <v>6.5</v>
      </c>
      <c r="G1235" s="38">
        <v>1.5</v>
      </c>
      <c r="H1235" s="39"/>
      <c r="I1235" s="39"/>
      <c r="J1235" s="39"/>
      <c r="K1235" s="39"/>
      <c r="L1235" s="39"/>
      <c r="M1235" s="39"/>
      <c r="N1235" s="39"/>
      <c r="O1235" s="39"/>
      <c r="P1235" s="39"/>
      <c r="Q1235" s="39">
        <v>0.83</v>
      </c>
      <c r="R1235" s="39"/>
      <c r="S1235" s="39"/>
      <c r="T1235" s="39">
        <v>0.17</v>
      </c>
      <c r="U1235" s="39"/>
      <c r="V1235" s="39"/>
      <c r="W1235" s="39">
        <v>0.5</v>
      </c>
      <c r="X1235" s="49" t="s">
        <v>194</v>
      </c>
      <c r="Y1235" s="50">
        <v>2177.5</v>
      </c>
      <c r="Z1235" s="51">
        <v>1200</v>
      </c>
      <c r="AA1235" s="52">
        <f t="shared" si="28"/>
        <v>0.551090700344432</v>
      </c>
      <c r="AB1235" s="12">
        <v>1113</v>
      </c>
      <c r="AC1235" s="12">
        <v>87</v>
      </c>
      <c r="AD1235" s="19">
        <v>87</v>
      </c>
      <c r="AE1235" s="43"/>
      <c r="AF1235" s="43"/>
      <c r="AG1235" s="43"/>
      <c r="AH1235" s="43"/>
      <c r="AI1235" s="43"/>
      <c r="AJ1235" s="43"/>
      <c r="AK1235" s="43"/>
      <c r="AL1235" s="43"/>
      <c r="AM1235" s="43"/>
      <c r="AN1235" s="43"/>
      <c r="AO1235" s="43"/>
      <c r="AP1235" s="43"/>
      <c r="AQ1235" s="43"/>
      <c r="AR1235" s="43"/>
      <c r="AS1235" s="43"/>
      <c r="AT1235" s="43"/>
      <c r="AU1235" s="43"/>
      <c r="AV1235" s="43"/>
    </row>
    <row r="1236" ht="15.75" spans="1:48">
      <c r="A1236" s="12">
        <v>1232</v>
      </c>
      <c r="B1236" s="61" t="s">
        <v>302</v>
      </c>
      <c r="C1236" s="62" t="s">
        <v>303</v>
      </c>
      <c r="D1236" s="46">
        <v>12</v>
      </c>
      <c r="E1236" s="47" t="s">
        <v>50</v>
      </c>
      <c r="F1236" s="48">
        <v>6.5</v>
      </c>
      <c r="G1236" s="38">
        <v>1.5</v>
      </c>
      <c r="H1236" s="39"/>
      <c r="I1236" s="39"/>
      <c r="J1236" s="39"/>
      <c r="K1236" s="39"/>
      <c r="L1236" s="39"/>
      <c r="M1236" s="39"/>
      <c r="N1236" s="39"/>
      <c r="O1236" s="39"/>
      <c r="P1236" s="39"/>
      <c r="Q1236" s="39">
        <v>0.83</v>
      </c>
      <c r="R1236" s="39"/>
      <c r="S1236" s="39"/>
      <c r="T1236" s="39"/>
      <c r="U1236" s="39">
        <v>0.17</v>
      </c>
      <c r="V1236" s="39"/>
      <c r="W1236" s="39">
        <v>0.5</v>
      </c>
      <c r="X1236" s="49" t="s">
        <v>194</v>
      </c>
      <c r="Y1236" s="50">
        <v>2177.5</v>
      </c>
      <c r="Z1236" s="51">
        <v>1200</v>
      </c>
      <c r="AA1236" s="52">
        <f t="shared" si="28"/>
        <v>0.551090700344432</v>
      </c>
      <c r="AB1236" s="12">
        <v>1200</v>
      </c>
      <c r="AC1236" s="12">
        <v>0</v>
      </c>
      <c r="AD1236" s="43"/>
      <c r="AE1236" s="43"/>
      <c r="AF1236" s="43"/>
      <c r="AG1236" s="43"/>
      <c r="AH1236" s="43"/>
      <c r="AI1236" s="43"/>
      <c r="AJ1236" s="43"/>
      <c r="AK1236" s="43"/>
      <c r="AL1236" s="43"/>
      <c r="AM1236" s="43"/>
      <c r="AN1236" s="43"/>
      <c r="AO1236" s="43"/>
      <c r="AP1236" s="43"/>
      <c r="AQ1236" s="43"/>
      <c r="AR1236" s="43"/>
      <c r="AS1236" s="43"/>
      <c r="AT1236" s="43"/>
      <c r="AU1236" s="43"/>
      <c r="AV1236" s="43"/>
    </row>
    <row r="1237" ht="15.75" spans="1:48">
      <c r="A1237" s="12">
        <v>1233</v>
      </c>
      <c r="B1237" s="44">
        <v>3353</v>
      </c>
      <c r="C1237" s="45" t="s">
        <v>48</v>
      </c>
      <c r="D1237" s="46"/>
      <c r="E1237" s="47" t="s">
        <v>50</v>
      </c>
      <c r="F1237" s="48">
        <v>5.83</v>
      </c>
      <c r="G1237" s="38">
        <v>2.67</v>
      </c>
      <c r="H1237" s="39"/>
      <c r="I1237" s="39"/>
      <c r="J1237" s="39"/>
      <c r="K1237" s="39"/>
      <c r="L1237" s="39"/>
      <c r="M1237" s="39"/>
      <c r="N1237" s="39"/>
      <c r="O1237" s="39"/>
      <c r="P1237" s="39"/>
      <c r="Q1237" s="39">
        <v>1.17</v>
      </c>
      <c r="R1237" s="39"/>
      <c r="S1237" s="39">
        <v>1.5</v>
      </c>
      <c r="T1237" s="39"/>
      <c r="U1237" s="39"/>
      <c r="V1237" s="39"/>
      <c r="W1237" s="39"/>
      <c r="X1237" s="49" t="s">
        <v>291</v>
      </c>
      <c r="Y1237" s="50">
        <v>5305.3</v>
      </c>
      <c r="Z1237" s="51">
        <v>5400</v>
      </c>
      <c r="AA1237" s="52">
        <f t="shared" si="28"/>
        <v>1.01785007445385</v>
      </c>
      <c r="AB1237" s="12">
        <v>5400</v>
      </c>
      <c r="AC1237" s="12">
        <v>0</v>
      </c>
      <c r="AD1237" s="43"/>
      <c r="AE1237" s="43"/>
      <c r="AF1237" s="43"/>
      <c r="AG1237" s="43"/>
      <c r="AH1237" s="43"/>
      <c r="AI1237" s="43"/>
      <c r="AJ1237" s="43"/>
      <c r="AK1237" s="43"/>
      <c r="AL1237" s="43"/>
      <c r="AM1237" s="43"/>
      <c r="AN1237" s="43"/>
      <c r="AO1237" s="43"/>
      <c r="AP1237" s="43"/>
      <c r="AQ1237" s="43"/>
      <c r="AR1237" s="43"/>
      <c r="AS1237" s="43"/>
      <c r="AT1237" s="43"/>
      <c r="AU1237" s="43"/>
      <c r="AV1237" s="43"/>
    </row>
    <row r="1238" ht="15.75" spans="1:48">
      <c r="A1238" s="12">
        <v>1234</v>
      </c>
      <c r="B1238" s="44">
        <v>3353</v>
      </c>
      <c r="C1238" s="45" t="s">
        <v>48</v>
      </c>
      <c r="D1238" s="46"/>
      <c r="E1238" s="47" t="s">
        <v>50</v>
      </c>
      <c r="F1238" s="48">
        <v>3.5</v>
      </c>
      <c r="G1238" s="38">
        <v>0</v>
      </c>
      <c r="H1238" s="39"/>
      <c r="I1238" s="39"/>
      <c r="J1238" s="39"/>
      <c r="K1238" s="39"/>
      <c r="L1238" s="39"/>
      <c r="M1238" s="39"/>
      <c r="N1238" s="39"/>
      <c r="O1238" s="39"/>
      <c r="P1238" s="39"/>
      <c r="Q1238" s="39"/>
      <c r="R1238" s="39"/>
      <c r="S1238" s="39"/>
      <c r="T1238" s="39"/>
      <c r="U1238" s="39"/>
      <c r="V1238" s="39"/>
      <c r="W1238" s="39"/>
      <c r="X1238" s="49" t="s">
        <v>306</v>
      </c>
      <c r="Y1238" s="50">
        <v>0</v>
      </c>
      <c r="Z1238" s="51"/>
      <c r="AA1238" s="52">
        <f t="shared" si="28"/>
        <v>0</v>
      </c>
      <c r="AB1238" s="12">
        <v>0</v>
      </c>
      <c r="AC1238" s="12">
        <v>0</v>
      </c>
      <c r="AD1238" s="43"/>
      <c r="AE1238" s="43"/>
      <c r="AF1238" s="43"/>
      <c r="AG1238" s="43"/>
      <c r="AH1238" s="43"/>
      <c r="AI1238" s="43"/>
      <c r="AJ1238" s="43"/>
      <c r="AK1238" s="43"/>
      <c r="AL1238" s="43"/>
      <c r="AM1238" s="43"/>
      <c r="AN1238" s="43"/>
      <c r="AO1238" s="43"/>
      <c r="AP1238" s="43"/>
      <c r="AQ1238" s="43"/>
      <c r="AR1238" s="43"/>
      <c r="AS1238" s="43"/>
      <c r="AT1238" s="43"/>
      <c r="AU1238" s="43"/>
      <c r="AV1238" s="43"/>
    </row>
    <row r="1239" ht="15.75" spans="1:48">
      <c r="A1239" s="12">
        <v>1235</v>
      </c>
      <c r="B1239" s="44">
        <v>2284</v>
      </c>
      <c r="C1239" s="45" t="s">
        <v>59</v>
      </c>
      <c r="D1239" s="46"/>
      <c r="E1239" s="47" t="s">
        <v>50</v>
      </c>
      <c r="F1239" s="48">
        <v>1</v>
      </c>
      <c r="G1239" s="38">
        <v>0</v>
      </c>
      <c r="H1239" s="39"/>
      <c r="I1239" s="39"/>
      <c r="J1239" s="39"/>
      <c r="K1239" s="39"/>
      <c r="L1239" s="39"/>
      <c r="M1239" s="39"/>
      <c r="N1239" s="39"/>
      <c r="O1239" s="39"/>
      <c r="P1239" s="39"/>
      <c r="Q1239" s="39"/>
      <c r="R1239" s="39"/>
      <c r="S1239" s="39"/>
      <c r="T1239" s="39"/>
      <c r="U1239" s="39"/>
      <c r="V1239" s="39"/>
      <c r="W1239" s="39"/>
      <c r="X1239" s="49">
        <v>7236</v>
      </c>
      <c r="Y1239" s="50">
        <v>690</v>
      </c>
      <c r="Z1239" s="51">
        <v>688</v>
      </c>
      <c r="AA1239" s="52">
        <f t="shared" si="28"/>
        <v>0.997101449275362</v>
      </c>
      <c r="AB1239" s="12">
        <v>688</v>
      </c>
      <c r="AC1239" s="12">
        <v>0</v>
      </c>
      <c r="AD1239" s="43"/>
      <c r="AE1239" s="43"/>
      <c r="AF1239" s="43"/>
      <c r="AG1239" s="43"/>
      <c r="AH1239" s="43"/>
      <c r="AI1239" s="43"/>
      <c r="AJ1239" s="43"/>
      <c r="AK1239" s="43"/>
      <c r="AL1239" s="43"/>
      <c r="AM1239" s="43"/>
      <c r="AN1239" s="43"/>
      <c r="AO1239" s="43"/>
      <c r="AP1239" s="43"/>
      <c r="AQ1239" s="43"/>
      <c r="AR1239" s="43"/>
      <c r="AS1239" s="43"/>
      <c r="AT1239" s="43"/>
      <c r="AU1239" s="43"/>
      <c r="AV1239" s="43"/>
    </row>
    <row r="1240" ht="15.75" spans="1:48">
      <c r="A1240" s="12">
        <v>1236</v>
      </c>
      <c r="B1240" s="44">
        <v>2284</v>
      </c>
      <c r="C1240" s="45" t="s">
        <v>59</v>
      </c>
      <c r="D1240" s="46"/>
      <c r="E1240" s="47" t="s">
        <v>50</v>
      </c>
      <c r="F1240" s="48">
        <v>0.0833333333333333</v>
      </c>
      <c r="G1240" s="38">
        <v>0</v>
      </c>
      <c r="H1240" s="39"/>
      <c r="I1240" s="39"/>
      <c r="J1240" s="39"/>
      <c r="K1240" s="39"/>
      <c r="L1240" s="39"/>
      <c r="M1240" s="39"/>
      <c r="N1240" s="39"/>
      <c r="O1240" s="39"/>
      <c r="P1240" s="39"/>
      <c r="Q1240" s="39"/>
      <c r="R1240" s="39"/>
      <c r="S1240" s="39"/>
      <c r="T1240" s="39"/>
      <c r="U1240" s="39"/>
      <c r="V1240" s="39"/>
      <c r="W1240" s="39"/>
      <c r="X1240" s="49" t="s">
        <v>307</v>
      </c>
      <c r="Y1240" s="50">
        <v>45.8333333333333</v>
      </c>
      <c r="Z1240" s="51">
        <v>62</v>
      </c>
      <c r="AA1240" s="52">
        <f t="shared" si="28"/>
        <v>1.35272727272727</v>
      </c>
      <c r="AB1240" s="12">
        <v>62</v>
      </c>
      <c r="AC1240" s="12">
        <v>0</v>
      </c>
      <c r="AD1240" s="43"/>
      <c r="AE1240" s="43"/>
      <c r="AF1240" s="43"/>
      <c r="AG1240" s="43"/>
      <c r="AH1240" s="43"/>
      <c r="AI1240" s="43"/>
      <c r="AJ1240" s="43"/>
      <c r="AK1240" s="43"/>
      <c r="AL1240" s="43"/>
      <c r="AM1240" s="43"/>
      <c r="AN1240" s="43"/>
      <c r="AO1240" s="43"/>
      <c r="AP1240" s="43"/>
      <c r="AQ1240" s="43"/>
      <c r="AR1240" s="43"/>
      <c r="AS1240" s="43"/>
      <c r="AT1240" s="43"/>
      <c r="AU1240" s="43"/>
      <c r="AV1240" s="43"/>
    </row>
    <row r="1241" ht="15.75" spans="1:48">
      <c r="A1241" s="12">
        <v>1237</v>
      </c>
      <c r="B1241" s="44">
        <v>2284</v>
      </c>
      <c r="C1241" s="45" t="s">
        <v>59</v>
      </c>
      <c r="D1241" s="46"/>
      <c r="E1241" s="47" t="s">
        <v>50</v>
      </c>
      <c r="F1241" s="48">
        <v>1.17</v>
      </c>
      <c r="G1241" s="38">
        <v>0</v>
      </c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  <c r="S1241" s="39"/>
      <c r="T1241" s="39"/>
      <c r="U1241" s="39"/>
      <c r="V1241" s="39"/>
      <c r="W1241" s="39"/>
      <c r="X1241" s="49">
        <v>2168</v>
      </c>
      <c r="Y1241" s="50">
        <v>702</v>
      </c>
      <c r="Z1241" s="51">
        <v>727</v>
      </c>
      <c r="AA1241" s="52">
        <f t="shared" si="28"/>
        <v>1.03561253561254</v>
      </c>
      <c r="AB1241" s="12">
        <v>727</v>
      </c>
      <c r="AC1241" s="12">
        <v>0</v>
      </c>
      <c r="AD1241" s="43"/>
      <c r="AE1241" s="43"/>
      <c r="AF1241" s="43"/>
      <c r="AG1241" s="43"/>
      <c r="AH1241" s="43"/>
      <c r="AI1241" s="43"/>
      <c r="AJ1241" s="43"/>
      <c r="AK1241" s="43"/>
      <c r="AL1241" s="43"/>
      <c r="AM1241" s="43"/>
      <c r="AN1241" s="43"/>
      <c r="AO1241" s="43"/>
      <c r="AP1241" s="43"/>
      <c r="AQ1241" s="43"/>
      <c r="AR1241" s="43"/>
      <c r="AS1241" s="43"/>
      <c r="AT1241" s="43"/>
      <c r="AU1241" s="43"/>
      <c r="AV1241" s="43"/>
    </row>
    <row r="1242" ht="15.75" spans="1:48">
      <c r="A1242" s="12">
        <v>1238</v>
      </c>
      <c r="B1242" s="44">
        <v>2284</v>
      </c>
      <c r="C1242" s="45" t="s">
        <v>59</v>
      </c>
      <c r="D1242" s="46"/>
      <c r="E1242" s="47" t="s">
        <v>50</v>
      </c>
      <c r="F1242" s="48">
        <v>8.58333333333333</v>
      </c>
      <c r="G1242" s="38">
        <v>1.17</v>
      </c>
      <c r="H1242" s="39"/>
      <c r="I1242" s="39"/>
      <c r="J1242" s="39"/>
      <c r="K1242" s="39"/>
      <c r="L1242" s="39"/>
      <c r="M1242" s="39"/>
      <c r="N1242" s="39"/>
      <c r="O1242" s="39"/>
      <c r="P1242" s="39"/>
      <c r="Q1242" s="39">
        <v>1.17</v>
      </c>
      <c r="R1242" s="39"/>
      <c r="S1242" s="39"/>
      <c r="T1242" s="39"/>
      <c r="U1242" s="39"/>
      <c r="V1242" s="39"/>
      <c r="W1242" s="39"/>
      <c r="X1242" s="49" t="s">
        <v>140</v>
      </c>
      <c r="Y1242" s="50">
        <v>0</v>
      </c>
      <c r="Z1242" s="51"/>
      <c r="AA1242" s="52">
        <f t="shared" si="28"/>
        <v>0</v>
      </c>
      <c r="AB1242" s="12">
        <v>0</v>
      </c>
      <c r="AC1242" s="12">
        <v>0</v>
      </c>
      <c r="AD1242" s="43"/>
      <c r="AE1242" s="43"/>
      <c r="AF1242" s="43"/>
      <c r="AG1242" s="43"/>
      <c r="AH1242" s="43"/>
      <c r="AI1242" s="43"/>
      <c r="AJ1242" s="43"/>
      <c r="AK1242" s="43"/>
      <c r="AL1242" s="43"/>
      <c r="AM1242" s="43"/>
      <c r="AN1242" s="43"/>
      <c r="AO1242" s="43"/>
      <c r="AP1242" s="43"/>
      <c r="AQ1242" s="43"/>
      <c r="AR1242" s="43"/>
      <c r="AS1242" s="43"/>
      <c r="AT1242" s="43"/>
      <c r="AU1242" s="43"/>
      <c r="AV1242" s="43"/>
    </row>
    <row r="1243" ht="15.75" spans="1:48">
      <c r="A1243" s="12">
        <v>1239</v>
      </c>
      <c r="B1243" s="44">
        <v>4185</v>
      </c>
      <c r="C1243" s="45" t="s">
        <v>72</v>
      </c>
      <c r="D1243" s="46" t="s">
        <v>78</v>
      </c>
      <c r="E1243" s="47" t="s">
        <v>50</v>
      </c>
      <c r="F1243" s="48">
        <v>10.5</v>
      </c>
      <c r="G1243" s="38">
        <v>1.5</v>
      </c>
      <c r="H1243" s="39"/>
      <c r="I1243" s="39"/>
      <c r="J1243" s="39"/>
      <c r="K1243" s="39"/>
      <c r="L1243" s="39"/>
      <c r="M1243" s="39"/>
      <c r="N1243" s="39"/>
      <c r="O1243" s="39"/>
      <c r="P1243" s="39"/>
      <c r="Q1243" s="39">
        <v>1.17</v>
      </c>
      <c r="R1243" s="39"/>
      <c r="S1243" s="39"/>
      <c r="T1243" s="39"/>
      <c r="U1243" s="39">
        <v>0.33</v>
      </c>
      <c r="V1243" s="39"/>
      <c r="W1243" s="39"/>
      <c r="X1243" s="49" t="s">
        <v>79</v>
      </c>
      <c r="Y1243" s="50">
        <v>69930</v>
      </c>
      <c r="Z1243" s="51">
        <v>60440</v>
      </c>
      <c r="AA1243" s="52">
        <f t="shared" si="28"/>
        <v>0.864292864292864</v>
      </c>
      <c r="AB1243" s="12">
        <v>60320</v>
      </c>
      <c r="AC1243" s="12">
        <v>120</v>
      </c>
      <c r="AD1243" s="43"/>
      <c r="AE1243" s="43"/>
      <c r="AF1243" s="43"/>
      <c r="AG1243" s="19">
        <v>120</v>
      </c>
      <c r="AH1243" s="43"/>
      <c r="AI1243" s="43"/>
      <c r="AJ1243" s="43"/>
      <c r="AK1243" s="43"/>
      <c r="AL1243" s="43"/>
      <c r="AM1243" s="43"/>
      <c r="AN1243" s="43"/>
      <c r="AO1243" s="43"/>
      <c r="AP1243" s="43"/>
      <c r="AQ1243" s="43"/>
      <c r="AR1243" s="43"/>
      <c r="AS1243" s="43"/>
      <c r="AT1243" s="43"/>
      <c r="AU1243" s="43"/>
      <c r="AV1243" s="43"/>
    </row>
    <row r="1244" ht="15.75" spans="1:48">
      <c r="A1244" s="12">
        <v>1240</v>
      </c>
      <c r="B1244" s="44">
        <v>4185</v>
      </c>
      <c r="C1244" s="45" t="s">
        <v>72</v>
      </c>
      <c r="D1244" s="46" t="s">
        <v>207</v>
      </c>
      <c r="E1244" s="47" t="s">
        <v>50</v>
      </c>
      <c r="F1244" s="48">
        <v>10.17</v>
      </c>
      <c r="G1244" s="38">
        <v>1.83</v>
      </c>
      <c r="H1244" s="39"/>
      <c r="I1244" s="39"/>
      <c r="J1244" s="39"/>
      <c r="K1244" s="39">
        <v>0.33</v>
      </c>
      <c r="L1244" s="39"/>
      <c r="M1244" s="39"/>
      <c r="N1244" s="39"/>
      <c r="O1244" s="39"/>
      <c r="P1244" s="39"/>
      <c r="Q1244" s="39">
        <v>1.17</v>
      </c>
      <c r="R1244" s="39"/>
      <c r="S1244" s="39"/>
      <c r="T1244" s="39"/>
      <c r="U1244" s="39">
        <v>0.33</v>
      </c>
      <c r="V1244" s="39"/>
      <c r="W1244" s="39"/>
      <c r="X1244" s="49" t="s">
        <v>79</v>
      </c>
      <c r="Y1244" s="50">
        <v>67732.2</v>
      </c>
      <c r="Z1244" s="51">
        <v>58560</v>
      </c>
      <c r="AA1244" s="52">
        <f t="shared" si="28"/>
        <v>0.864581395554847</v>
      </c>
      <c r="AB1244" s="12">
        <v>58480</v>
      </c>
      <c r="AC1244" s="12">
        <v>80</v>
      </c>
      <c r="AD1244" s="43"/>
      <c r="AE1244" s="43"/>
      <c r="AF1244" s="43"/>
      <c r="AG1244" s="19">
        <v>80</v>
      </c>
      <c r="AH1244" s="43"/>
      <c r="AI1244" s="43"/>
      <c r="AJ1244" s="43"/>
      <c r="AK1244" s="43"/>
      <c r="AL1244" s="43"/>
      <c r="AM1244" s="43"/>
      <c r="AN1244" s="43"/>
      <c r="AO1244" s="43"/>
      <c r="AP1244" s="43"/>
      <c r="AQ1244" s="43"/>
      <c r="AR1244" s="43"/>
      <c r="AS1244" s="43"/>
      <c r="AT1244" s="43"/>
      <c r="AU1244" s="43"/>
      <c r="AV1244" s="43"/>
    </row>
    <row r="1245" ht="15.75" spans="1:48">
      <c r="A1245" s="12">
        <v>1241</v>
      </c>
      <c r="B1245" s="44">
        <v>4185</v>
      </c>
      <c r="C1245" s="45" t="s">
        <v>72</v>
      </c>
      <c r="D1245" s="46" t="s">
        <v>76</v>
      </c>
      <c r="E1245" s="47" t="s">
        <v>50</v>
      </c>
      <c r="F1245" s="48">
        <v>10.33</v>
      </c>
      <c r="G1245" s="38">
        <v>1.67</v>
      </c>
      <c r="H1245" s="39"/>
      <c r="I1245" s="39"/>
      <c r="J1245" s="39"/>
      <c r="K1245" s="39">
        <v>0.17</v>
      </c>
      <c r="L1245" s="39"/>
      <c r="M1245" s="39"/>
      <c r="N1245" s="39"/>
      <c r="O1245" s="39"/>
      <c r="P1245" s="39"/>
      <c r="Q1245" s="39">
        <v>1.17</v>
      </c>
      <c r="R1245" s="39"/>
      <c r="S1245" s="39"/>
      <c r="T1245" s="39"/>
      <c r="U1245" s="39">
        <v>0.33</v>
      </c>
      <c r="V1245" s="39"/>
      <c r="W1245" s="39"/>
      <c r="X1245" s="49" t="s">
        <v>79</v>
      </c>
      <c r="Y1245" s="50">
        <v>68797.8</v>
      </c>
      <c r="Z1245" s="51">
        <v>56808</v>
      </c>
      <c r="AA1245" s="52">
        <f t="shared" si="28"/>
        <v>0.825724078386227</v>
      </c>
      <c r="AB1245" s="12">
        <v>56736</v>
      </c>
      <c r="AC1245" s="12">
        <v>72</v>
      </c>
      <c r="AD1245" s="43"/>
      <c r="AE1245" s="43"/>
      <c r="AF1245" s="43"/>
      <c r="AG1245" s="19">
        <v>72</v>
      </c>
      <c r="AH1245" s="43"/>
      <c r="AI1245" s="43"/>
      <c r="AJ1245" s="43"/>
      <c r="AK1245" s="43"/>
      <c r="AL1245" s="43"/>
      <c r="AM1245" s="43"/>
      <c r="AN1245" s="43"/>
      <c r="AO1245" s="43"/>
      <c r="AP1245" s="43"/>
      <c r="AQ1245" s="43"/>
      <c r="AR1245" s="43"/>
      <c r="AS1245" s="43"/>
      <c r="AT1245" s="43"/>
      <c r="AU1245" s="43"/>
      <c r="AV1245" s="43"/>
    </row>
    <row r="1246" ht="15.75" spans="1:48">
      <c r="A1246" s="12">
        <v>1242</v>
      </c>
      <c r="B1246" s="44">
        <v>2959</v>
      </c>
      <c r="C1246" s="45" t="s">
        <v>86</v>
      </c>
      <c r="D1246" s="46"/>
      <c r="E1246" s="47" t="s">
        <v>50</v>
      </c>
      <c r="F1246" s="48">
        <v>10.83</v>
      </c>
      <c r="G1246" s="38">
        <v>1.17</v>
      </c>
      <c r="H1246" s="39"/>
      <c r="I1246" s="39"/>
      <c r="J1246" s="39"/>
      <c r="K1246" s="39"/>
      <c r="L1246" s="39"/>
      <c r="M1246" s="39"/>
      <c r="N1246" s="39"/>
      <c r="O1246" s="39"/>
      <c r="P1246" s="39"/>
      <c r="Q1246" s="39">
        <v>1.17</v>
      </c>
      <c r="R1246" s="39"/>
      <c r="S1246" s="39"/>
      <c r="T1246" s="39"/>
      <c r="U1246" s="39"/>
      <c r="V1246" s="39"/>
      <c r="W1246" s="39"/>
      <c r="X1246" s="49" t="s">
        <v>140</v>
      </c>
      <c r="Y1246" s="50">
        <v>0</v>
      </c>
      <c r="Z1246" s="51"/>
      <c r="AA1246" s="52">
        <f t="shared" si="28"/>
        <v>0</v>
      </c>
      <c r="AB1246" s="12">
        <v>0</v>
      </c>
      <c r="AC1246" s="12">
        <v>0</v>
      </c>
      <c r="AD1246" s="43"/>
      <c r="AE1246" s="43"/>
      <c r="AF1246" s="43"/>
      <c r="AG1246" s="43"/>
      <c r="AH1246" s="43"/>
      <c r="AI1246" s="43"/>
      <c r="AJ1246" s="43"/>
      <c r="AK1246" s="43"/>
      <c r="AL1246" s="43"/>
      <c r="AM1246" s="43"/>
      <c r="AN1246" s="43"/>
      <c r="AO1246" s="43"/>
      <c r="AP1246" s="43"/>
      <c r="AQ1246" s="43"/>
      <c r="AR1246" s="43"/>
      <c r="AS1246" s="43"/>
      <c r="AT1246" s="43"/>
      <c r="AU1246" s="43"/>
      <c r="AV1246" s="43"/>
    </row>
    <row r="1247" ht="15.75" spans="1:48">
      <c r="A1247" s="12">
        <v>1243</v>
      </c>
      <c r="B1247" s="44">
        <v>4185</v>
      </c>
      <c r="C1247" s="45" t="s">
        <v>72</v>
      </c>
      <c r="D1247" s="46" t="s">
        <v>83</v>
      </c>
      <c r="E1247" s="47" t="s">
        <v>50</v>
      </c>
      <c r="F1247" s="48">
        <v>7</v>
      </c>
      <c r="G1247" s="38">
        <v>1</v>
      </c>
      <c r="H1247" s="39"/>
      <c r="I1247" s="39"/>
      <c r="J1247" s="39"/>
      <c r="K1247" s="39"/>
      <c r="L1247" s="39"/>
      <c r="M1247" s="39"/>
      <c r="N1247" s="39"/>
      <c r="O1247" s="39"/>
      <c r="P1247" s="39"/>
      <c r="Q1247" s="39">
        <v>0.83</v>
      </c>
      <c r="R1247" s="39"/>
      <c r="S1247" s="39"/>
      <c r="T1247" s="39"/>
      <c r="U1247" s="39">
        <v>0.17</v>
      </c>
      <c r="V1247" s="39"/>
      <c r="W1247" s="39"/>
      <c r="X1247" s="49" t="s">
        <v>84</v>
      </c>
      <c r="Y1247" s="50">
        <v>35000</v>
      </c>
      <c r="Z1247" s="51">
        <v>30336</v>
      </c>
      <c r="AA1247" s="52">
        <f t="shared" si="28"/>
        <v>0.866742857142857</v>
      </c>
      <c r="AB1247" s="12">
        <v>30312</v>
      </c>
      <c r="AC1247" s="12">
        <v>24</v>
      </c>
      <c r="AD1247" s="43"/>
      <c r="AE1247" s="43"/>
      <c r="AF1247" s="43"/>
      <c r="AG1247" s="19">
        <v>24</v>
      </c>
      <c r="AH1247" s="43"/>
      <c r="AI1247" s="43"/>
      <c r="AJ1247" s="43"/>
      <c r="AK1247" s="43"/>
      <c r="AL1247" s="43"/>
      <c r="AM1247" s="43"/>
      <c r="AN1247" s="43"/>
      <c r="AO1247" s="43"/>
      <c r="AP1247" s="43"/>
      <c r="AQ1247" s="43"/>
      <c r="AR1247" s="43"/>
      <c r="AS1247" s="43"/>
      <c r="AT1247" s="43"/>
      <c r="AU1247" s="43"/>
      <c r="AV1247" s="43"/>
    </row>
    <row r="1248" ht="15.75" spans="1:48">
      <c r="A1248" s="12">
        <v>1244</v>
      </c>
      <c r="B1248" s="61" t="s">
        <v>308</v>
      </c>
      <c r="C1248" s="62" t="s">
        <v>309</v>
      </c>
      <c r="D1248" s="46"/>
      <c r="E1248" s="47" t="s">
        <v>50</v>
      </c>
      <c r="F1248" s="48">
        <v>7.17</v>
      </c>
      <c r="G1248" s="38">
        <v>0.83</v>
      </c>
      <c r="H1248" s="39"/>
      <c r="I1248" s="39"/>
      <c r="J1248" s="39"/>
      <c r="K1248" s="39"/>
      <c r="L1248" s="39"/>
      <c r="M1248" s="39"/>
      <c r="N1248" s="39"/>
      <c r="O1248" s="39"/>
      <c r="P1248" s="39"/>
      <c r="Q1248" s="39">
        <v>0.83</v>
      </c>
      <c r="R1248" s="39"/>
      <c r="S1248" s="39"/>
      <c r="T1248" s="39"/>
      <c r="U1248" s="39"/>
      <c r="V1248" s="39"/>
      <c r="W1248" s="39"/>
      <c r="X1248" s="49" t="s">
        <v>310</v>
      </c>
      <c r="Y1248" s="50">
        <v>0</v>
      </c>
      <c r="Z1248" s="51"/>
      <c r="AA1248" s="52">
        <f t="shared" si="28"/>
        <v>0</v>
      </c>
      <c r="AB1248" s="12">
        <v>0</v>
      </c>
      <c r="AC1248" s="12">
        <v>0</v>
      </c>
      <c r="AD1248" s="43"/>
      <c r="AE1248" s="43"/>
      <c r="AF1248" s="43"/>
      <c r="AG1248" s="43"/>
      <c r="AH1248" s="43"/>
      <c r="AI1248" s="43"/>
      <c r="AJ1248" s="43"/>
      <c r="AK1248" s="43"/>
      <c r="AL1248" s="43"/>
      <c r="AM1248" s="43"/>
      <c r="AN1248" s="43"/>
      <c r="AO1248" s="43"/>
      <c r="AP1248" s="43"/>
      <c r="AQ1248" s="43"/>
      <c r="AR1248" s="43"/>
      <c r="AS1248" s="43"/>
      <c r="AT1248" s="43"/>
      <c r="AU1248" s="43"/>
      <c r="AV1248" s="43"/>
    </row>
    <row r="1249" ht="15.75" spans="1:48">
      <c r="A1249" s="12">
        <v>1245</v>
      </c>
      <c r="B1249" s="44">
        <v>4344</v>
      </c>
      <c r="C1249" s="45" t="s">
        <v>85</v>
      </c>
      <c r="D1249" s="46" t="s">
        <v>138</v>
      </c>
      <c r="E1249" s="47" t="s">
        <v>50</v>
      </c>
      <c r="F1249" s="48">
        <v>2</v>
      </c>
      <c r="G1249" s="38">
        <v>0.17</v>
      </c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  <c r="S1249" s="39"/>
      <c r="T1249" s="39"/>
      <c r="U1249" s="39">
        <v>0.17</v>
      </c>
      <c r="V1249" s="39"/>
      <c r="W1249" s="39"/>
      <c r="X1249" s="49" t="s">
        <v>82</v>
      </c>
      <c r="Y1249" s="50">
        <v>3250</v>
      </c>
      <c r="Z1249" s="51">
        <v>3200</v>
      </c>
      <c r="AA1249" s="52">
        <f t="shared" si="28"/>
        <v>0.984615384615385</v>
      </c>
      <c r="AB1249" s="12">
        <v>3200</v>
      </c>
      <c r="AC1249" s="12">
        <v>0</v>
      </c>
      <c r="AD1249" s="43"/>
      <c r="AE1249" s="43"/>
      <c r="AF1249" s="43"/>
      <c r="AG1249" s="43"/>
      <c r="AH1249" s="43"/>
      <c r="AI1249" s="43"/>
      <c r="AJ1249" s="43"/>
      <c r="AK1249" s="43"/>
      <c r="AL1249" s="43"/>
      <c r="AM1249" s="43"/>
      <c r="AN1249" s="43"/>
      <c r="AO1249" s="43"/>
      <c r="AP1249" s="43"/>
      <c r="AQ1249" s="43"/>
      <c r="AR1249" s="43"/>
      <c r="AS1249" s="43"/>
      <c r="AT1249" s="43"/>
      <c r="AU1249" s="43"/>
      <c r="AV1249" s="43"/>
    </row>
    <row r="1250" ht="15.75" spans="1:48">
      <c r="A1250" s="12">
        <v>1246</v>
      </c>
      <c r="B1250" s="44">
        <v>4344</v>
      </c>
      <c r="C1250" s="45" t="s">
        <v>85</v>
      </c>
      <c r="D1250" s="46" t="s">
        <v>138</v>
      </c>
      <c r="E1250" s="47" t="s">
        <v>50</v>
      </c>
      <c r="F1250" s="48">
        <v>8.33</v>
      </c>
      <c r="G1250" s="38">
        <v>1.51</v>
      </c>
      <c r="H1250" s="39"/>
      <c r="I1250" s="39"/>
      <c r="J1250" s="39"/>
      <c r="K1250" s="39"/>
      <c r="L1250" s="39"/>
      <c r="M1250" s="39"/>
      <c r="N1250" s="39"/>
      <c r="O1250" s="39"/>
      <c r="P1250" s="39"/>
      <c r="Q1250" s="39">
        <v>1.17</v>
      </c>
      <c r="R1250" s="39"/>
      <c r="S1250" s="39"/>
      <c r="T1250" s="39"/>
      <c r="U1250" s="39">
        <v>0.17</v>
      </c>
      <c r="V1250" s="39">
        <v>0.17</v>
      </c>
      <c r="W1250" s="39"/>
      <c r="X1250" s="49" t="s">
        <v>208</v>
      </c>
      <c r="Y1250" s="50">
        <v>12703.25</v>
      </c>
      <c r="Z1250" s="51">
        <v>13012</v>
      </c>
      <c r="AA1250" s="52">
        <f t="shared" si="28"/>
        <v>1.02430480388877</v>
      </c>
      <c r="AB1250" s="12">
        <v>12964</v>
      </c>
      <c r="AC1250" s="12">
        <v>48</v>
      </c>
      <c r="AD1250" s="43"/>
      <c r="AE1250" s="43"/>
      <c r="AF1250" s="43"/>
      <c r="AG1250" s="19">
        <v>48</v>
      </c>
      <c r="AH1250" s="43"/>
      <c r="AI1250" s="43"/>
      <c r="AJ1250" s="43"/>
      <c r="AK1250" s="43"/>
      <c r="AL1250" s="43"/>
      <c r="AM1250" s="43"/>
      <c r="AN1250" s="43"/>
      <c r="AO1250" s="43"/>
      <c r="AP1250" s="43"/>
      <c r="AQ1250" s="43"/>
      <c r="AR1250" s="43"/>
      <c r="AS1250" s="43"/>
      <c r="AT1250" s="43"/>
      <c r="AU1250" s="43"/>
      <c r="AV1250" s="43"/>
    </row>
    <row r="1251" ht="15.75" spans="1:48">
      <c r="A1251" s="12">
        <v>1247</v>
      </c>
      <c r="B1251" s="44">
        <v>4478</v>
      </c>
      <c r="C1251" s="45" t="s">
        <v>128</v>
      </c>
      <c r="D1251" s="46" t="s">
        <v>129</v>
      </c>
      <c r="E1251" s="47" t="s">
        <v>50</v>
      </c>
      <c r="F1251" s="48">
        <v>8.5</v>
      </c>
      <c r="G1251" s="38">
        <v>2.01</v>
      </c>
      <c r="H1251" s="39"/>
      <c r="I1251" s="39"/>
      <c r="J1251" s="39"/>
      <c r="K1251" s="39">
        <v>0.67</v>
      </c>
      <c r="L1251" s="39"/>
      <c r="M1251" s="39"/>
      <c r="N1251" s="39"/>
      <c r="O1251" s="39"/>
      <c r="P1251" s="39"/>
      <c r="Q1251" s="39">
        <v>1.17</v>
      </c>
      <c r="R1251" s="39"/>
      <c r="S1251" s="39"/>
      <c r="T1251" s="39"/>
      <c r="U1251" s="39">
        <v>0.17</v>
      </c>
      <c r="V1251" s="39"/>
      <c r="W1251" s="39"/>
      <c r="X1251" s="49" t="s">
        <v>220</v>
      </c>
      <c r="Y1251" s="50">
        <v>15300</v>
      </c>
      <c r="Z1251" s="51">
        <v>10872</v>
      </c>
      <c r="AA1251" s="52">
        <f t="shared" si="28"/>
        <v>0.710588235294118</v>
      </c>
      <c r="AB1251" s="12">
        <v>10856</v>
      </c>
      <c r="AC1251" s="12">
        <v>16</v>
      </c>
      <c r="AD1251" s="43"/>
      <c r="AE1251" s="43"/>
      <c r="AF1251" s="43"/>
      <c r="AG1251" s="19">
        <v>16</v>
      </c>
      <c r="AH1251" s="43"/>
      <c r="AI1251" s="43"/>
      <c r="AJ1251" s="43"/>
      <c r="AK1251" s="43"/>
      <c r="AL1251" s="43"/>
      <c r="AM1251" s="43"/>
      <c r="AN1251" s="43"/>
      <c r="AO1251" s="43"/>
      <c r="AP1251" s="43"/>
      <c r="AQ1251" s="43"/>
      <c r="AR1251" s="43"/>
      <c r="AS1251" s="43"/>
      <c r="AT1251" s="43"/>
      <c r="AU1251" s="43"/>
      <c r="AV1251" s="43"/>
    </row>
    <row r="1252" ht="15.75" spans="1:48">
      <c r="A1252" s="12">
        <v>1248</v>
      </c>
      <c r="B1252" s="44">
        <v>4478</v>
      </c>
      <c r="C1252" s="45" t="s">
        <v>128</v>
      </c>
      <c r="D1252" s="46"/>
      <c r="E1252" s="47" t="s">
        <v>50</v>
      </c>
      <c r="F1252" s="48">
        <v>1.5</v>
      </c>
      <c r="G1252" s="38">
        <v>0</v>
      </c>
      <c r="H1252" s="39"/>
      <c r="I1252" s="39"/>
      <c r="J1252" s="39"/>
      <c r="K1252" s="39"/>
      <c r="L1252" s="39"/>
      <c r="M1252" s="39"/>
      <c r="N1252" s="39"/>
      <c r="O1252" s="39"/>
      <c r="P1252" s="39"/>
      <c r="Q1252" s="39"/>
      <c r="R1252" s="39"/>
      <c r="S1252" s="39"/>
      <c r="T1252" s="39"/>
      <c r="U1252" s="39"/>
      <c r="V1252" s="39"/>
      <c r="W1252" s="39"/>
      <c r="X1252" s="49" t="s">
        <v>311</v>
      </c>
      <c r="Y1252" s="50">
        <v>2100</v>
      </c>
      <c r="Z1252" s="51">
        <v>1600</v>
      </c>
      <c r="AA1252" s="52">
        <f t="shared" si="28"/>
        <v>0.761904761904762</v>
      </c>
      <c r="AB1252" s="12">
        <v>1600</v>
      </c>
      <c r="AC1252" s="12">
        <v>0</v>
      </c>
      <c r="AD1252" s="43"/>
      <c r="AE1252" s="43"/>
      <c r="AF1252" s="43"/>
      <c r="AG1252" s="43"/>
      <c r="AH1252" s="43"/>
      <c r="AI1252" s="43"/>
      <c r="AJ1252" s="43"/>
      <c r="AK1252" s="43"/>
      <c r="AL1252" s="43"/>
      <c r="AM1252" s="43"/>
      <c r="AN1252" s="43"/>
      <c r="AO1252" s="43"/>
      <c r="AP1252" s="43"/>
      <c r="AQ1252" s="43"/>
      <c r="AR1252" s="43"/>
      <c r="AS1252" s="43"/>
      <c r="AT1252" s="43"/>
      <c r="AU1252" s="43"/>
      <c r="AV1252" s="43"/>
    </row>
    <row r="1253" ht="15.75" spans="1:48">
      <c r="A1253" s="12">
        <v>1249</v>
      </c>
      <c r="B1253" s="44">
        <v>3268</v>
      </c>
      <c r="C1253" s="45" t="s">
        <v>80</v>
      </c>
      <c r="D1253" s="46">
        <v>17</v>
      </c>
      <c r="E1253" s="47" t="s">
        <v>50</v>
      </c>
      <c r="F1253" s="48">
        <v>9</v>
      </c>
      <c r="G1253" s="38">
        <v>3.01</v>
      </c>
      <c r="H1253" s="39"/>
      <c r="I1253" s="39"/>
      <c r="J1253" s="39"/>
      <c r="K1253" s="39">
        <v>0.33</v>
      </c>
      <c r="L1253" s="39"/>
      <c r="M1253" s="39"/>
      <c r="N1253" s="39"/>
      <c r="O1253" s="39"/>
      <c r="P1253" s="39"/>
      <c r="Q1253" s="39">
        <v>1.17</v>
      </c>
      <c r="R1253" s="39">
        <v>0.17</v>
      </c>
      <c r="S1253" s="39"/>
      <c r="T1253" s="39">
        <v>1.17</v>
      </c>
      <c r="U1253" s="39">
        <v>0.17</v>
      </c>
      <c r="V1253" s="39"/>
      <c r="W1253" s="39"/>
      <c r="X1253" s="49">
        <v>977</v>
      </c>
      <c r="Y1253" s="50">
        <v>2700</v>
      </c>
      <c r="Z1253" s="51">
        <v>2150</v>
      </c>
      <c r="AA1253" s="52">
        <f t="shared" si="28"/>
        <v>0.796296296296296</v>
      </c>
      <c r="AB1253" s="12">
        <v>1619</v>
      </c>
      <c r="AC1253" s="12">
        <v>531</v>
      </c>
      <c r="AD1253" s="19">
        <v>531</v>
      </c>
      <c r="AE1253" s="43"/>
      <c r="AF1253" s="43"/>
      <c r="AG1253" s="43"/>
      <c r="AH1253" s="43"/>
      <c r="AI1253" s="43"/>
      <c r="AJ1253" s="43"/>
      <c r="AK1253" s="43"/>
      <c r="AL1253" s="43"/>
      <c r="AM1253" s="43"/>
      <c r="AN1253" s="43"/>
      <c r="AO1253" s="43"/>
      <c r="AP1253" s="43"/>
      <c r="AQ1253" s="43"/>
      <c r="AR1253" s="43"/>
      <c r="AS1253" s="43"/>
      <c r="AT1253" s="43"/>
      <c r="AU1253" s="43"/>
      <c r="AV1253" s="43"/>
    </row>
    <row r="1254" ht="15.75" spans="1:48">
      <c r="A1254" s="12">
        <v>1250</v>
      </c>
      <c r="B1254" s="44">
        <v>4382</v>
      </c>
      <c r="C1254" s="45" t="s">
        <v>173</v>
      </c>
      <c r="D1254" s="46"/>
      <c r="E1254" s="47" t="s">
        <v>50</v>
      </c>
      <c r="F1254" s="48">
        <v>8.67</v>
      </c>
      <c r="G1254" s="38">
        <v>1.34</v>
      </c>
      <c r="H1254" s="39"/>
      <c r="I1254" s="39"/>
      <c r="J1254" s="39"/>
      <c r="K1254" s="39"/>
      <c r="L1254" s="39"/>
      <c r="M1254" s="39"/>
      <c r="N1254" s="39"/>
      <c r="O1254" s="39"/>
      <c r="P1254" s="39"/>
      <c r="Q1254" s="39">
        <v>1</v>
      </c>
      <c r="R1254" s="39">
        <v>0.17</v>
      </c>
      <c r="S1254" s="39"/>
      <c r="T1254" s="39"/>
      <c r="U1254" s="39">
        <v>0.17</v>
      </c>
      <c r="V1254" s="39"/>
      <c r="W1254" s="39"/>
      <c r="X1254" s="49" t="s">
        <v>98</v>
      </c>
      <c r="Y1254" s="50">
        <v>4074.9</v>
      </c>
      <c r="Z1254" s="51">
        <v>3960</v>
      </c>
      <c r="AA1254" s="52">
        <f t="shared" si="28"/>
        <v>0.971802989030406</v>
      </c>
      <c r="AB1254" s="12">
        <v>3960</v>
      </c>
      <c r="AC1254" s="12">
        <v>0</v>
      </c>
      <c r="AD1254" s="43"/>
      <c r="AE1254" s="43"/>
      <c r="AF1254" s="43"/>
      <c r="AG1254" s="43"/>
      <c r="AH1254" s="43"/>
      <c r="AI1254" s="43"/>
      <c r="AJ1254" s="43"/>
      <c r="AK1254" s="43"/>
      <c r="AL1254" s="43"/>
      <c r="AM1254" s="43"/>
      <c r="AN1254" s="43"/>
      <c r="AO1254" s="43"/>
      <c r="AP1254" s="43"/>
      <c r="AQ1254" s="43"/>
      <c r="AR1254" s="43"/>
      <c r="AS1254" s="43"/>
      <c r="AT1254" s="43"/>
      <c r="AU1254" s="43"/>
      <c r="AV1254" s="43"/>
    </row>
    <row r="1255" ht="15.75" spans="1:48">
      <c r="A1255" s="12">
        <v>1251</v>
      </c>
      <c r="B1255" s="44">
        <v>676</v>
      </c>
      <c r="C1255" s="45" t="s">
        <v>171</v>
      </c>
      <c r="D1255" s="46"/>
      <c r="E1255" s="47" t="s">
        <v>50</v>
      </c>
      <c r="F1255" s="48">
        <v>10.33</v>
      </c>
      <c r="G1255" s="38">
        <v>1.67</v>
      </c>
      <c r="H1255" s="39"/>
      <c r="I1255" s="39"/>
      <c r="J1255" s="39"/>
      <c r="K1255" s="39"/>
      <c r="L1255" s="39"/>
      <c r="M1255" s="39"/>
      <c r="N1255" s="39"/>
      <c r="O1255" s="39"/>
      <c r="P1255" s="39"/>
      <c r="Q1255" s="39">
        <v>1.17</v>
      </c>
      <c r="R1255" s="39"/>
      <c r="S1255" s="39">
        <v>0.33</v>
      </c>
      <c r="T1255" s="39"/>
      <c r="U1255" s="39">
        <v>0.17</v>
      </c>
      <c r="V1255" s="39"/>
      <c r="W1255" s="39"/>
      <c r="X1255" s="49" t="s">
        <v>98</v>
      </c>
      <c r="Y1255" s="50">
        <v>4855.1</v>
      </c>
      <c r="Z1255" s="51">
        <v>4680</v>
      </c>
      <c r="AA1255" s="52">
        <f t="shared" si="28"/>
        <v>0.963934831414389</v>
      </c>
      <c r="AB1255" s="12">
        <v>4680</v>
      </c>
      <c r="AC1255" s="12">
        <v>0</v>
      </c>
      <c r="AD1255" s="43"/>
      <c r="AE1255" s="43"/>
      <c r="AF1255" s="43"/>
      <c r="AG1255" s="43"/>
      <c r="AH1255" s="43"/>
      <c r="AI1255" s="43"/>
      <c r="AJ1255" s="43"/>
      <c r="AK1255" s="43"/>
      <c r="AL1255" s="43"/>
      <c r="AM1255" s="43"/>
      <c r="AN1255" s="43"/>
      <c r="AO1255" s="43"/>
      <c r="AP1255" s="43"/>
      <c r="AQ1255" s="43"/>
      <c r="AR1255" s="43"/>
      <c r="AS1255" s="43"/>
      <c r="AT1255" s="43"/>
      <c r="AU1255" s="43"/>
      <c r="AV1255" s="43"/>
    </row>
    <row r="1256" ht="15.75" spans="1:48">
      <c r="A1256" s="12">
        <v>1252</v>
      </c>
      <c r="B1256" s="44">
        <v>761</v>
      </c>
      <c r="C1256" s="45" t="s">
        <v>89</v>
      </c>
      <c r="D1256" s="46"/>
      <c r="E1256" s="47" t="s">
        <v>50</v>
      </c>
      <c r="F1256" s="48">
        <v>2</v>
      </c>
      <c r="G1256" s="38">
        <v>0</v>
      </c>
      <c r="H1256" s="39"/>
      <c r="I1256" s="39"/>
      <c r="J1256" s="39"/>
      <c r="K1256" s="39"/>
      <c r="L1256" s="39"/>
      <c r="M1256" s="39"/>
      <c r="N1256" s="39"/>
      <c r="O1256" s="39"/>
      <c r="P1256" s="39"/>
      <c r="Q1256" s="39"/>
      <c r="R1256" s="39"/>
      <c r="S1256" s="39"/>
      <c r="T1256" s="39"/>
      <c r="U1256" s="39"/>
      <c r="V1256" s="39"/>
      <c r="W1256" s="39"/>
      <c r="X1256" s="49" t="s">
        <v>98</v>
      </c>
      <c r="Y1256" s="50">
        <v>940</v>
      </c>
      <c r="Z1256" s="51">
        <v>900</v>
      </c>
      <c r="AA1256" s="52">
        <f t="shared" si="28"/>
        <v>0.957446808510638</v>
      </c>
      <c r="AB1256" s="12">
        <v>900</v>
      </c>
      <c r="AC1256" s="12">
        <v>0</v>
      </c>
      <c r="AD1256" s="43"/>
      <c r="AE1256" s="43"/>
      <c r="AF1256" s="43"/>
      <c r="AG1256" s="43"/>
      <c r="AH1256" s="43"/>
      <c r="AI1256" s="43"/>
      <c r="AJ1256" s="43"/>
      <c r="AK1256" s="43"/>
      <c r="AL1256" s="43"/>
      <c r="AM1256" s="43"/>
      <c r="AN1256" s="43"/>
      <c r="AO1256" s="43"/>
      <c r="AP1256" s="43"/>
      <c r="AQ1256" s="43"/>
      <c r="AR1256" s="43"/>
      <c r="AS1256" s="43"/>
      <c r="AT1256" s="43"/>
      <c r="AU1256" s="43"/>
      <c r="AV1256" s="43"/>
    </row>
    <row r="1257" ht="15.75" spans="1:48">
      <c r="A1257" s="12">
        <v>1253</v>
      </c>
      <c r="B1257" s="44" t="s">
        <v>185</v>
      </c>
      <c r="C1257" s="45" t="s">
        <v>179</v>
      </c>
      <c r="D1257" s="46"/>
      <c r="E1257" s="47" t="s">
        <v>50</v>
      </c>
      <c r="F1257" s="48">
        <v>9.5</v>
      </c>
      <c r="G1257" s="38">
        <v>1.34</v>
      </c>
      <c r="H1257" s="39"/>
      <c r="I1257" s="39"/>
      <c r="J1257" s="39"/>
      <c r="K1257" s="39"/>
      <c r="L1257" s="39"/>
      <c r="M1257" s="39"/>
      <c r="N1257" s="39"/>
      <c r="O1257" s="39"/>
      <c r="P1257" s="39"/>
      <c r="Q1257" s="39">
        <v>1.17</v>
      </c>
      <c r="R1257" s="39"/>
      <c r="S1257" s="39"/>
      <c r="T1257" s="39"/>
      <c r="U1257" s="39">
        <v>0.17</v>
      </c>
      <c r="V1257" s="39"/>
      <c r="W1257" s="39"/>
      <c r="X1257" s="49">
        <v>1080</v>
      </c>
      <c r="Y1257" s="50">
        <v>4702.5</v>
      </c>
      <c r="Z1257" s="51">
        <v>4418</v>
      </c>
      <c r="AA1257" s="52">
        <f t="shared" si="28"/>
        <v>0.939500265816055</v>
      </c>
      <c r="AB1257" s="12">
        <v>4418</v>
      </c>
      <c r="AC1257" s="12">
        <v>0</v>
      </c>
      <c r="AD1257" s="43"/>
      <c r="AE1257" s="43"/>
      <c r="AF1257" s="43"/>
      <c r="AG1257" s="43"/>
      <c r="AH1257" s="43"/>
      <c r="AI1257" s="43"/>
      <c r="AJ1257" s="43"/>
      <c r="AK1257" s="43"/>
      <c r="AL1257" s="43"/>
      <c r="AM1257" s="43"/>
      <c r="AN1257" s="43"/>
      <c r="AO1257" s="43"/>
      <c r="AP1257" s="43"/>
      <c r="AQ1257" s="43"/>
      <c r="AR1257" s="43"/>
      <c r="AS1257" s="43"/>
      <c r="AT1257" s="43"/>
      <c r="AU1257" s="43"/>
      <c r="AV1257" s="43"/>
    </row>
    <row r="1258" ht="15.75" spans="1:48">
      <c r="A1258" s="12">
        <v>1254</v>
      </c>
      <c r="B1258" s="44">
        <v>4412</v>
      </c>
      <c r="C1258" s="45" t="s">
        <v>177</v>
      </c>
      <c r="D1258" s="46">
        <v>15</v>
      </c>
      <c r="E1258" s="47" t="s">
        <v>50</v>
      </c>
      <c r="F1258" s="48">
        <v>5.5</v>
      </c>
      <c r="G1258" s="38">
        <v>1.5</v>
      </c>
      <c r="H1258" s="39"/>
      <c r="I1258" s="39"/>
      <c r="J1258" s="39"/>
      <c r="K1258" s="39"/>
      <c r="L1258" s="39"/>
      <c r="M1258" s="39"/>
      <c r="N1258" s="39"/>
      <c r="O1258" s="39"/>
      <c r="P1258" s="39"/>
      <c r="Q1258" s="39">
        <v>0.83</v>
      </c>
      <c r="R1258" s="39">
        <v>0.17</v>
      </c>
      <c r="S1258" s="39"/>
      <c r="T1258" s="39">
        <v>0.5</v>
      </c>
      <c r="U1258" s="39"/>
      <c r="V1258" s="39"/>
      <c r="W1258" s="39"/>
      <c r="X1258" s="49">
        <v>9149</v>
      </c>
      <c r="Y1258" s="50">
        <v>1980</v>
      </c>
      <c r="Z1258" s="51">
        <v>1961</v>
      </c>
      <c r="AA1258" s="52">
        <f t="shared" si="28"/>
        <v>0.99040404040404</v>
      </c>
      <c r="AB1258" s="12">
        <v>1711</v>
      </c>
      <c r="AC1258" s="12">
        <v>250</v>
      </c>
      <c r="AD1258" s="19">
        <v>250</v>
      </c>
      <c r="AE1258" s="43"/>
      <c r="AF1258" s="43"/>
      <c r="AG1258" s="43"/>
      <c r="AH1258" s="43"/>
      <c r="AI1258" s="43"/>
      <c r="AJ1258" s="43"/>
      <c r="AK1258" s="43"/>
      <c r="AL1258" s="43"/>
      <c r="AM1258" s="43"/>
      <c r="AN1258" s="43"/>
      <c r="AO1258" s="43"/>
      <c r="AP1258" s="43"/>
      <c r="AQ1258" s="43"/>
      <c r="AR1258" s="43"/>
      <c r="AS1258" s="43"/>
      <c r="AT1258" s="43"/>
      <c r="AU1258" s="43"/>
      <c r="AV1258" s="43"/>
    </row>
    <row r="1259" ht="15.75" spans="1:48">
      <c r="A1259" s="12">
        <v>1255</v>
      </c>
      <c r="B1259" s="44">
        <v>4310</v>
      </c>
      <c r="C1259" s="45" t="s">
        <v>99</v>
      </c>
      <c r="D1259" s="46"/>
      <c r="E1259" s="47" t="s">
        <v>50</v>
      </c>
      <c r="F1259" s="48">
        <v>10</v>
      </c>
      <c r="G1259" s="38">
        <v>2</v>
      </c>
      <c r="H1259" s="39"/>
      <c r="I1259" s="39"/>
      <c r="J1259" s="39"/>
      <c r="K1259" s="39">
        <v>0.33</v>
      </c>
      <c r="L1259" s="39"/>
      <c r="M1259" s="39"/>
      <c r="N1259" s="39"/>
      <c r="O1259" s="39"/>
      <c r="P1259" s="39"/>
      <c r="Q1259" s="39">
        <v>1.17</v>
      </c>
      <c r="R1259" s="39"/>
      <c r="S1259" s="39"/>
      <c r="T1259" s="39">
        <v>0.33</v>
      </c>
      <c r="U1259" s="39">
        <v>0.17</v>
      </c>
      <c r="V1259" s="39"/>
      <c r="W1259" s="39"/>
      <c r="X1259" s="49">
        <v>1090</v>
      </c>
      <c r="Y1259" s="50">
        <v>6600</v>
      </c>
      <c r="Z1259" s="51">
        <v>5450</v>
      </c>
      <c r="AA1259" s="52">
        <f t="shared" si="28"/>
        <v>0.825757575757576</v>
      </c>
      <c r="AB1259" s="12">
        <v>5397</v>
      </c>
      <c r="AC1259" s="12">
        <v>53</v>
      </c>
      <c r="AD1259" s="19">
        <v>53</v>
      </c>
      <c r="AE1259" s="43"/>
      <c r="AF1259" s="43"/>
      <c r="AG1259" s="43"/>
      <c r="AH1259" s="43"/>
      <c r="AI1259" s="43"/>
      <c r="AJ1259" s="43"/>
      <c r="AK1259" s="43"/>
      <c r="AL1259" s="43"/>
      <c r="AM1259" s="43"/>
      <c r="AN1259" s="43"/>
      <c r="AO1259" s="43"/>
      <c r="AP1259" s="43"/>
      <c r="AQ1259" s="43"/>
      <c r="AR1259" s="43"/>
      <c r="AS1259" s="43"/>
      <c r="AT1259" s="43"/>
      <c r="AU1259" s="43"/>
      <c r="AV1259" s="43"/>
    </row>
    <row r="1260" ht="15.75" spans="1:48">
      <c r="A1260" s="12">
        <v>1256</v>
      </c>
      <c r="B1260" s="61" t="s">
        <v>312</v>
      </c>
      <c r="C1260" s="62" t="s">
        <v>313</v>
      </c>
      <c r="D1260" s="46"/>
      <c r="E1260" s="47" t="s">
        <v>50</v>
      </c>
      <c r="F1260" s="48">
        <v>7.17</v>
      </c>
      <c r="G1260" s="38">
        <v>0.83</v>
      </c>
      <c r="H1260" s="39"/>
      <c r="I1260" s="39"/>
      <c r="J1260" s="39"/>
      <c r="K1260" s="39"/>
      <c r="L1260" s="39"/>
      <c r="M1260" s="39"/>
      <c r="N1260" s="39"/>
      <c r="O1260" s="39"/>
      <c r="P1260" s="39"/>
      <c r="Q1260" s="39">
        <v>0.83</v>
      </c>
      <c r="R1260" s="39"/>
      <c r="S1260" s="39"/>
      <c r="T1260" s="39"/>
      <c r="U1260" s="39"/>
      <c r="V1260" s="39"/>
      <c r="W1260" s="39"/>
      <c r="X1260" s="49" t="s">
        <v>98</v>
      </c>
      <c r="Y1260" s="50">
        <v>3369.9</v>
      </c>
      <c r="Z1260" s="51">
        <v>720</v>
      </c>
      <c r="AA1260" s="52">
        <f t="shared" si="28"/>
        <v>0.213656191578385</v>
      </c>
      <c r="AB1260" s="12">
        <v>720</v>
      </c>
      <c r="AC1260" s="12">
        <v>0</v>
      </c>
      <c r="AD1260" s="43"/>
      <c r="AE1260" s="43"/>
      <c r="AF1260" s="43"/>
      <c r="AG1260" s="43"/>
      <c r="AH1260" s="43"/>
      <c r="AI1260" s="43"/>
      <c r="AJ1260" s="43"/>
      <c r="AK1260" s="43"/>
      <c r="AL1260" s="43"/>
      <c r="AM1260" s="43"/>
      <c r="AN1260" s="43"/>
      <c r="AO1260" s="43"/>
      <c r="AP1260" s="43"/>
      <c r="AQ1260" s="43"/>
      <c r="AR1260" s="43"/>
      <c r="AS1260" s="43"/>
      <c r="AT1260" s="43"/>
      <c r="AU1260" s="43"/>
      <c r="AV1260" s="43"/>
    </row>
    <row r="1261" ht="15.75" spans="1:48">
      <c r="A1261" s="12">
        <v>1257</v>
      </c>
      <c r="B1261" s="44" t="s">
        <v>314</v>
      </c>
      <c r="C1261" s="45" t="e">
        <v>#N/A</v>
      </c>
      <c r="D1261" s="46">
        <v>21</v>
      </c>
      <c r="E1261" s="47" t="s">
        <v>50</v>
      </c>
      <c r="F1261" s="48">
        <v>7.17</v>
      </c>
      <c r="G1261" s="38">
        <v>0.83</v>
      </c>
      <c r="H1261" s="39"/>
      <c r="I1261" s="39"/>
      <c r="J1261" s="39"/>
      <c r="K1261" s="39"/>
      <c r="L1261" s="39"/>
      <c r="M1261" s="39"/>
      <c r="N1261" s="39"/>
      <c r="O1261" s="39"/>
      <c r="P1261" s="39"/>
      <c r="Q1261" s="39">
        <v>0.83</v>
      </c>
      <c r="R1261" s="39"/>
      <c r="S1261" s="39"/>
      <c r="T1261" s="39"/>
      <c r="U1261" s="39"/>
      <c r="V1261" s="39"/>
      <c r="W1261" s="39"/>
      <c r="X1261" s="49" t="s">
        <v>96</v>
      </c>
      <c r="Y1261" s="50">
        <v>6237.9</v>
      </c>
      <c r="Z1261" s="51">
        <v>5280</v>
      </c>
      <c r="AA1261" s="52">
        <f t="shared" si="28"/>
        <v>0.846438705333526</v>
      </c>
      <c r="AB1261" s="12">
        <v>5280</v>
      </c>
      <c r="AC1261" s="12">
        <v>0</v>
      </c>
      <c r="AD1261" s="43"/>
      <c r="AE1261" s="43"/>
      <c r="AF1261" s="43"/>
      <c r="AG1261" s="43"/>
      <c r="AH1261" s="43"/>
      <c r="AI1261" s="43"/>
      <c r="AJ1261" s="43"/>
      <c r="AK1261" s="43"/>
      <c r="AL1261" s="43"/>
      <c r="AM1261" s="43"/>
      <c r="AN1261" s="43"/>
      <c r="AO1261" s="43"/>
      <c r="AP1261" s="43"/>
      <c r="AQ1261" s="43"/>
      <c r="AR1261" s="43"/>
      <c r="AS1261" s="43"/>
      <c r="AT1261" s="43"/>
      <c r="AU1261" s="43"/>
      <c r="AV1261" s="43"/>
    </row>
    <row r="1262" ht="15.75" spans="1:48">
      <c r="A1262" s="12">
        <v>1258</v>
      </c>
      <c r="B1262" s="61" t="s">
        <v>315</v>
      </c>
      <c r="C1262" s="62" t="s">
        <v>316</v>
      </c>
      <c r="D1262" s="46">
        <v>8</v>
      </c>
      <c r="E1262" s="47" t="s">
        <v>50</v>
      </c>
      <c r="F1262" s="48">
        <v>6.17</v>
      </c>
      <c r="G1262" s="38">
        <v>1.83</v>
      </c>
      <c r="H1262" s="39"/>
      <c r="I1262" s="39"/>
      <c r="J1262" s="39"/>
      <c r="K1262" s="39"/>
      <c r="L1262" s="39"/>
      <c r="M1262" s="39"/>
      <c r="N1262" s="39"/>
      <c r="O1262" s="39"/>
      <c r="P1262" s="39"/>
      <c r="Q1262" s="39">
        <v>0.83</v>
      </c>
      <c r="R1262" s="39"/>
      <c r="S1262" s="39"/>
      <c r="T1262" s="39">
        <v>0.83</v>
      </c>
      <c r="U1262" s="39">
        <v>0.17</v>
      </c>
      <c r="V1262" s="39"/>
      <c r="W1262" s="39"/>
      <c r="X1262" s="49">
        <v>6270</v>
      </c>
      <c r="Y1262" s="50">
        <v>3732.85</v>
      </c>
      <c r="Z1262" s="51">
        <v>1695</v>
      </c>
      <c r="AA1262" s="52">
        <f t="shared" si="28"/>
        <v>0.454076643851213</v>
      </c>
      <c r="AB1262" s="12">
        <v>1676</v>
      </c>
      <c r="AC1262" s="12">
        <v>19</v>
      </c>
      <c r="AD1262" s="19">
        <v>19</v>
      </c>
      <c r="AE1262" s="43"/>
      <c r="AF1262" s="43"/>
      <c r="AG1262" s="43"/>
      <c r="AH1262" s="43"/>
      <c r="AI1262" s="43"/>
      <c r="AJ1262" s="43"/>
      <c r="AK1262" s="43"/>
      <c r="AL1262" s="43"/>
      <c r="AM1262" s="43"/>
      <c r="AN1262" s="43"/>
      <c r="AO1262" s="43"/>
      <c r="AP1262" s="43"/>
      <c r="AQ1262" s="43"/>
      <c r="AR1262" s="43"/>
      <c r="AS1262" s="43"/>
      <c r="AT1262" s="43"/>
      <c r="AU1262" s="43"/>
      <c r="AV1262" s="43"/>
    </row>
    <row r="1263" ht="15.75" spans="1:48">
      <c r="A1263" s="12">
        <v>1259</v>
      </c>
      <c r="B1263" s="61" t="s">
        <v>317</v>
      </c>
      <c r="C1263" s="62" t="s">
        <v>318</v>
      </c>
      <c r="D1263" s="46">
        <v>5</v>
      </c>
      <c r="E1263" s="47" t="s">
        <v>50</v>
      </c>
      <c r="F1263" s="48">
        <v>7.17</v>
      </c>
      <c r="G1263" s="38">
        <v>0.83</v>
      </c>
      <c r="H1263" s="39"/>
      <c r="I1263" s="39"/>
      <c r="J1263" s="39"/>
      <c r="K1263" s="39"/>
      <c r="L1263" s="39"/>
      <c r="M1263" s="39"/>
      <c r="N1263" s="39"/>
      <c r="O1263" s="39"/>
      <c r="P1263" s="39"/>
      <c r="Q1263" s="39">
        <v>0.83</v>
      </c>
      <c r="R1263" s="39"/>
      <c r="S1263" s="39"/>
      <c r="T1263" s="39"/>
      <c r="U1263" s="39"/>
      <c r="V1263" s="39"/>
      <c r="W1263" s="39"/>
      <c r="X1263" s="49">
        <v>5770</v>
      </c>
      <c r="Y1263" s="50">
        <v>4337.85</v>
      </c>
      <c r="Z1263" s="51">
        <v>2880</v>
      </c>
      <c r="AA1263" s="52">
        <f t="shared" si="28"/>
        <v>0.663923372177461</v>
      </c>
      <c r="AB1263" s="12">
        <v>2712</v>
      </c>
      <c r="AC1263" s="12">
        <v>168</v>
      </c>
      <c r="AD1263" s="19">
        <v>168</v>
      </c>
      <c r="AE1263" s="43"/>
      <c r="AF1263" s="43"/>
      <c r="AG1263" s="43"/>
      <c r="AH1263" s="43"/>
      <c r="AI1263" s="43"/>
      <c r="AJ1263" s="43"/>
      <c r="AK1263" s="43"/>
      <c r="AL1263" s="43"/>
      <c r="AM1263" s="43"/>
      <c r="AN1263" s="43"/>
      <c r="AO1263" s="43"/>
      <c r="AP1263" s="43"/>
      <c r="AQ1263" s="43"/>
      <c r="AR1263" s="43"/>
      <c r="AS1263" s="43"/>
      <c r="AT1263" s="43"/>
      <c r="AU1263" s="43"/>
      <c r="AV1263" s="43"/>
    </row>
    <row r="1264" ht="15.75" spans="1:48">
      <c r="A1264" s="12">
        <v>1260</v>
      </c>
      <c r="B1264" s="44" t="s">
        <v>319</v>
      </c>
      <c r="C1264" s="45" t="e">
        <v>#N/A</v>
      </c>
      <c r="D1264" s="46">
        <v>7</v>
      </c>
      <c r="E1264" s="47" t="s">
        <v>50</v>
      </c>
      <c r="F1264" s="48">
        <v>7.17</v>
      </c>
      <c r="G1264" s="38">
        <v>0.83</v>
      </c>
      <c r="H1264" s="39"/>
      <c r="I1264" s="39"/>
      <c r="J1264" s="39"/>
      <c r="K1264" s="39"/>
      <c r="L1264" s="39"/>
      <c r="M1264" s="39"/>
      <c r="N1264" s="39"/>
      <c r="O1264" s="39"/>
      <c r="P1264" s="39"/>
      <c r="Q1264" s="39">
        <v>0.83</v>
      </c>
      <c r="R1264" s="39"/>
      <c r="S1264" s="39"/>
      <c r="T1264" s="39"/>
      <c r="U1264" s="39"/>
      <c r="V1264" s="39"/>
      <c r="W1264" s="39"/>
      <c r="X1264" s="49" t="s">
        <v>95</v>
      </c>
      <c r="Y1264" s="50">
        <v>6022.8</v>
      </c>
      <c r="Z1264" s="51">
        <v>1694</v>
      </c>
      <c r="AA1264" s="52">
        <f t="shared" si="28"/>
        <v>0.281264528126453</v>
      </c>
      <c r="AB1264" s="12">
        <v>1694</v>
      </c>
      <c r="AC1264" s="12">
        <v>0</v>
      </c>
      <c r="AD1264" s="43"/>
      <c r="AE1264" s="43"/>
      <c r="AF1264" s="43"/>
      <c r="AG1264" s="43"/>
      <c r="AH1264" s="43"/>
      <c r="AI1264" s="43"/>
      <c r="AJ1264" s="43"/>
      <c r="AK1264" s="43"/>
      <c r="AL1264" s="43"/>
      <c r="AM1264" s="43"/>
      <c r="AN1264" s="43"/>
      <c r="AO1264" s="43"/>
      <c r="AP1264" s="43"/>
      <c r="AQ1264" s="43"/>
      <c r="AR1264" s="43"/>
      <c r="AS1264" s="43"/>
      <c r="AT1264" s="43"/>
      <c r="AU1264" s="43"/>
      <c r="AV1264" s="43"/>
    </row>
    <row r="1265" ht="15.75" spans="1:48">
      <c r="A1265" s="12">
        <v>1261</v>
      </c>
      <c r="B1265" s="61" t="s">
        <v>320</v>
      </c>
      <c r="C1265" s="62" t="s">
        <v>321</v>
      </c>
      <c r="D1265" s="46">
        <v>18</v>
      </c>
      <c r="E1265" s="47" t="s">
        <v>50</v>
      </c>
      <c r="F1265" s="48">
        <v>6.33</v>
      </c>
      <c r="G1265" s="38">
        <v>1.67</v>
      </c>
      <c r="H1265" s="39"/>
      <c r="I1265" s="39"/>
      <c r="J1265" s="39"/>
      <c r="K1265" s="39"/>
      <c r="L1265" s="39"/>
      <c r="M1265" s="39"/>
      <c r="N1265" s="39"/>
      <c r="O1265" s="39"/>
      <c r="P1265" s="39"/>
      <c r="Q1265" s="39">
        <v>0.83</v>
      </c>
      <c r="R1265" s="39"/>
      <c r="S1265" s="39"/>
      <c r="T1265" s="39">
        <v>0.67</v>
      </c>
      <c r="U1265" s="39">
        <v>0.17</v>
      </c>
      <c r="V1265" s="39"/>
      <c r="W1265" s="39"/>
      <c r="X1265" s="49">
        <v>2801</v>
      </c>
      <c r="Y1265" s="50">
        <v>3829.65</v>
      </c>
      <c r="Z1265" s="51">
        <v>1560</v>
      </c>
      <c r="AA1265" s="52">
        <f t="shared" si="28"/>
        <v>0.40734792996749</v>
      </c>
      <c r="AB1265" s="12">
        <v>1560</v>
      </c>
      <c r="AC1265" s="12">
        <v>0</v>
      </c>
      <c r="AD1265" s="43"/>
      <c r="AE1265" s="43"/>
      <c r="AF1265" s="43"/>
      <c r="AG1265" s="43"/>
      <c r="AH1265" s="43"/>
      <c r="AI1265" s="43"/>
      <c r="AJ1265" s="43"/>
      <c r="AK1265" s="43"/>
      <c r="AL1265" s="43"/>
      <c r="AM1265" s="43"/>
      <c r="AN1265" s="43"/>
      <c r="AO1265" s="43"/>
      <c r="AP1265" s="43"/>
      <c r="AQ1265" s="43"/>
      <c r="AR1265" s="43"/>
      <c r="AS1265" s="43"/>
      <c r="AT1265" s="43"/>
      <c r="AU1265" s="43"/>
      <c r="AV1265" s="43"/>
    </row>
    <row r="1266" ht="15.75" spans="1:48">
      <c r="A1266" s="12">
        <v>1262</v>
      </c>
      <c r="B1266" s="44">
        <v>1448</v>
      </c>
      <c r="C1266" s="45" t="s">
        <v>296</v>
      </c>
      <c r="D1266" s="46">
        <v>5</v>
      </c>
      <c r="E1266" s="47" t="s">
        <v>50</v>
      </c>
      <c r="F1266" s="48">
        <v>4.2</v>
      </c>
      <c r="G1266" s="38">
        <v>6.31</v>
      </c>
      <c r="H1266" s="39"/>
      <c r="I1266" s="39"/>
      <c r="J1266" s="39"/>
      <c r="K1266" s="39"/>
      <c r="L1266" s="39"/>
      <c r="M1266" s="39"/>
      <c r="N1266" s="39"/>
      <c r="O1266" s="39"/>
      <c r="P1266" s="39"/>
      <c r="Q1266" s="39">
        <v>1.17</v>
      </c>
      <c r="R1266" s="39"/>
      <c r="S1266" s="39">
        <v>2.67</v>
      </c>
      <c r="T1266" s="39"/>
      <c r="U1266" s="39">
        <v>0.17</v>
      </c>
      <c r="V1266" s="39">
        <v>2.3</v>
      </c>
      <c r="W1266" s="39"/>
      <c r="X1266" s="49">
        <v>5770</v>
      </c>
      <c r="Y1266" s="50">
        <v>2541</v>
      </c>
      <c r="Z1266" s="51">
        <v>2520</v>
      </c>
      <c r="AA1266" s="52">
        <f t="shared" ref="AA1266:AA1328" si="29">IFERROR(Z1266/Y1266,0)</f>
        <v>0.991735537190083</v>
      </c>
      <c r="AB1266" s="12">
        <v>2403</v>
      </c>
      <c r="AC1266" s="12">
        <v>117</v>
      </c>
      <c r="AD1266" s="19">
        <v>117</v>
      </c>
      <c r="AE1266" s="43"/>
      <c r="AF1266" s="43"/>
      <c r="AG1266" s="43"/>
      <c r="AH1266" s="43"/>
      <c r="AI1266" s="43"/>
      <c r="AJ1266" s="43"/>
      <c r="AK1266" s="43"/>
      <c r="AL1266" s="43"/>
      <c r="AM1266" s="43"/>
      <c r="AN1266" s="43"/>
      <c r="AO1266" s="43"/>
      <c r="AP1266" s="43"/>
      <c r="AQ1266" s="43"/>
      <c r="AR1266" s="43"/>
      <c r="AS1266" s="43"/>
      <c r="AT1266" s="43"/>
      <c r="AU1266" s="43"/>
      <c r="AV1266" s="43"/>
    </row>
    <row r="1267" ht="15.75" spans="1:48">
      <c r="A1267" s="12">
        <v>1263</v>
      </c>
      <c r="B1267" s="44">
        <v>1448</v>
      </c>
      <c r="C1267" s="45" t="s">
        <v>296</v>
      </c>
      <c r="D1267" s="46">
        <v>3</v>
      </c>
      <c r="E1267" s="47" t="s">
        <v>50</v>
      </c>
      <c r="F1267" s="48">
        <v>0.8</v>
      </c>
      <c r="G1267" s="38">
        <v>0</v>
      </c>
      <c r="H1267" s="39"/>
      <c r="I1267" s="39"/>
      <c r="J1267" s="39"/>
      <c r="K1267" s="39"/>
      <c r="L1267" s="39"/>
      <c r="M1267" s="39"/>
      <c r="N1267" s="39"/>
      <c r="O1267" s="39"/>
      <c r="P1267" s="39"/>
      <c r="Q1267" s="39"/>
      <c r="R1267" s="39"/>
      <c r="S1267" s="39"/>
      <c r="T1267" s="39"/>
      <c r="U1267" s="39"/>
      <c r="V1267" s="39"/>
      <c r="W1267" s="39"/>
      <c r="X1267" s="49">
        <v>9740</v>
      </c>
      <c r="Y1267" s="50">
        <v>336</v>
      </c>
      <c r="Z1267" s="51">
        <v>339</v>
      </c>
      <c r="AA1267" s="52">
        <f t="shared" si="29"/>
        <v>1.00892857142857</v>
      </c>
      <c r="AB1267" s="12">
        <v>339</v>
      </c>
      <c r="AC1267" s="12">
        <v>0</v>
      </c>
      <c r="AD1267" s="43"/>
      <c r="AE1267" s="43"/>
      <c r="AF1267" s="43"/>
      <c r="AG1267" s="43"/>
      <c r="AH1267" s="43"/>
      <c r="AI1267" s="43"/>
      <c r="AJ1267" s="43"/>
      <c r="AK1267" s="43"/>
      <c r="AL1267" s="43"/>
      <c r="AM1267" s="43"/>
      <c r="AN1267" s="43"/>
      <c r="AO1267" s="43"/>
      <c r="AP1267" s="43"/>
      <c r="AQ1267" s="43"/>
      <c r="AR1267" s="43"/>
      <c r="AS1267" s="43"/>
      <c r="AT1267" s="43"/>
      <c r="AU1267" s="43"/>
      <c r="AV1267" s="43"/>
    </row>
    <row r="1268" ht="15.75" spans="1:48">
      <c r="A1268" s="12">
        <v>1264</v>
      </c>
      <c r="B1268" s="44" t="s">
        <v>211</v>
      </c>
      <c r="C1268" s="45" t="s">
        <v>176</v>
      </c>
      <c r="D1268" s="46">
        <v>8</v>
      </c>
      <c r="E1268" s="47" t="s">
        <v>50</v>
      </c>
      <c r="F1268" s="48">
        <v>4</v>
      </c>
      <c r="G1268" s="38">
        <v>0</v>
      </c>
      <c r="H1268" s="39"/>
      <c r="I1268" s="39"/>
      <c r="J1268" s="39"/>
      <c r="K1268" s="39"/>
      <c r="L1268" s="39"/>
      <c r="M1268" s="39"/>
      <c r="N1268" s="39"/>
      <c r="O1268" s="39"/>
      <c r="P1268" s="39"/>
      <c r="Q1268" s="39"/>
      <c r="R1268" s="39"/>
      <c r="S1268" s="39"/>
      <c r="T1268" s="39"/>
      <c r="U1268" s="39"/>
      <c r="V1268" s="39"/>
      <c r="W1268" s="39"/>
      <c r="X1268" s="49">
        <v>6270</v>
      </c>
      <c r="Y1268" s="50">
        <v>2420</v>
      </c>
      <c r="Z1268" s="51">
        <v>2460</v>
      </c>
      <c r="AA1268" s="52">
        <f t="shared" si="29"/>
        <v>1.01652892561983</v>
      </c>
      <c r="AB1268" s="12">
        <v>2460</v>
      </c>
      <c r="AC1268" s="12">
        <v>0</v>
      </c>
      <c r="AD1268" s="43"/>
      <c r="AE1268" s="43"/>
      <c r="AF1268" s="43"/>
      <c r="AG1268" s="43"/>
      <c r="AH1268" s="43"/>
      <c r="AI1268" s="43"/>
      <c r="AJ1268" s="43"/>
      <c r="AK1268" s="43"/>
      <c r="AL1268" s="43"/>
      <c r="AM1268" s="43"/>
      <c r="AN1268" s="43"/>
      <c r="AO1268" s="43"/>
      <c r="AP1268" s="43"/>
      <c r="AQ1268" s="43"/>
      <c r="AR1268" s="43"/>
      <c r="AS1268" s="43"/>
      <c r="AT1268" s="43"/>
      <c r="AU1268" s="43"/>
      <c r="AV1268" s="43"/>
    </row>
    <row r="1269" ht="15.75" spans="1:48">
      <c r="A1269" s="12">
        <v>1265</v>
      </c>
      <c r="B1269" s="44" t="s">
        <v>211</v>
      </c>
      <c r="C1269" s="45" t="s">
        <v>176</v>
      </c>
      <c r="D1269" s="46"/>
      <c r="E1269" s="47" t="s">
        <v>50</v>
      </c>
      <c r="F1269" s="48">
        <v>1</v>
      </c>
      <c r="G1269" s="38">
        <v>0</v>
      </c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  <c r="S1269" s="39"/>
      <c r="T1269" s="39"/>
      <c r="U1269" s="39"/>
      <c r="V1269" s="39"/>
      <c r="W1269" s="39"/>
      <c r="X1269" s="49" t="s">
        <v>103</v>
      </c>
      <c r="Y1269" s="50">
        <v>840</v>
      </c>
      <c r="Z1269" s="51">
        <v>720</v>
      </c>
      <c r="AA1269" s="52">
        <f t="shared" si="29"/>
        <v>0.857142857142857</v>
      </c>
      <c r="AB1269" s="12">
        <v>720</v>
      </c>
      <c r="AC1269" s="12">
        <v>0</v>
      </c>
      <c r="AD1269" s="43"/>
      <c r="AE1269" s="43"/>
      <c r="AF1269" s="43"/>
      <c r="AG1269" s="43"/>
      <c r="AH1269" s="43"/>
      <c r="AI1269" s="43"/>
      <c r="AJ1269" s="43"/>
      <c r="AK1269" s="43"/>
      <c r="AL1269" s="43"/>
      <c r="AM1269" s="43"/>
      <c r="AN1269" s="43"/>
      <c r="AO1269" s="43"/>
      <c r="AP1269" s="43"/>
      <c r="AQ1269" s="43"/>
      <c r="AR1269" s="43"/>
      <c r="AS1269" s="43"/>
      <c r="AT1269" s="43"/>
      <c r="AU1269" s="43"/>
      <c r="AV1269" s="43"/>
    </row>
    <row r="1270" ht="15.75" spans="1:48">
      <c r="A1270" s="12">
        <v>1266</v>
      </c>
      <c r="B1270" s="61" t="s">
        <v>322</v>
      </c>
      <c r="C1270" s="62" t="s">
        <v>323</v>
      </c>
      <c r="D1270" s="46"/>
      <c r="E1270" s="47" t="s">
        <v>50</v>
      </c>
      <c r="F1270" s="48">
        <v>1.67</v>
      </c>
      <c r="G1270" s="38">
        <v>0.83</v>
      </c>
      <c r="H1270" s="39"/>
      <c r="I1270" s="39"/>
      <c r="J1270" s="39"/>
      <c r="K1270" s="39"/>
      <c r="L1270" s="39"/>
      <c r="M1270" s="39"/>
      <c r="N1270" s="39"/>
      <c r="O1270" s="39"/>
      <c r="P1270" s="39"/>
      <c r="Q1270" s="39">
        <v>0.83</v>
      </c>
      <c r="R1270" s="39"/>
      <c r="S1270" s="39"/>
      <c r="T1270" s="39"/>
      <c r="U1270" s="39"/>
      <c r="V1270" s="39"/>
      <c r="W1270" s="39"/>
      <c r="X1270" s="49" t="s">
        <v>234</v>
      </c>
      <c r="Y1270" s="50">
        <v>6212.4</v>
      </c>
      <c r="Z1270" s="51">
        <v>1350</v>
      </c>
      <c r="AA1270" s="52">
        <f t="shared" si="29"/>
        <v>0.217307320842187</v>
      </c>
      <c r="AB1270" s="12">
        <v>1350</v>
      </c>
      <c r="AC1270" s="12">
        <v>0</v>
      </c>
      <c r="AD1270" s="43"/>
      <c r="AE1270" s="43"/>
      <c r="AF1270" s="43"/>
      <c r="AG1270" s="43"/>
      <c r="AH1270" s="43"/>
      <c r="AI1270" s="43"/>
      <c r="AJ1270" s="43"/>
      <c r="AK1270" s="43"/>
      <c r="AL1270" s="43"/>
      <c r="AM1270" s="43"/>
      <c r="AN1270" s="43"/>
      <c r="AO1270" s="43"/>
      <c r="AP1270" s="43"/>
      <c r="AQ1270" s="43"/>
      <c r="AR1270" s="43"/>
      <c r="AS1270" s="43"/>
      <c r="AT1270" s="43"/>
      <c r="AU1270" s="43"/>
      <c r="AV1270" s="43"/>
    </row>
    <row r="1271" ht="15.75" spans="1:48">
      <c r="A1271" s="12">
        <v>1267</v>
      </c>
      <c r="B1271" s="61" t="s">
        <v>322</v>
      </c>
      <c r="C1271" s="62" t="s">
        <v>323</v>
      </c>
      <c r="D1271" s="46"/>
      <c r="E1271" s="47" t="s">
        <v>50</v>
      </c>
      <c r="F1271" s="48">
        <v>3.5</v>
      </c>
      <c r="G1271" s="38">
        <v>0</v>
      </c>
      <c r="H1271" s="39"/>
      <c r="I1271" s="39"/>
      <c r="J1271" s="39"/>
      <c r="K1271" s="39"/>
      <c r="L1271" s="39"/>
      <c r="M1271" s="39"/>
      <c r="N1271" s="39"/>
      <c r="O1271" s="39"/>
      <c r="P1271" s="39"/>
      <c r="Q1271" s="39"/>
      <c r="R1271" s="39"/>
      <c r="S1271" s="39"/>
      <c r="T1271" s="39"/>
      <c r="U1271" s="39"/>
      <c r="V1271" s="39"/>
      <c r="W1271" s="39"/>
      <c r="X1271" s="49" t="s">
        <v>324</v>
      </c>
      <c r="Y1271" s="50">
        <v>1680</v>
      </c>
      <c r="Z1271" s="51">
        <v>360</v>
      </c>
      <c r="AA1271" s="52">
        <f t="shared" si="29"/>
        <v>0.214285714285714</v>
      </c>
      <c r="AB1271" s="12">
        <v>360</v>
      </c>
      <c r="AC1271" s="12">
        <v>0</v>
      </c>
      <c r="AD1271" s="43"/>
      <c r="AE1271" s="43"/>
      <c r="AF1271" s="43"/>
      <c r="AG1271" s="43"/>
      <c r="AH1271" s="43"/>
      <c r="AI1271" s="43"/>
      <c r="AJ1271" s="43"/>
      <c r="AK1271" s="43"/>
      <c r="AL1271" s="43"/>
      <c r="AM1271" s="43"/>
      <c r="AN1271" s="43"/>
      <c r="AO1271" s="43"/>
      <c r="AP1271" s="43"/>
      <c r="AQ1271" s="43"/>
      <c r="AR1271" s="43"/>
      <c r="AS1271" s="43"/>
      <c r="AT1271" s="43"/>
      <c r="AU1271" s="43"/>
      <c r="AV1271" s="43"/>
    </row>
    <row r="1272" ht="15.75" spans="1:48">
      <c r="A1272" s="12">
        <v>1268</v>
      </c>
      <c r="B1272" s="61" t="s">
        <v>322</v>
      </c>
      <c r="C1272" s="62" t="s">
        <v>323</v>
      </c>
      <c r="D1272" s="46"/>
      <c r="E1272" s="47" t="s">
        <v>50</v>
      </c>
      <c r="F1272" s="48">
        <v>2</v>
      </c>
      <c r="G1272" s="38">
        <v>0</v>
      </c>
      <c r="H1272" s="39"/>
      <c r="I1272" s="39"/>
      <c r="J1272" s="39"/>
      <c r="K1272" s="39"/>
      <c r="L1272" s="39"/>
      <c r="M1272" s="39"/>
      <c r="N1272" s="39"/>
      <c r="O1272" s="39"/>
      <c r="P1272" s="39"/>
      <c r="Q1272" s="39"/>
      <c r="R1272" s="39"/>
      <c r="S1272" s="39"/>
      <c r="T1272" s="39"/>
      <c r="U1272" s="39"/>
      <c r="V1272" s="39"/>
      <c r="W1272" s="39"/>
      <c r="X1272" s="49" t="s">
        <v>103</v>
      </c>
      <c r="Y1272" s="50">
        <v>1680</v>
      </c>
      <c r="Z1272" s="51">
        <v>360</v>
      </c>
      <c r="AA1272" s="52">
        <f t="shared" si="29"/>
        <v>0.214285714285714</v>
      </c>
      <c r="AB1272" s="12">
        <v>360</v>
      </c>
      <c r="AC1272" s="12">
        <v>0</v>
      </c>
      <c r="AD1272" s="43"/>
      <c r="AE1272" s="43"/>
      <c r="AF1272" s="43"/>
      <c r="AG1272" s="43"/>
      <c r="AH1272" s="43"/>
      <c r="AI1272" s="43"/>
      <c r="AJ1272" s="43"/>
      <c r="AK1272" s="43"/>
      <c r="AL1272" s="43"/>
      <c r="AM1272" s="43"/>
      <c r="AN1272" s="43"/>
      <c r="AO1272" s="43"/>
      <c r="AP1272" s="43"/>
      <c r="AQ1272" s="43"/>
      <c r="AR1272" s="43"/>
      <c r="AS1272" s="43"/>
      <c r="AT1272" s="43"/>
      <c r="AU1272" s="43"/>
      <c r="AV1272" s="43"/>
    </row>
    <row r="1273" ht="15.75" spans="1:48">
      <c r="A1273" s="12">
        <v>1269</v>
      </c>
      <c r="B1273" s="61" t="s">
        <v>325</v>
      </c>
      <c r="C1273" s="62" t="s">
        <v>326</v>
      </c>
      <c r="D1273" s="46"/>
      <c r="E1273" s="47" t="s">
        <v>50</v>
      </c>
      <c r="F1273" s="48">
        <v>7.17</v>
      </c>
      <c r="G1273" s="38">
        <v>0.833</v>
      </c>
      <c r="H1273" s="39"/>
      <c r="I1273" s="39"/>
      <c r="J1273" s="39"/>
      <c r="K1273" s="39"/>
      <c r="L1273" s="39"/>
      <c r="M1273" s="39"/>
      <c r="N1273" s="39"/>
      <c r="O1273" s="39"/>
      <c r="P1273" s="39"/>
      <c r="Q1273" s="39">
        <v>0.333</v>
      </c>
      <c r="R1273" s="39"/>
      <c r="S1273" s="39"/>
      <c r="T1273" s="39"/>
      <c r="U1273" s="39"/>
      <c r="V1273" s="39"/>
      <c r="W1273" s="39">
        <v>0.5</v>
      </c>
      <c r="X1273" s="49" t="s">
        <v>103</v>
      </c>
      <c r="Y1273" s="50">
        <v>6022.8</v>
      </c>
      <c r="Z1273" s="51">
        <v>2400</v>
      </c>
      <c r="AA1273" s="52">
        <f t="shared" si="29"/>
        <v>0.39848575413429</v>
      </c>
      <c r="AB1273" s="12">
        <v>2400</v>
      </c>
      <c r="AC1273" s="12">
        <v>0</v>
      </c>
      <c r="AD1273" s="43"/>
      <c r="AE1273" s="43"/>
      <c r="AF1273" s="43"/>
      <c r="AG1273" s="43"/>
      <c r="AH1273" s="43"/>
      <c r="AI1273" s="43"/>
      <c r="AJ1273" s="43"/>
      <c r="AK1273" s="43"/>
      <c r="AL1273" s="43"/>
      <c r="AM1273" s="43"/>
      <c r="AN1273" s="43"/>
      <c r="AO1273" s="43"/>
      <c r="AP1273" s="43"/>
      <c r="AQ1273" s="43"/>
      <c r="AR1273" s="43"/>
      <c r="AS1273" s="43"/>
      <c r="AT1273" s="43"/>
      <c r="AU1273" s="43"/>
      <c r="AV1273" s="43"/>
    </row>
    <row r="1274" ht="15.75" spans="1:48">
      <c r="A1274" s="12">
        <v>1270</v>
      </c>
      <c r="B1274" s="44" t="s">
        <v>327</v>
      </c>
      <c r="C1274" s="45" t="e">
        <v>#N/A</v>
      </c>
      <c r="D1274" s="46"/>
      <c r="E1274" s="47" t="s">
        <v>50</v>
      </c>
      <c r="F1274" s="48">
        <v>5.33</v>
      </c>
      <c r="G1274" s="38">
        <v>1.67</v>
      </c>
      <c r="H1274" s="39"/>
      <c r="I1274" s="39"/>
      <c r="J1274" s="39"/>
      <c r="K1274" s="39"/>
      <c r="L1274" s="39"/>
      <c r="M1274" s="39"/>
      <c r="N1274" s="39"/>
      <c r="O1274" s="39"/>
      <c r="P1274" s="39"/>
      <c r="Q1274" s="39">
        <v>0.67</v>
      </c>
      <c r="R1274" s="39"/>
      <c r="S1274" s="39"/>
      <c r="T1274" s="39"/>
      <c r="U1274" s="39"/>
      <c r="V1274" s="39"/>
      <c r="W1274" s="39">
        <v>1</v>
      </c>
      <c r="X1274" s="49" t="s">
        <v>103</v>
      </c>
      <c r="Y1274" s="50">
        <v>2686.32</v>
      </c>
      <c r="Z1274" s="51">
        <v>1560</v>
      </c>
      <c r="AA1274" s="52">
        <f t="shared" si="29"/>
        <v>0.580720092915215</v>
      </c>
      <c r="AB1274" s="12">
        <v>1560</v>
      </c>
      <c r="AC1274" s="12">
        <v>0</v>
      </c>
      <c r="AD1274" s="43"/>
      <c r="AE1274" s="43"/>
      <c r="AF1274" s="43"/>
      <c r="AG1274" s="43"/>
      <c r="AH1274" s="43"/>
      <c r="AI1274" s="43"/>
      <c r="AJ1274" s="43"/>
      <c r="AK1274" s="43"/>
      <c r="AL1274" s="43"/>
      <c r="AM1274" s="43"/>
      <c r="AN1274" s="43"/>
      <c r="AO1274" s="43"/>
      <c r="AP1274" s="43"/>
      <c r="AQ1274" s="43"/>
      <c r="AR1274" s="43"/>
      <c r="AS1274" s="43"/>
      <c r="AT1274" s="43"/>
      <c r="AU1274" s="43"/>
      <c r="AV1274" s="43"/>
    </row>
    <row r="1275" ht="15.75" spans="1:48">
      <c r="A1275" s="12">
        <v>1271</v>
      </c>
      <c r="B1275" s="61" t="s">
        <v>328</v>
      </c>
      <c r="C1275" s="62" t="s">
        <v>329</v>
      </c>
      <c r="D1275" s="46"/>
      <c r="E1275" s="47" t="s">
        <v>50</v>
      </c>
      <c r="F1275" s="48">
        <v>7.17</v>
      </c>
      <c r="G1275" s="38">
        <v>0.83</v>
      </c>
      <c r="H1275" s="39"/>
      <c r="I1275" s="39"/>
      <c r="J1275" s="39"/>
      <c r="K1275" s="39"/>
      <c r="L1275" s="39"/>
      <c r="M1275" s="39"/>
      <c r="N1275" s="39"/>
      <c r="O1275" s="39"/>
      <c r="P1275" s="39"/>
      <c r="Q1275" s="39">
        <v>0.83</v>
      </c>
      <c r="R1275" s="39"/>
      <c r="S1275" s="39"/>
      <c r="T1275" s="39"/>
      <c r="U1275" s="39"/>
      <c r="V1275" s="39"/>
      <c r="W1275" s="39"/>
      <c r="X1275" s="49" t="s">
        <v>103</v>
      </c>
      <c r="Y1275" s="50">
        <v>6022.8</v>
      </c>
      <c r="Z1275" s="51">
        <v>1680</v>
      </c>
      <c r="AA1275" s="52">
        <f t="shared" si="29"/>
        <v>0.278940027894003</v>
      </c>
      <c r="AB1275" s="12">
        <v>1680</v>
      </c>
      <c r="AC1275" s="12">
        <v>0</v>
      </c>
      <c r="AD1275" s="43"/>
      <c r="AE1275" s="43"/>
      <c r="AF1275" s="43"/>
      <c r="AG1275" s="43"/>
      <c r="AH1275" s="43"/>
      <c r="AI1275" s="43"/>
      <c r="AJ1275" s="43"/>
      <c r="AK1275" s="43"/>
      <c r="AL1275" s="43"/>
      <c r="AM1275" s="43"/>
      <c r="AN1275" s="43"/>
      <c r="AO1275" s="43"/>
      <c r="AP1275" s="43"/>
      <c r="AQ1275" s="43"/>
      <c r="AR1275" s="43"/>
      <c r="AS1275" s="43"/>
      <c r="AT1275" s="43"/>
      <c r="AU1275" s="43"/>
      <c r="AV1275" s="43"/>
    </row>
    <row r="1276" ht="15.75" spans="1:48">
      <c r="A1276" s="12">
        <v>1272</v>
      </c>
      <c r="B1276" s="44">
        <v>3277</v>
      </c>
      <c r="C1276" s="45" t="s">
        <v>106</v>
      </c>
      <c r="D1276" s="46"/>
      <c r="E1276" s="47" t="s">
        <v>50</v>
      </c>
      <c r="F1276" s="48">
        <v>8.5</v>
      </c>
      <c r="G1276" s="38">
        <v>1.17</v>
      </c>
      <c r="H1276" s="39"/>
      <c r="I1276" s="39"/>
      <c r="J1276" s="39"/>
      <c r="K1276" s="39"/>
      <c r="L1276" s="39"/>
      <c r="M1276" s="39"/>
      <c r="N1276" s="39"/>
      <c r="O1276" s="39"/>
      <c r="P1276" s="39"/>
      <c r="Q1276" s="39">
        <v>1.17</v>
      </c>
      <c r="R1276" s="39"/>
      <c r="S1276" s="39"/>
      <c r="T1276" s="39"/>
      <c r="U1276" s="39"/>
      <c r="V1276" s="39"/>
      <c r="W1276" s="39"/>
      <c r="X1276" s="49" t="s">
        <v>155</v>
      </c>
      <c r="Y1276" s="50">
        <v>0</v>
      </c>
      <c r="Z1276" s="51"/>
      <c r="AA1276" s="52">
        <f t="shared" si="29"/>
        <v>0</v>
      </c>
      <c r="AB1276" s="12">
        <v>0</v>
      </c>
      <c r="AC1276" s="12">
        <v>0</v>
      </c>
      <c r="AD1276" s="43"/>
      <c r="AE1276" s="43"/>
      <c r="AF1276" s="43"/>
      <c r="AG1276" s="43"/>
      <c r="AH1276" s="43"/>
      <c r="AI1276" s="43"/>
      <c r="AJ1276" s="43"/>
      <c r="AK1276" s="43"/>
      <c r="AL1276" s="43"/>
      <c r="AM1276" s="43"/>
      <c r="AN1276" s="43"/>
      <c r="AO1276" s="43"/>
      <c r="AP1276" s="43"/>
      <c r="AQ1276" s="43"/>
      <c r="AR1276" s="43"/>
      <c r="AS1276" s="43"/>
      <c r="AT1276" s="43"/>
      <c r="AU1276" s="43"/>
      <c r="AV1276" s="43"/>
    </row>
    <row r="1277" ht="15.75" spans="1:48">
      <c r="A1277" s="12">
        <v>1273</v>
      </c>
      <c r="B1277" s="44">
        <v>3277</v>
      </c>
      <c r="C1277" s="45" t="s">
        <v>106</v>
      </c>
      <c r="D1277" s="46"/>
      <c r="E1277" s="47" t="s">
        <v>50</v>
      </c>
      <c r="F1277" s="48">
        <v>2.33</v>
      </c>
      <c r="G1277" s="38">
        <v>0</v>
      </c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  <c r="S1277" s="39"/>
      <c r="T1277" s="39"/>
      <c r="U1277" s="39"/>
      <c r="V1277" s="39"/>
      <c r="W1277" s="39"/>
      <c r="X1277" s="49" t="s">
        <v>103</v>
      </c>
      <c r="Y1277" s="50">
        <v>1957.2</v>
      </c>
      <c r="Z1277" s="51">
        <v>1920</v>
      </c>
      <c r="AA1277" s="52">
        <f t="shared" si="29"/>
        <v>0.980993255671367</v>
      </c>
      <c r="AB1277" s="12">
        <v>1920</v>
      </c>
      <c r="AC1277" s="12">
        <v>0</v>
      </c>
      <c r="AD1277" s="43"/>
      <c r="AE1277" s="43"/>
      <c r="AF1277" s="43"/>
      <c r="AG1277" s="43"/>
      <c r="AH1277" s="43"/>
      <c r="AI1277" s="43"/>
      <c r="AJ1277" s="43"/>
      <c r="AK1277" s="43"/>
      <c r="AL1277" s="43"/>
      <c r="AM1277" s="43"/>
      <c r="AN1277" s="43"/>
      <c r="AO1277" s="43"/>
      <c r="AP1277" s="43"/>
      <c r="AQ1277" s="43"/>
      <c r="AR1277" s="43"/>
      <c r="AS1277" s="43"/>
      <c r="AT1277" s="43"/>
      <c r="AU1277" s="43"/>
      <c r="AV1277" s="43"/>
    </row>
    <row r="1278" ht="15.75" spans="1:48">
      <c r="A1278" s="12">
        <v>1274</v>
      </c>
      <c r="B1278" s="44">
        <v>1448</v>
      </c>
      <c r="C1278" s="45" t="s">
        <v>296</v>
      </c>
      <c r="D1278" s="46"/>
      <c r="E1278" s="47" t="s">
        <v>50</v>
      </c>
      <c r="F1278" s="48">
        <v>0.7</v>
      </c>
      <c r="G1278" s="38">
        <v>0</v>
      </c>
      <c r="H1278" s="39"/>
      <c r="I1278" s="39"/>
      <c r="J1278" s="39"/>
      <c r="K1278" s="39"/>
      <c r="L1278" s="39"/>
      <c r="M1278" s="39"/>
      <c r="N1278" s="39"/>
      <c r="O1278" s="39"/>
      <c r="P1278" s="39"/>
      <c r="Q1278" s="39"/>
      <c r="R1278" s="39"/>
      <c r="S1278" s="39"/>
      <c r="T1278" s="39"/>
      <c r="U1278" s="39"/>
      <c r="V1278" s="39"/>
      <c r="W1278" s="39"/>
      <c r="X1278" s="49" t="s">
        <v>103</v>
      </c>
      <c r="Y1278" s="50">
        <v>588</v>
      </c>
      <c r="Z1278" s="51">
        <v>600</v>
      </c>
      <c r="AA1278" s="52">
        <f t="shared" si="29"/>
        <v>1.02040816326531</v>
      </c>
      <c r="AB1278" s="12">
        <v>600</v>
      </c>
      <c r="AC1278" s="12">
        <v>0</v>
      </c>
      <c r="AD1278" s="43"/>
      <c r="AE1278" s="43"/>
      <c r="AF1278" s="43"/>
      <c r="AG1278" s="43"/>
      <c r="AH1278" s="43"/>
      <c r="AI1278" s="43"/>
      <c r="AJ1278" s="43"/>
      <c r="AK1278" s="43"/>
      <c r="AL1278" s="43"/>
      <c r="AM1278" s="43"/>
      <c r="AN1278" s="43"/>
      <c r="AO1278" s="43"/>
      <c r="AP1278" s="43"/>
      <c r="AQ1278" s="43"/>
      <c r="AR1278" s="43"/>
      <c r="AS1278" s="43"/>
      <c r="AT1278" s="43"/>
      <c r="AU1278" s="43"/>
      <c r="AV1278" s="43"/>
    </row>
    <row r="1279" ht="15.75" spans="1:48">
      <c r="A1279" s="12">
        <v>1275</v>
      </c>
      <c r="B1279" s="44">
        <v>761</v>
      </c>
      <c r="C1279" s="45" t="s">
        <v>89</v>
      </c>
      <c r="D1279" s="46"/>
      <c r="E1279" s="47" t="s">
        <v>50</v>
      </c>
      <c r="F1279" s="48">
        <v>2.17</v>
      </c>
      <c r="G1279" s="38">
        <v>1.34</v>
      </c>
      <c r="H1279" s="39"/>
      <c r="I1279" s="39"/>
      <c r="J1279" s="39"/>
      <c r="K1279" s="39"/>
      <c r="L1279" s="39"/>
      <c r="M1279" s="39"/>
      <c r="N1279" s="39"/>
      <c r="O1279" s="39"/>
      <c r="P1279" s="39"/>
      <c r="Q1279" s="39">
        <v>1.17</v>
      </c>
      <c r="R1279" s="39"/>
      <c r="S1279" s="39"/>
      <c r="T1279" s="39"/>
      <c r="U1279" s="39">
        <v>0.17</v>
      </c>
      <c r="V1279" s="39"/>
      <c r="W1279" s="39"/>
      <c r="X1279" s="49" t="s">
        <v>152</v>
      </c>
      <c r="Y1279" s="50">
        <v>9439.5</v>
      </c>
      <c r="Z1279" s="51">
        <v>9100</v>
      </c>
      <c r="AA1279" s="52">
        <f t="shared" si="29"/>
        <v>0.96403411197627</v>
      </c>
      <c r="AB1279" s="12">
        <v>9100</v>
      </c>
      <c r="AC1279" s="12">
        <v>0</v>
      </c>
      <c r="AD1279" s="43"/>
      <c r="AE1279" s="43"/>
      <c r="AF1279" s="43"/>
      <c r="AG1279" s="43"/>
      <c r="AH1279" s="43"/>
      <c r="AI1279" s="43"/>
      <c r="AJ1279" s="43"/>
      <c r="AK1279" s="43"/>
      <c r="AL1279" s="43"/>
      <c r="AM1279" s="43"/>
      <c r="AN1279" s="43"/>
      <c r="AO1279" s="43"/>
      <c r="AP1279" s="43"/>
      <c r="AQ1279" s="43"/>
      <c r="AR1279" s="43"/>
      <c r="AS1279" s="43"/>
      <c r="AT1279" s="43"/>
      <c r="AU1279" s="43"/>
      <c r="AV1279" s="43"/>
    </row>
    <row r="1280" ht="15.75" spans="1:48">
      <c r="A1280" s="12">
        <v>1276</v>
      </c>
      <c r="B1280" s="44">
        <v>761</v>
      </c>
      <c r="C1280" s="45" t="s">
        <v>89</v>
      </c>
      <c r="D1280" s="46"/>
      <c r="E1280" s="47" t="s">
        <v>50</v>
      </c>
      <c r="F1280" s="48">
        <v>2.33</v>
      </c>
      <c r="G1280" s="38">
        <v>0</v>
      </c>
      <c r="H1280" s="39"/>
      <c r="I1280" s="39"/>
      <c r="J1280" s="39"/>
      <c r="K1280" s="39"/>
      <c r="L1280" s="39"/>
      <c r="M1280" s="39"/>
      <c r="N1280" s="39"/>
      <c r="O1280" s="39"/>
      <c r="P1280" s="39"/>
      <c r="Q1280" s="39"/>
      <c r="R1280" s="39"/>
      <c r="S1280" s="39"/>
      <c r="T1280" s="39"/>
      <c r="U1280" s="39"/>
      <c r="V1280" s="39"/>
      <c r="W1280" s="39"/>
      <c r="X1280" s="49" t="s">
        <v>234</v>
      </c>
      <c r="Y1280" s="50">
        <v>8667.6</v>
      </c>
      <c r="Z1280" s="51">
        <v>8550</v>
      </c>
      <c r="AA1280" s="52">
        <f t="shared" si="29"/>
        <v>0.98643223037519</v>
      </c>
      <c r="AB1280" s="12">
        <v>8550</v>
      </c>
      <c r="AC1280" s="12">
        <v>0</v>
      </c>
      <c r="AD1280" s="43"/>
      <c r="AE1280" s="43"/>
      <c r="AF1280" s="43"/>
      <c r="AG1280" s="43"/>
      <c r="AH1280" s="43"/>
      <c r="AI1280" s="43"/>
      <c r="AJ1280" s="43"/>
      <c r="AK1280" s="43"/>
      <c r="AL1280" s="43"/>
      <c r="AM1280" s="43"/>
      <c r="AN1280" s="43"/>
      <c r="AO1280" s="43"/>
      <c r="AP1280" s="43"/>
      <c r="AQ1280" s="43"/>
      <c r="AR1280" s="43"/>
      <c r="AS1280" s="43"/>
      <c r="AT1280" s="43"/>
      <c r="AU1280" s="43"/>
      <c r="AV1280" s="43"/>
    </row>
    <row r="1281" ht="15.75" spans="1:48">
      <c r="A1281" s="12">
        <v>1277</v>
      </c>
      <c r="B1281" s="44">
        <v>761</v>
      </c>
      <c r="C1281" s="45" t="s">
        <v>89</v>
      </c>
      <c r="D1281" s="46"/>
      <c r="E1281" s="47" t="s">
        <v>50</v>
      </c>
      <c r="F1281" s="48">
        <v>4.17</v>
      </c>
      <c r="G1281" s="38">
        <v>0</v>
      </c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  <c r="S1281" s="39"/>
      <c r="T1281" s="39"/>
      <c r="U1281" s="39"/>
      <c r="V1281" s="39"/>
      <c r="W1281" s="39"/>
      <c r="X1281" s="49" t="s">
        <v>101</v>
      </c>
      <c r="Y1281" s="50">
        <v>8006.4</v>
      </c>
      <c r="Z1281" s="51">
        <v>7740</v>
      </c>
      <c r="AA1281" s="52">
        <f t="shared" si="29"/>
        <v>0.966726618705036</v>
      </c>
      <c r="AB1281" s="12">
        <v>7740</v>
      </c>
      <c r="AC1281" s="12">
        <v>0</v>
      </c>
      <c r="AD1281" s="43"/>
      <c r="AE1281" s="43"/>
      <c r="AF1281" s="43"/>
      <c r="AG1281" s="43"/>
      <c r="AH1281" s="43"/>
      <c r="AI1281" s="43"/>
      <c r="AJ1281" s="43"/>
      <c r="AK1281" s="43"/>
      <c r="AL1281" s="43"/>
      <c r="AM1281" s="43"/>
      <c r="AN1281" s="43"/>
      <c r="AO1281" s="43"/>
      <c r="AP1281" s="43"/>
      <c r="AQ1281" s="43"/>
      <c r="AR1281" s="43"/>
      <c r="AS1281" s="43"/>
      <c r="AT1281" s="43"/>
      <c r="AU1281" s="43"/>
      <c r="AV1281" s="43"/>
    </row>
    <row r="1282" ht="15.75" spans="1:48">
      <c r="A1282" s="12">
        <v>1278</v>
      </c>
      <c r="B1282" s="44" t="s">
        <v>185</v>
      </c>
      <c r="C1282" s="45" t="s">
        <v>179</v>
      </c>
      <c r="D1282" s="46"/>
      <c r="E1282" s="47" t="s">
        <v>50</v>
      </c>
      <c r="F1282" s="48">
        <v>1.17</v>
      </c>
      <c r="G1282" s="38">
        <v>0</v>
      </c>
      <c r="H1282" s="39"/>
      <c r="I1282" s="39"/>
      <c r="J1282" s="39"/>
      <c r="K1282" s="39"/>
      <c r="L1282" s="39"/>
      <c r="M1282" s="39"/>
      <c r="N1282" s="39"/>
      <c r="O1282" s="39"/>
      <c r="P1282" s="39"/>
      <c r="Q1282" s="39"/>
      <c r="R1282" s="39"/>
      <c r="S1282" s="39"/>
      <c r="T1282" s="39"/>
      <c r="U1282" s="39"/>
      <c r="V1282" s="39"/>
      <c r="W1282" s="39"/>
      <c r="X1282" s="49" t="s">
        <v>105</v>
      </c>
      <c r="Y1282" s="50">
        <v>772.2</v>
      </c>
      <c r="Z1282" s="51">
        <v>668</v>
      </c>
      <c r="AA1282" s="52">
        <f t="shared" si="29"/>
        <v>0.865060865060865</v>
      </c>
      <c r="AB1282" s="12">
        <v>668</v>
      </c>
      <c r="AC1282" s="12">
        <v>0</v>
      </c>
      <c r="AD1282" s="43"/>
      <c r="AE1282" s="43"/>
      <c r="AF1282" s="43"/>
      <c r="AG1282" s="43"/>
      <c r="AH1282" s="43"/>
      <c r="AI1282" s="43"/>
      <c r="AJ1282" s="43"/>
      <c r="AK1282" s="43"/>
      <c r="AL1282" s="43"/>
      <c r="AM1282" s="43"/>
      <c r="AN1282" s="43"/>
      <c r="AO1282" s="43"/>
      <c r="AP1282" s="43"/>
      <c r="AQ1282" s="43"/>
      <c r="AR1282" s="43"/>
      <c r="AS1282" s="43"/>
      <c r="AT1282" s="43"/>
      <c r="AU1282" s="43"/>
      <c r="AV1282" s="43"/>
    </row>
    <row r="1283" ht="15.75" spans="1:48">
      <c r="A1283" s="12">
        <v>1279</v>
      </c>
      <c r="B1283" s="44">
        <v>4412</v>
      </c>
      <c r="C1283" s="45" t="s">
        <v>177</v>
      </c>
      <c r="D1283" s="46"/>
      <c r="E1283" s="47" t="s">
        <v>50</v>
      </c>
      <c r="F1283" s="48">
        <v>2.83</v>
      </c>
      <c r="G1283" s="38">
        <v>0.17</v>
      </c>
      <c r="H1283" s="39"/>
      <c r="I1283" s="39"/>
      <c r="J1283" s="39"/>
      <c r="K1283" s="39"/>
      <c r="L1283" s="39"/>
      <c r="M1283" s="39"/>
      <c r="N1283" s="39"/>
      <c r="O1283" s="39"/>
      <c r="P1283" s="39"/>
      <c r="Q1283" s="39">
        <v>0.17</v>
      </c>
      <c r="R1283" s="39"/>
      <c r="S1283" s="39"/>
      <c r="T1283" s="39"/>
      <c r="U1283" s="39"/>
      <c r="V1283" s="39"/>
      <c r="W1283" s="39"/>
      <c r="X1283" s="49" t="s">
        <v>324</v>
      </c>
      <c r="Y1283" s="50">
        <v>1358.4</v>
      </c>
      <c r="Z1283" s="51">
        <v>1351</v>
      </c>
      <c r="AA1283" s="52">
        <f t="shared" si="29"/>
        <v>0.994552414605418</v>
      </c>
      <c r="AB1283" s="12">
        <v>1351</v>
      </c>
      <c r="AC1283" s="12">
        <v>0</v>
      </c>
      <c r="AD1283" s="43"/>
      <c r="AE1283" s="43"/>
      <c r="AF1283" s="43"/>
      <c r="AG1283" s="43"/>
      <c r="AH1283" s="43"/>
      <c r="AI1283" s="43"/>
      <c r="AJ1283" s="43"/>
      <c r="AK1283" s="43"/>
      <c r="AL1283" s="43"/>
      <c r="AM1283" s="43"/>
      <c r="AN1283" s="43"/>
      <c r="AO1283" s="43"/>
      <c r="AP1283" s="43"/>
      <c r="AQ1283" s="43"/>
      <c r="AR1283" s="43"/>
      <c r="AS1283" s="43"/>
      <c r="AT1283" s="43"/>
      <c r="AU1283" s="43"/>
      <c r="AV1283" s="43"/>
    </row>
    <row r="1284" ht="15.75" spans="1:48">
      <c r="A1284" s="12">
        <v>1280</v>
      </c>
      <c r="B1284" s="44">
        <v>698</v>
      </c>
      <c r="C1284" s="45" t="s">
        <v>68</v>
      </c>
      <c r="D1284" s="46"/>
      <c r="E1284" s="47" t="s">
        <v>50</v>
      </c>
      <c r="F1284" s="48">
        <v>10.83</v>
      </c>
      <c r="G1284" s="38">
        <v>1.17</v>
      </c>
      <c r="H1284" s="39"/>
      <c r="I1284" s="39"/>
      <c r="J1284" s="39"/>
      <c r="K1284" s="39"/>
      <c r="L1284" s="39"/>
      <c r="M1284" s="39"/>
      <c r="N1284" s="39"/>
      <c r="O1284" s="39"/>
      <c r="P1284" s="39"/>
      <c r="Q1284" s="39">
        <v>1.17</v>
      </c>
      <c r="R1284" s="39"/>
      <c r="S1284" s="39"/>
      <c r="T1284" s="39"/>
      <c r="U1284" s="39"/>
      <c r="V1284" s="39"/>
      <c r="W1284" s="39"/>
      <c r="X1284" s="49" t="s">
        <v>105</v>
      </c>
      <c r="Y1284" s="50">
        <v>7147.8</v>
      </c>
      <c r="Z1284" s="51">
        <v>5260</v>
      </c>
      <c r="AA1284" s="52">
        <f t="shared" si="29"/>
        <v>0.735890763591595</v>
      </c>
      <c r="AB1284" s="12">
        <v>5260</v>
      </c>
      <c r="AC1284" s="12">
        <v>0</v>
      </c>
      <c r="AD1284" s="43"/>
      <c r="AE1284" s="43"/>
      <c r="AF1284" s="43"/>
      <c r="AG1284" s="43"/>
      <c r="AH1284" s="43"/>
      <c r="AI1284" s="43"/>
      <c r="AJ1284" s="43"/>
      <c r="AK1284" s="43"/>
      <c r="AL1284" s="43"/>
      <c r="AM1284" s="43"/>
      <c r="AN1284" s="43"/>
      <c r="AO1284" s="43"/>
      <c r="AP1284" s="43"/>
      <c r="AQ1284" s="43"/>
      <c r="AR1284" s="43"/>
      <c r="AS1284" s="43"/>
      <c r="AT1284" s="43"/>
      <c r="AU1284" s="43"/>
      <c r="AV1284" s="43"/>
    </row>
    <row r="1285" ht="15.75" spans="1:48">
      <c r="A1285" s="12">
        <v>1281</v>
      </c>
      <c r="B1285" s="44">
        <v>3111</v>
      </c>
      <c r="C1285" s="45" t="s">
        <v>124</v>
      </c>
      <c r="D1285" s="46" t="s">
        <v>264</v>
      </c>
      <c r="E1285" s="47" t="s">
        <v>113</v>
      </c>
      <c r="F1285" s="48">
        <v>9.83</v>
      </c>
      <c r="G1285" s="38">
        <v>2.16</v>
      </c>
      <c r="H1285" s="39"/>
      <c r="I1285" s="39"/>
      <c r="J1285" s="39"/>
      <c r="K1285" s="39">
        <v>0.66</v>
      </c>
      <c r="L1285" s="39"/>
      <c r="M1285" s="39"/>
      <c r="N1285" s="39"/>
      <c r="O1285" s="39"/>
      <c r="P1285" s="39"/>
      <c r="Q1285" s="39">
        <v>1.33</v>
      </c>
      <c r="R1285" s="39"/>
      <c r="S1285" s="39"/>
      <c r="T1285" s="39"/>
      <c r="U1285" s="39">
        <v>0.17</v>
      </c>
      <c r="V1285" s="39"/>
      <c r="W1285" s="39"/>
      <c r="X1285" s="49" t="s">
        <v>216</v>
      </c>
      <c r="Y1285" s="50">
        <v>8355.5</v>
      </c>
      <c r="Z1285" s="51">
        <v>8000</v>
      </c>
      <c r="AA1285" s="52">
        <f t="shared" si="29"/>
        <v>0.957453174555682</v>
      </c>
      <c r="AB1285" s="12">
        <v>8000</v>
      </c>
      <c r="AC1285" s="12">
        <v>0</v>
      </c>
      <c r="AD1285" s="43"/>
      <c r="AE1285" s="43"/>
      <c r="AF1285" s="43"/>
      <c r="AG1285" s="43"/>
      <c r="AH1285" s="43"/>
      <c r="AI1285" s="43"/>
      <c r="AJ1285" s="43"/>
      <c r="AK1285" s="43"/>
      <c r="AL1285" s="43"/>
      <c r="AM1285" s="43"/>
      <c r="AN1285" s="43"/>
      <c r="AO1285" s="43"/>
      <c r="AP1285" s="43"/>
      <c r="AQ1285" s="43"/>
      <c r="AR1285" s="43"/>
      <c r="AS1285" s="43"/>
      <c r="AT1285" s="43"/>
      <c r="AU1285" s="43"/>
      <c r="AV1285" s="43"/>
    </row>
    <row r="1286" ht="15.75" spans="1:48">
      <c r="A1286" s="12">
        <v>1282</v>
      </c>
      <c r="B1286" s="44">
        <v>2890</v>
      </c>
      <c r="C1286" s="45" t="s">
        <v>111</v>
      </c>
      <c r="D1286" s="46" t="s">
        <v>116</v>
      </c>
      <c r="E1286" s="47" t="s">
        <v>113</v>
      </c>
      <c r="F1286" s="48">
        <v>10</v>
      </c>
      <c r="G1286" s="38">
        <v>2</v>
      </c>
      <c r="H1286" s="39"/>
      <c r="I1286" s="39"/>
      <c r="J1286" s="39"/>
      <c r="K1286" s="39">
        <v>0.17</v>
      </c>
      <c r="L1286" s="39"/>
      <c r="M1286" s="39"/>
      <c r="N1286" s="39"/>
      <c r="O1286" s="39"/>
      <c r="P1286" s="39"/>
      <c r="Q1286" s="39">
        <v>1.33</v>
      </c>
      <c r="R1286" s="39"/>
      <c r="S1286" s="39"/>
      <c r="T1286" s="39">
        <v>0.5</v>
      </c>
      <c r="U1286" s="39"/>
      <c r="V1286" s="39"/>
      <c r="W1286" s="39"/>
      <c r="X1286" s="49" t="s">
        <v>284</v>
      </c>
      <c r="Y1286" s="50">
        <v>8000</v>
      </c>
      <c r="Z1286" s="51">
        <v>8000</v>
      </c>
      <c r="AA1286" s="52">
        <f t="shared" si="29"/>
        <v>1</v>
      </c>
      <c r="AB1286" s="12">
        <v>7971</v>
      </c>
      <c r="AC1286" s="12">
        <v>29</v>
      </c>
      <c r="AD1286" s="43"/>
      <c r="AE1286" s="43"/>
      <c r="AF1286" s="43"/>
      <c r="AG1286" s="43"/>
      <c r="AH1286" s="43"/>
      <c r="AI1286" s="43"/>
      <c r="AJ1286" s="43"/>
      <c r="AK1286" s="19">
        <v>8</v>
      </c>
      <c r="AL1286" s="43"/>
      <c r="AM1286" s="43"/>
      <c r="AN1286" s="19">
        <v>21</v>
      </c>
      <c r="AO1286" s="43"/>
      <c r="AP1286" s="43"/>
      <c r="AQ1286" s="43"/>
      <c r="AR1286" s="43"/>
      <c r="AS1286" s="43"/>
      <c r="AT1286" s="43"/>
      <c r="AU1286" s="43"/>
      <c r="AV1286" s="43"/>
    </row>
    <row r="1287" ht="15.75" spans="1:48">
      <c r="A1287" s="12">
        <v>1283</v>
      </c>
      <c r="B1287" s="44">
        <v>4418</v>
      </c>
      <c r="C1287" s="45" t="s">
        <v>125</v>
      </c>
      <c r="D1287" s="46">
        <v>11</v>
      </c>
      <c r="E1287" s="47" t="s">
        <v>113</v>
      </c>
      <c r="F1287" s="48">
        <v>10.5</v>
      </c>
      <c r="G1287" s="38">
        <v>1.5</v>
      </c>
      <c r="H1287" s="39"/>
      <c r="I1287" s="39"/>
      <c r="J1287" s="39"/>
      <c r="K1287" s="39"/>
      <c r="L1287" s="39"/>
      <c r="M1287" s="39"/>
      <c r="N1287" s="39"/>
      <c r="O1287" s="39"/>
      <c r="P1287" s="39"/>
      <c r="Q1287" s="39">
        <v>1.33</v>
      </c>
      <c r="R1287" s="39"/>
      <c r="S1287" s="39"/>
      <c r="T1287" s="39"/>
      <c r="U1287" s="39">
        <v>0.17</v>
      </c>
      <c r="V1287" s="39"/>
      <c r="W1287" s="39"/>
      <c r="X1287" s="49" t="s">
        <v>239</v>
      </c>
      <c r="Y1287" s="50">
        <v>5355</v>
      </c>
      <c r="Z1287" s="51">
        <v>5265</v>
      </c>
      <c r="AA1287" s="52">
        <f t="shared" si="29"/>
        <v>0.983193277310924</v>
      </c>
      <c r="AB1287" s="12">
        <v>5265</v>
      </c>
      <c r="AC1287" s="12">
        <v>0</v>
      </c>
      <c r="AD1287" s="43"/>
      <c r="AE1287" s="43"/>
      <c r="AF1287" s="43"/>
      <c r="AG1287" s="43"/>
      <c r="AH1287" s="43"/>
      <c r="AI1287" s="43"/>
      <c r="AJ1287" s="43"/>
      <c r="AK1287" s="43"/>
      <c r="AL1287" s="43"/>
      <c r="AM1287" s="43"/>
      <c r="AN1287" s="43"/>
      <c r="AO1287" s="43"/>
      <c r="AP1287" s="43"/>
      <c r="AQ1287" s="43"/>
      <c r="AR1287" s="43"/>
      <c r="AS1287" s="43"/>
      <c r="AT1287" s="43"/>
      <c r="AU1287" s="43"/>
      <c r="AV1287" s="43"/>
    </row>
    <row r="1288" ht="15.75" spans="1:48">
      <c r="A1288" s="12">
        <v>1284</v>
      </c>
      <c r="B1288" s="44">
        <v>4456</v>
      </c>
      <c r="C1288" s="45" t="s">
        <v>119</v>
      </c>
      <c r="D1288" s="46"/>
      <c r="E1288" s="47" t="s">
        <v>113</v>
      </c>
      <c r="F1288" s="48">
        <v>10.66</v>
      </c>
      <c r="G1288" s="38">
        <v>1.33</v>
      </c>
      <c r="H1288" s="39"/>
      <c r="I1288" s="39"/>
      <c r="J1288" s="39"/>
      <c r="K1288" s="39"/>
      <c r="L1288" s="39"/>
      <c r="M1288" s="39"/>
      <c r="N1288" s="39"/>
      <c r="O1288" s="39"/>
      <c r="P1288" s="39"/>
      <c r="Q1288" s="39">
        <v>1.33</v>
      </c>
      <c r="R1288" s="39"/>
      <c r="S1288" s="39"/>
      <c r="T1288" s="39"/>
      <c r="U1288" s="39"/>
      <c r="V1288" s="39"/>
      <c r="W1288" s="39"/>
      <c r="X1288" s="49" t="s">
        <v>120</v>
      </c>
      <c r="Y1288" s="50">
        <v>2665</v>
      </c>
      <c r="Z1288" s="51">
        <v>2550</v>
      </c>
      <c r="AA1288" s="52">
        <f t="shared" si="29"/>
        <v>0.956848030018762</v>
      </c>
      <c r="AB1288" s="12">
        <v>2550</v>
      </c>
      <c r="AC1288" s="12">
        <v>0</v>
      </c>
      <c r="AD1288" s="43"/>
      <c r="AE1288" s="43"/>
      <c r="AF1288" s="43"/>
      <c r="AG1288" s="43"/>
      <c r="AH1288" s="43"/>
      <c r="AI1288" s="43"/>
      <c r="AJ1288" s="43"/>
      <c r="AK1288" s="43"/>
      <c r="AL1288" s="43"/>
      <c r="AM1288" s="43"/>
      <c r="AN1288" s="43"/>
      <c r="AO1288" s="43"/>
      <c r="AP1288" s="43"/>
      <c r="AQ1288" s="43"/>
      <c r="AR1288" s="43"/>
      <c r="AS1288" s="43"/>
      <c r="AT1288" s="43"/>
      <c r="AU1288" s="43"/>
      <c r="AV1288" s="43"/>
    </row>
    <row r="1289" ht="15.75" spans="1:48">
      <c r="A1289" s="12">
        <v>1285</v>
      </c>
      <c r="B1289" s="44">
        <v>655</v>
      </c>
      <c r="C1289" s="45" t="s">
        <v>198</v>
      </c>
      <c r="D1289" s="46">
        <v>12</v>
      </c>
      <c r="E1289" s="47" t="s">
        <v>113</v>
      </c>
      <c r="F1289" s="48">
        <v>10.5</v>
      </c>
      <c r="G1289" s="38">
        <v>1.5</v>
      </c>
      <c r="H1289" s="39"/>
      <c r="I1289" s="39"/>
      <c r="J1289" s="39"/>
      <c r="K1289" s="39"/>
      <c r="L1289" s="39"/>
      <c r="M1289" s="39"/>
      <c r="N1289" s="39"/>
      <c r="O1289" s="39"/>
      <c r="P1289" s="39"/>
      <c r="Q1289" s="39">
        <v>1.33</v>
      </c>
      <c r="R1289" s="39"/>
      <c r="S1289" s="39"/>
      <c r="T1289" s="39"/>
      <c r="U1289" s="39">
        <v>0.17</v>
      </c>
      <c r="V1289" s="39"/>
      <c r="W1289" s="39"/>
      <c r="X1289" s="49" t="s">
        <v>71</v>
      </c>
      <c r="Y1289" s="50">
        <v>3517.5</v>
      </c>
      <c r="Z1289" s="51">
        <v>3480</v>
      </c>
      <c r="AA1289" s="52">
        <f t="shared" si="29"/>
        <v>0.989339019189765</v>
      </c>
      <c r="AB1289" s="12">
        <v>3480</v>
      </c>
      <c r="AC1289" s="12">
        <v>0</v>
      </c>
      <c r="AD1289" s="43"/>
      <c r="AE1289" s="43"/>
      <c r="AF1289" s="43"/>
      <c r="AG1289" s="43"/>
      <c r="AH1289" s="43"/>
      <c r="AI1289" s="43"/>
      <c r="AJ1289" s="43"/>
      <c r="AK1289" s="43"/>
      <c r="AL1289" s="43"/>
      <c r="AM1289" s="43"/>
      <c r="AN1289" s="43"/>
      <c r="AO1289" s="43"/>
      <c r="AP1289" s="43"/>
      <c r="AQ1289" s="43"/>
      <c r="AR1289" s="43"/>
      <c r="AS1289" s="43"/>
      <c r="AT1289" s="43"/>
      <c r="AU1289" s="43"/>
      <c r="AV1289" s="43"/>
    </row>
    <row r="1290" ht="15.75" spans="1:48">
      <c r="A1290" s="12">
        <v>1286</v>
      </c>
      <c r="B1290" s="44">
        <v>4505</v>
      </c>
      <c r="C1290" s="45" t="s">
        <v>330</v>
      </c>
      <c r="D1290" s="46">
        <v>1</v>
      </c>
      <c r="E1290" s="47" t="s">
        <v>113</v>
      </c>
      <c r="F1290" s="48">
        <v>10.5</v>
      </c>
      <c r="G1290" s="38">
        <v>1.5</v>
      </c>
      <c r="H1290" s="39"/>
      <c r="I1290" s="39"/>
      <c r="J1290" s="39"/>
      <c r="K1290" s="39"/>
      <c r="L1290" s="39"/>
      <c r="M1290" s="39"/>
      <c r="N1290" s="39"/>
      <c r="O1290" s="39"/>
      <c r="P1290" s="39"/>
      <c r="Q1290" s="39">
        <v>1.33</v>
      </c>
      <c r="R1290" s="39"/>
      <c r="S1290" s="39"/>
      <c r="T1290" s="39"/>
      <c r="U1290" s="39">
        <v>0.17</v>
      </c>
      <c r="V1290" s="39"/>
      <c r="W1290" s="39"/>
      <c r="X1290" s="49" t="s">
        <v>199</v>
      </c>
      <c r="Y1290" s="50">
        <v>3675</v>
      </c>
      <c r="Z1290" s="51">
        <v>3600</v>
      </c>
      <c r="AA1290" s="52">
        <f t="shared" si="29"/>
        <v>0.979591836734694</v>
      </c>
      <c r="AB1290" s="12">
        <v>3600</v>
      </c>
      <c r="AC1290" s="12">
        <v>0</v>
      </c>
      <c r="AD1290" s="43"/>
      <c r="AE1290" s="43"/>
      <c r="AF1290" s="43"/>
      <c r="AG1290" s="43"/>
      <c r="AH1290" s="43"/>
      <c r="AI1290" s="43"/>
      <c r="AJ1290" s="43"/>
      <c r="AK1290" s="43"/>
      <c r="AL1290" s="43"/>
      <c r="AM1290" s="43"/>
      <c r="AN1290" s="43"/>
      <c r="AO1290" s="43"/>
      <c r="AP1290" s="43"/>
      <c r="AQ1290" s="43"/>
      <c r="AR1290" s="43"/>
      <c r="AS1290" s="43"/>
      <c r="AT1290" s="43"/>
      <c r="AU1290" s="43"/>
      <c r="AV1290" s="43"/>
    </row>
    <row r="1291" ht="15.75" spans="1:48">
      <c r="A1291" s="12">
        <v>1287</v>
      </c>
      <c r="B1291" s="44">
        <v>3959</v>
      </c>
      <c r="C1291" s="45" t="s">
        <v>123</v>
      </c>
      <c r="D1291" s="46"/>
      <c r="E1291" s="47" t="s">
        <v>113</v>
      </c>
      <c r="F1291" s="48">
        <v>10.66</v>
      </c>
      <c r="G1291" s="38">
        <v>1.33</v>
      </c>
      <c r="H1291" s="39"/>
      <c r="I1291" s="39"/>
      <c r="J1291" s="39"/>
      <c r="K1291" s="39"/>
      <c r="L1291" s="39"/>
      <c r="M1291" s="39"/>
      <c r="N1291" s="39"/>
      <c r="O1291" s="39"/>
      <c r="P1291" s="39"/>
      <c r="Q1291" s="39">
        <v>1.33</v>
      </c>
      <c r="R1291" s="39"/>
      <c r="S1291" s="39"/>
      <c r="T1291" s="39"/>
      <c r="U1291" s="39"/>
      <c r="V1291" s="39"/>
      <c r="W1291" s="39"/>
      <c r="X1291" s="49">
        <v>9276</v>
      </c>
      <c r="Y1291" s="50">
        <v>5330</v>
      </c>
      <c r="Z1291" s="51">
        <v>5330</v>
      </c>
      <c r="AA1291" s="52">
        <f t="shared" si="29"/>
        <v>1</v>
      </c>
      <c r="AB1291" s="12">
        <v>5330</v>
      </c>
      <c r="AC1291" s="12">
        <v>0</v>
      </c>
      <c r="AD1291" s="43"/>
      <c r="AE1291" s="43"/>
      <c r="AF1291" s="43"/>
      <c r="AG1291" s="43"/>
      <c r="AH1291" s="43"/>
      <c r="AI1291" s="43"/>
      <c r="AJ1291" s="43"/>
      <c r="AK1291" s="43"/>
      <c r="AL1291" s="43"/>
      <c r="AM1291" s="43"/>
      <c r="AN1291" s="43"/>
      <c r="AO1291" s="43"/>
      <c r="AP1291" s="43"/>
      <c r="AQ1291" s="43"/>
      <c r="AR1291" s="43"/>
      <c r="AS1291" s="43"/>
      <c r="AT1291" s="43"/>
      <c r="AU1291" s="43"/>
      <c r="AV1291" s="43"/>
    </row>
    <row r="1292" ht="15.75" spans="1:48">
      <c r="A1292" s="12">
        <v>1288</v>
      </c>
      <c r="B1292" s="44">
        <v>2649</v>
      </c>
      <c r="C1292" s="45" t="s">
        <v>121</v>
      </c>
      <c r="D1292" s="46"/>
      <c r="E1292" s="47" t="s">
        <v>113</v>
      </c>
      <c r="F1292" s="48">
        <v>8</v>
      </c>
      <c r="G1292" s="38">
        <v>1.33</v>
      </c>
      <c r="H1292" s="39"/>
      <c r="I1292" s="39"/>
      <c r="J1292" s="39"/>
      <c r="K1292" s="39"/>
      <c r="L1292" s="39"/>
      <c r="M1292" s="39"/>
      <c r="N1292" s="39"/>
      <c r="O1292" s="39"/>
      <c r="P1292" s="39"/>
      <c r="Q1292" s="39">
        <v>1.33</v>
      </c>
      <c r="R1292" s="39"/>
      <c r="S1292" s="39"/>
      <c r="T1292" s="39"/>
      <c r="U1292" s="39"/>
      <c r="V1292" s="39"/>
      <c r="W1292" s="39"/>
      <c r="X1292" s="49" t="s">
        <v>127</v>
      </c>
      <c r="Y1292" s="50">
        <v>10400</v>
      </c>
      <c r="Z1292" s="51">
        <v>11205</v>
      </c>
      <c r="AA1292" s="52">
        <f t="shared" si="29"/>
        <v>1.07740384615385</v>
      </c>
      <c r="AB1292" s="12">
        <v>11205</v>
      </c>
      <c r="AC1292" s="12">
        <v>0</v>
      </c>
      <c r="AD1292" s="43"/>
      <c r="AE1292" s="43"/>
      <c r="AF1292" s="43"/>
      <c r="AG1292" s="43"/>
      <c r="AH1292" s="43"/>
      <c r="AI1292" s="43"/>
      <c r="AJ1292" s="43"/>
      <c r="AK1292" s="43"/>
      <c r="AL1292" s="43"/>
      <c r="AM1292" s="43"/>
      <c r="AN1292" s="43"/>
      <c r="AO1292" s="43"/>
      <c r="AP1292" s="43"/>
      <c r="AQ1292" s="43"/>
      <c r="AR1292" s="43"/>
      <c r="AS1292" s="43"/>
      <c r="AT1292" s="43"/>
      <c r="AU1292" s="43"/>
      <c r="AV1292" s="43"/>
    </row>
    <row r="1293" ht="15.75" spans="1:48">
      <c r="A1293" s="12">
        <v>1289</v>
      </c>
      <c r="B1293" s="44">
        <v>2649</v>
      </c>
      <c r="C1293" s="45" t="s">
        <v>121</v>
      </c>
      <c r="D1293" s="46"/>
      <c r="E1293" s="47" t="s">
        <v>113</v>
      </c>
      <c r="F1293" s="48">
        <v>2.66</v>
      </c>
      <c r="G1293" s="38">
        <v>0</v>
      </c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  <c r="S1293" s="39"/>
      <c r="T1293" s="39"/>
      <c r="U1293" s="39"/>
      <c r="V1293" s="39"/>
      <c r="W1293" s="39"/>
      <c r="X1293" s="49" t="s">
        <v>122</v>
      </c>
      <c r="Y1293" s="50">
        <v>0</v>
      </c>
      <c r="Z1293" s="51"/>
      <c r="AA1293" s="52">
        <f t="shared" si="29"/>
        <v>0</v>
      </c>
      <c r="AB1293" s="12">
        <v>0</v>
      </c>
      <c r="AC1293" s="12">
        <v>0</v>
      </c>
      <c r="AD1293" s="43"/>
      <c r="AE1293" s="43"/>
      <c r="AF1293" s="43"/>
      <c r="AG1293" s="43"/>
      <c r="AH1293" s="43"/>
      <c r="AI1293" s="43"/>
      <c r="AJ1293" s="43"/>
      <c r="AK1293" s="43"/>
      <c r="AL1293" s="43"/>
      <c r="AM1293" s="43"/>
      <c r="AN1293" s="43"/>
      <c r="AO1293" s="43"/>
      <c r="AP1293" s="43"/>
      <c r="AQ1293" s="43"/>
      <c r="AR1293" s="43"/>
      <c r="AS1293" s="43"/>
      <c r="AT1293" s="43"/>
      <c r="AU1293" s="43"/>
      <c r="AV1293" s="43"/>
    </row>
    <row r="1294" ht="15.75" spans="1:48">
      <c r="A1294" s="12">
        <v>1290</v>
      </c>
      <c r="B1294" s="44">
        <v>4325</v>
      </c>
      <c r="C1294" s="45" t="s">
        <v>118</v>
      </c>
      <c r="D1294" s="46"/>
      <c r="E1294" s="47" t="s">
        <v>113</v>
      </c>
      <c r="F1294" s="48">
        <v>1</v>
      </c>
      <c r="G1294" s="38">
        <v>0</v>
      </c>
      <c r="H1294" s="39"/>
      <c r="I1294" s="39"/>
      <c r="J1294" s="39"/>
      <c r="K1294" s="39"/>
      <c r="L1294" s="39"/>
      <c r="M1294" s="39"/>
      <c r="N1294" s="39"/>
      <c r="O1294" s="39"/>
      <c r="P1294" s="39"/>
      <c r="Q1294" s="39"/>
      <c r="R1294" s="39"/>
      <c r="S1294" s="39"/>
      <c r="T1294" s="39"/>
      <c r="U1294" s="39"/>
      <c r="V1294" s="39"/>
      <c r="W1294" s="39"/>
      <c r="X1294" s="49" t="s">
        <v>127</v>
      </c>
      <c r="Y1294" s="50">
        <v>1300</v>
      </c>
      <c r="Z1294" s="51">
        <v>1350</v>
      </c>
      <c r="AA1294" s="52">
        <f t="shared" si="29"/>
        <v>1.03846153846154</v>
      </c>
      <c r="AB1294" s="12">
        <v>1350</v>
      </c>
      <c r="AC1294" s="12">
        <v>0</v>
      </c>
      <c r="AD1294" s="43"/>
      <c r="AE1294" s="43"/>
      <c r="AF1294" s="43"/>
      <c r="AG1294" s="43"/>
      <c r="AH1294" s="43"/>
      <c r="AI1294" s="43"/>
      <c r="AJ1294" s="43"/>
      <c r="AK1294" s="43"/>
      <c r="AL1294" s="43"/>
      <c r="AM1294" s="43"/>
      <c r="AN1294" s="43"/>
      <c r="AO1294" s="43"/>
      <c r="AP1294" s="43"/>
      <c r="AQ1294" s="43"/>
      <c r="AR1294" s="43"/>
      <c r="AS1294" s="43"/>
      <c r="AT1294" s="43"/>
      <c r="AU1294" s="43"/>
      <c r="AV1294" s="43"/>
    </row>
    <row r="1295" ht="15.75" spans="1:48">
      <c r="A1295" s="12">
        <v>1291</v>
      </c>
      <c r="B1295" s="44">
        <v>4325</v>
      </c>
      <c r="C1295" s="45" t="s">
        <v>118</v>
      </c>
      <c r="D1295" s="46"/>
      <c r="E1295" s="47" t="s">
        <v>113</v>
      </c>
      <c r="F1295" s="48">
        <v>9.66</v>
      </c>
      <c r="G1295" s="38">
        <v>1.33</v>
      </c>
      <c r="H1295" s="39"/>
      <c r="I1295" s="39"/>
      <c r="J1295" s="39"/>
      <c r="K1295" s="39"/>
      <c r="L1295" s="39"/>
      <c r="M1295" s="39"/>
      <c r="N1295" s="39"/>
      <c r="O1295" s="39"/>
      <c r="P1295" s="39"/>
      <c r="Q1295" s="39">
        <v>1.33</v>
      </c>
      <c r="R1295" s="39"/>
      <c r="S1295" s="39"/>
      <c r="T1295" s="39"/>
      <c r="U1295" s="39"/>
      <c r="V1295" s="39"/>
      <c r="W1295" s="39"/>
      <c r="X1295" s="49" t="s">
        <v>305</v>
      </c>
      <c r="Y1295" s="50">
        <v>8790.6</v>
      </c>
      <c r="Z1295" s="51">
        <v>9130</v>
      </c>
      <c r="AA1295" s="52">
        <f t="shared" si="29"/>
        <v>1.03860942370259</v>
      </c>
      <c r="AB1295" s="12">
        <v>7270</v>
      </c>
      <c r="AC1295" s="12">
        <v>1860</v>
      </c>
      <c r="AD1295" s="43"/>
      <c r="AE1295" s="43"/>
      <c r="AF1295" s="43"/>
      <c r="AG1295" s="43"/>
      <c r="AH1295" s="43"/>
      <c r="AI1295" s="43"/>
      <c r="AJ1295" s="43"/>
      <c r="AK1295" s="43"/>
      <c r="AL1295" s="43"/>
      <c r="AM1295" s="43"/>
      <c r="AN1295" s="19">
        <v>1860</v>
      </c>
      <c r="AO1295" s="43"/>
      <c r="AP1295" s="43"/>
      <c r="AQ1295" s="43"/>
      <c r="AR1295" s="43"/>
      <c r="AS1295" s="43"/>
      <c r="AT1295" s="43"/>
      <c r="AU1295" s="43"/>
      <c r="AV1295" s="43"/>
    </row>
    <row r="1296" ht="15.75" spans="1:48">
      <c r="A1296" s="12">
        <v>1292</v>
      </c>
      <c r="B1296" s="44">
        <v>4496</v>
      </c>
      <c r="C1296" s="45" t="s">
        <v>133</v>
      </c>
      <c r="D1296" s="46" t="s">
        <v>207</v>
      </c>
      <c r="E1296" s="47" t="s">
        <v>113</v>
      </c>
      <c r="F1296" s="48">
        <v>10.17</v>
      </c>
      <c r="G1296" s="38">
        <v>1.83</v>
      </c>
      <c r="H1296" s="39"/>
      <c r="I1296" s="39"/>
      <c r="J1296" s="39"/>
      <c r="K1296" s="39">
        <v>0.17</v>
      </c>
      <c r="L1296" s="39"/>
      <c r="M1296" s="39"/>
      <c r="N1296" s="39"/>
      <c r="O1296" s="39"/>
      <c r="P1296" s="39"/>
      <c r="Q1296" s="39">
        <v>1.33</v>
      </c>
      <c r="R1296" s="39"/>
      <c r="S1296" s="39"/>
      <c r="T1296" s="39"/>
      <c r="U1296" s="39">
        <v>0.33</v>
      </c>
      <c r="V1296" s="39"/>
      <c r="W1296" s="39"/>
      <c r="X1296" s="49" t="s">
        <v>79</v>
      </c>
      <c r="Y1296" s="50">
        <v>67732.2</v>
      </c>
      <c r="Z1296" s="51">
        <v>60480</v>
      </c>
      <c r="AA1296" s="52">
        <f t="shared" si="29"/>
        <v>0.892928326556645</v>
      </c>
      <c r="AB1296" s="12">
        <v>60456</v>
      </c>
      <c r="AC1296" s="12">
        <v>24</v>
      </c>
      <c r="AD1296" s="43"/>
      <c r="AE1296" s="43"/>
      <c r="AF1296" s="43"/>
      <c r="AG1296" s="19">
        <v>24</v>
      </c>
      <c r="AH1296" s="43"/>
      <c r="AI1296" s="43"/>
      <c r="AJ1296" s="43"/>
      <c r="AK1296" s="43"/>
      <c r="AL1296" s="43"/>
      <c r="AM1296" s="43"/>
      <c r="AN1296" s="43"/>
      <c r="AO1296" s="43"/>
      <c r="AP1296" s="43"/>
      <c r="AQ1296" s="43"/>
      <c r="AR1296" s="43"/>
      <c r="AS1296" s="43"/>
      <c r="AT1296" s="43"/>
      <c r="AU1296" s="43"/>
      <c r="AV1296" s="43"/>
    </row>
    <row r="1297" ht="15.75" spans="1:48">
      <c r="A1297" s="12">
        <v>1293</v>
      </c>
      <c r="B1297" s="44">
        <v>4496</v>
      </c>
      <c r="C1297" s="45" t="s">
        <v>133</v>
      </c>
      <c r="D1297" s="46" t="s">
        <v>76</v>
      </c>
      <c r="E1297" s="47" t="s">
        <v>113</v>
      </c>
      <c r="F1297" s="48">
        <v>10</v>
      </c>
      <c r="G1297" s="38">
        <v>1.99</v>
      </c>
      <c r="H1297" s="39"/>
      <c r="I1297" s="39"/>
      <c r="J1297" s="39"/>
      <c r="K1297" s="39">
        <v>0.33</v>
      </c>
      <c r="L1297" s="39"/>
      <c r="M1297" s="39"/>
      <c r="N1297" s="39"/>
      <c r="O1297" s="39"/>
      <c r="P1297" s="39"/>
      <c r="Q1297" s="39">
        <v>1.33</v>
      </c>
      <c r="R1297" s="39"/>
      <c r="S1297" s="39"/>
      <c r="T1297" s="39"/>
      <c r="U1297" s="39">
        <v>0.33</v>
      </c>
      <c r="V1297" s="39"/>
      <c r="W1297" s="39"/>
      <c r="X1297" s="49" t="s">
        <v>77</v>
      </c>
      <c r="Y1297" s="50">
        <v>60000</v>
      </c>
      <c r="Z1297" s="51">
        <v>56368</v>
      </c>
      <c r="AA1297" s="52">
        <f t="shared" si="29"/>
        <v>0.939466666666667</v>
      </c>
      <c r="AB1297" s="12">
        <v>56328</v>
      </c>
      <c r="AC1297" s="12">
        <v>40</v>
      </c>
      <c r="AD1297" s="43"/>
      <c r="AE1297" s="43"/>
      <c r="AF1297" s="43"/>
      <c r="AG1297" s="19">
        <v>40</v>
      </c>
      <c r="AH1297" s="43"/>
      <c r="AI1297" s="43"/>
      <c r="AJ1297" s="43"/>
      <c r="AK1297" s="43"/>
      <c r="AL1297" s="43"/>
      <c r="AM1297" s="43"/>
      <c r="AN1297" s="43"/>
      <c r="AO1297" s="43"/>
      <c r="AP1297" s="43"/>
      <c r="AQ1297" s="43"/>
      <c r="AR1297" s="43"/>
      <c r="AS1297" s="43"/>
      <c r="AT1297" s="43"/>
      <c r="AU1297" s="43"/>
      <c r="AV1297" s="43"/>
    </row>
    <row r="1298" ht="15.75" spans="1:48">
      <c r="A1298" s="12">
        <v>1294</v>
      </c>
      <c r="B1298" s="44">
        <v>4496</v>
      </c>
      <c r="C1298" s="45" t="s">
        <v>133</v>
      </c>
      <c r="D1298" s="46" t="s">
        <v>78</v>
      </c>
      <c r="E1298" s="47" t="s">
        <v>113</v>
      </c>
      <c r="F1298" s="48">
        <v>10.17</v>
      </c>
      <c r="G1298" s="38">
        <v>1.83</v>
      </c>
      <c r="H1298" s="39"/>
      <c r="I1298" s="39"/>
      <c r="J1298" s="39"/>
      <c r="K1298" s="39">
        <v>0.17</v>
      </c>
      <c r="L1298" s="39"/>
      <c r="M1298" s="39"/>
      <c r="N1298" s="39"/>
      <c r="O1298" s="39"/>
      <c r="P1298" s="39"/>
      <c r="Q1298" s="39">
        <v>1.33</v>
      </c>
      <c r="R1298" s="39"/>
      <c r="S1298" s="39"/>
      <c r="T1298" s="39"/>
      <c r="U1298" s="39">
        <v>0.33</v>
      </c>
      <c r="V1298" s="39"/>
      <c r="W1298" s="39"/>
      <c r="X1298" s="49" t="s">
        <v>79</v>
      </c>
      <c r="Y1298" s="50">
        <v>67732.2</v>
      </c>
      <c r="Z1298" s="51">
        <v>60640</v>
      </c>
      <c r="AA1298" s="52">
        <f t="shared" si="29"/>
        <v>0.895290570806795</v>
      </c>
      <c r="AB1298" s="12">
        <v>60608</v>
      </c>
      <c r="AC1298" s="12">
        <v>32</v>
      </c>
      <c r="AD1298" s="43"/>
      <c r="AE1298" s="43"/>
      <c r="AF1298" s="43"/>
      <c r="AG1298" s="19">
        <v>32</v>
      </c>
      <c r="AH1298" s="43"/>
      <c r="AI1298" s="43"/>
      <c r="AJ1298" s="43"/>
      <c r="AK1298" s="43"/>
      <c r="AL1298" s="43"/>
      <c r="AM1298" s="43"/>
      <c r="AN1298" s="43"/>
      <c r="AO1298" s="43"/>
      <c r="AP1298" s="43"/>
      <c r="AQ1298" s="43"/>
      <c r="AR1298" s="43"/>
      <c r="AS1298" s="43"/>
      <c r="AT1298" s="43"/>
      <c r="AU1298" s="43"/>
      <c r="AV1298" s="43"/>
    </row>
    <row r="1299" ht="15.75" spans="1:48">
      <c r="A1299" s="12">
        <v>1295</v>
      </c>
      <c r="B1299" s="44">
        <v>4019</v>
      </c>
      <c r="C1299" s="45" t="s">
        <v>134</v>
      </c>
      <c r="D1299" s="46" t="s">
        <v>73</v>
      </c>
      <c r="E1299" s="47" t="s">
        <v>113</v>
      </c>
      <c r="F1299" s="48">
        <v>10.33</v>
      </c>
      <c r="G1299" s="38">
        <v>1.67</v>
      </c>
      <c r="H1299" s="39"/>
      <c r="I1299" s="39"/>
      <c r="J1299" s="39"/>
      <c r="K1299" s="39">
        <v>0.17</v>
      </c>
      <c r="L1299" s="39"/>
      <c r="M1299" s="39"/>
      <c r="N1299" s="39"/>
      <c r="O1299" s="39"/>
      <c r="P1299" s="39"/>
      <c r="Q1299" s="39">
        <v>1.33</v>
      </c>
      <c r="R1299" s="39"/>
      <c r="S1299" s="39"/>
      <c r="T1299" s="39"/>
      <c r="U1299" s="39">
        <v>0.17</v>
      </c>
      <c r="V1299" s="39"/>
      <c r="W1299" s="39"/>
      <c r="X1299" s="49" t="s">
        <v>74</v>
      </c>
      <c r="Y1299" s="50">
        <v>16786.25</v>
      </c>
      <c r="Z1299" s="51">
        <v>16500</v>
      </c>
      <c r="AA1299" s="52">
        <f t="shared" si="29"/>
        <v>0.982947352744061</v>
      </c>
      <c r="AB1299" s="12">
        <v>16470</v>
      </c>
      <c r="AC1299" s="12">
        <v>30</v>
      </c>
      <c r="AD1299" s="43"/>
      <c r="AE1299" s="43"/>
      <c r="AF1299" s="43"/>
      <c r="AG1299" s="19">
        <v>30</v>
      </c>
      <c r="AH1299" s="43"/>
      <c r="AI1299" s="43"/>
      <c r="AJ1299" s="43"/>
      <c r="AK1299" s="43"/>
      <c r="AL1299" s="43"/>
      <c r="AM1299" s="43"/>
      <c r="AN1299" s="43"/>
      <c r="AO1299" s="43"/>
      <c r="AP1299" s="43"/>
      <c r="AQ1299" s="43"/>
      <c r="AR1299" s="43"/>
      <c r="AS1299" s="43"/>
      <c r="AT1299" s="43"/>
      <c r="AU1299" s="43"/>
      <c r="AV1299" s="43"/>
    </row>
    <row r="1300" ht="15.75" spans="1:48">
      <c r="A1300" s="12">
        <v>1296</v>
      </c>
      <c r="B1300" s="44">
        <v>4352</v>
      </c>
      <c r="C1300" s="45" t="s">
        <v>132</v>
      </c>
      <c r="D1300" s="46" t="s">
        <v>81</v>
      </c>
      <c r="E1300" s="47" t="s">
        <v>113</v>
      </c>
      <c r="F1300" s="48">
        <v>4.67</v>
      </c>
      <c r="G1300" s="38">
        <v>1.5</v>
      </c>
      <c r="H1300" s="39"/>
      <c r="I1300" s="39"/>
      <c r="J1300" s="39"/>
      <c r="K1300" s="39"/>
      <c r="L1300" s="39"/>
      <c r="M1300" s="39"/>
      <c r="N1300" s="39"/>
      <c r="O1300" s="39"/>
      <c r="P1300" s="39"/>
      <c r="Q1300" s="39">
        <v>1.33</v>
      </c>
      <c r="R1300" s="39"/>
      <c r="S1300" s="39"/>
      <c r="T1300" s="39"/>
      <c r="U1300" s="39">
        <v>0.17</v>
      </c>
      <c r="V1300" s="39"/>
      <c r="W1300" s="39"/>
      <c r="X1300" s="49" t="s">
        <v>82</v>
      </c>
      <c r="Y1300" s="50">
        <v>7588.75</v>
      </c>
      <c r="Z1300" s="51">
        <v>7600</v>
      </c>
      <c r="AA1300" s="52">
        <f t="shared" si="29"/>
        <v>1.00148245758524</v>
      </c>
      <c r="AB1300" s="12">
        <v>7588</v>
      </c>
      <c r="AC1300" s="12">
        <v>12</v>
      </c>
      <c r="AD1300" s="43"/>
      <c r="AE1300" s="43"/>
      <c r="AF1300" s="43"/>
      <c r="AG1300" s="19">
        <v>12</v>
      </c>
      <c r="AH1300" s="43"/>
      <c r="AI1300" s="43"/>
      <c r="AJ1300" s="43"/>
      <c r="AK1300" s="43"/>
      <c r="AL1300" s="43"/>
      <c r="AM1300" s="43"/>
      <c r="AN1300" s="43"/>
      <c r="AO1300" s="43"/>
      <c r="AP1300" s="43"/>
      <c r="AQ1300" s="43"/>
      <c r="AR1300" s="43"/>
      <c r="AS1300" s="43"/>
      <c r="AT1300" s="43"/>
      <c r="AU1300" s="43"/>
      <c r="AV1300" s="43"/>
    </row>
    <row r="1301" ht="15.75" spans="1:48">
      <c r="A1301" s="12">
        <v>1297</v>
      </c>
      <c r="B1301" s="44">
        <v>4352</v>
      </c>
      <c r="C1301" s="45" t="s">
        <v>132</v>
      </c>
      <c r="D1301" s="46" t="s">
        <v>129</v>
      </c>
      <c r="E1301" s="47" t="s">
        <v>113</v>
      </c>
      <c r="F1301" s="48">
        <v>5.67</v>
      </c>
      <c r="G1301" s="38">
        <v>0.17</v>
      </c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  <c r="S1301" s="39"/>
      <c r="T1301" s="39"/>
      <c r="U1301" s="39">
        <v>0.17</v>
      </c>
      <c r="V1301" s="39"/>
      <c r="W1301" s="39"/>
      <c r="X1301" s="49" t="s">
        <v>311</v>
      </c>
      <c r="Y1301" s="50">
        <v>11340</v>
      </c>
      <c r="Z1301" s="51">
        <v>11188</v>
      </c>
      <c r="AA1301" s="52">
        <f t="shared" si="29"/>
        <v>0.986596119929453</v>
      </c>
      <c r="AB1301" s="12">
        <v>11176</v>
      </c>
      <c r="AC1301" s="12">
        <v>12</v>
      </c>
      <c r="AD1301" s="43"/>
      <c r="AE1301" s="43"/>
      <c r="AF1301" s="43"/>
      <c r="AG1301" s="19">
        <v>12</v>
      </c>
      <c r="AH1301" s="43"/>
      <c r="AI1301" s="43"/>
      <c r="AJ1301" s="43"/>
      <c r="AK1301" s="43"/>
      <c r="AL1301" s="43"/>
      <c r="AM1301" s="43"/>
      <c r="AN1301" s="43"/>
      <c r="AO1301" s="43"/>
      <c r="AP1301" s="43"/>
      <c r="AQ1301" s="43"/>
      <c r="AR1301" s="43"/>
      <c r="AS1301" s="43"/>
      <c r="AT1301" s="43"/>
      <c r="AU1301" s="43"/>
      <c r="AV1301" s="43"/>
    </row>
    <row r="1302" ht="15.75" spans="1:48">
      <c r="A1302" s="12">
        <v>1298</v>
      </c>
      <c r="B1302" s="44">
        <v>3919</v>
      </c>
      <c r="C1302" s="45" t="s">
        <v>137</v>
      </c>
      <c r="D1302" s="46" t="s">
        <v>129</v>
      </c>
      <c r="E1302" s="47" t="s">
        <v>113</v>
      </c>
      <c r="F1302" s="48">
        <v>2</v>
      </c>
      <c r="G1302" s="38">
        <v>0</v>
      </c>
      <c r="H1302" s="39"/>
      <c r="I1302" s="39"/>
      <c r="J1302" s="39"/>
      <c r="K1302" s="39"/>
      <c r="L1302" s="39"/>
      <c r="M1302" s="39"/>
      <c r="N1302" s="39"/>
      <c r="O1302" s="39"/>
      <c r="P1302" s="39"/>
      <c r="Q1302" s="39"/>
      <c r="R1302" s="39"/>
      <c r="S1302" s="39"/>
      <c r="T1302" s="39"/>
      <c r="U1302" s="39"/>
      <c r="V1302" s="39"/>
      <c r="W1302" s="39"/>
      <c r="X1302" s="49" t="s">
        <v>311</v>
      </c>
      <c r="Y1302" s="50">
        <v>4000</v>
      </c>
      <c r="Z1302" s="51">
        <v>4512</v>
      </c>
      <c r="AA1302" s="52">
        <f t="shared" si="29"/>
        <v>1.128</v>
      </c>
      <c r="AB1302" s="12">
        <v>4512</v>
      </c>
      <c r="AC1302" s="12">
        <v>0</v>
      </c>
      <c r="AD1302" s="43"/>
      <c r="AE1302" s="43"/>
      <c r="AF1302" s="43"/>
      <c r="AG1302" s="43"/>
      <c r="AH1302" s="43"/>
      <c r="AI1302" s="43"/>
      <c r="AJ1302" s="43"/>
      <c r="AK1302" s="43"/>
      <c r="AL1302" s="43"/>
      <c r="AM1302" s="43"/>
      <c r="AN1302" s="43"/>
      <c r="AO1302" s="43"/>
      <c r="AP1302" s="43"/>
      <c r="AQ1302" s="43"/>
      <c r="AR1302" s="43"/>
      <c r="AS1302" s="43"/>
      <c r="AT1302" s="43"/>
      <c r="AU1302" s="43"/>
      <c r="AV1302" s="43"/>
    </row>
    <row r="1303" ht="15.75" spans="1:48">
      <c r="A1303" s="12">
        <v>1299</v>
      </c>
      <c r="B1303" s="44">
        <v>3919</v>
      </c>
      <c r="C1303" s="45" t="s">
        <v>137</v>
      </c>
      <c r="D1303" s="46" t="s">
        <v>138</v>
      </c>
      <c r="E1303" s="47" t="s">
        <v>113</v>
      </c>
      <c r="F1303" s="48">
        <v>1.17</v>
      </c>
      <c r="G1303" s="38">
        <v>8.83</v>
      </c>
      <c r="H1303" s="39"/>
      <c r="I1303" s="39"/>
      <c r="J1303" s="39"/>
      <c r="K1303" s="39"/>
      <c r="L1303" s="39"/>
      <c r="M1303" s="39"/>
      <c r="N1303" s="39"/>
      <c r="O1303" s="39"/>
      <c r="P1303" s="39"/>
      <c r="Q1303" s="39">
        <v>1.33</v>
      </c>
      <c r="R1303" s="39"/>
      <c r="S1303" s="39">
        <v>7.5</v>
      </c>
      <c r="T1303" s="39"/>
      <c r="U1303" s="39"/>
      <c r="V1303" s="39"/>
      <c r="W1303" s="39"/>
      <c r="X1303" s="49" t="s">
        <v>208</v>
      </c>
      <c r="Y1303" s="50">
        <v>1784.25</v>
      </c>
      <c r="Z1303" s="51">
        <v>2000</v>
      </c>
      <c r="AA1303" s="52">
        <f t="shared" si="29"/>
        <v>1.12091915370604</v>
      </c>
      <c r="AB1303" s="12">
        <v>2000</v>
      </c>
      <c r="AC1303" s="12">
        <v>0</v>
      </c>
      <c r="AD1303" s="43"/>
      <c r="AE1303" s="43"/>
      <c r="AF1303" s="43"/>
      <c r="AG1303" s="43"/>
      <c r="AH1303" s="43"/>
      <c r="AI1303" s="43"/>
      <c r="AJ1303" s="43"/>
      <c r="AK1303" s="43"/>
      <c r="AL1303" s="43"/>
      <c r="AM1303" s="43"/>
      <c r="AN1303" s="43"/>
      <c r="AO1303" s="43"/>
      <c r="AP1303" s="43"/>
      <c r="AQ1303" s="43"/>
      <c r="AR1303" s="43"/>
      <c r="AS1303" s="43"/>
      <c r="AT1303" s="43"/>
      <c r="AU1303" s="43"/>
      <c r="AV1303" s="43"/>
    </row>
    <row r="1304" ht="15.75" spans="1:48">
      <c r="A1304" s="12">
        <v>1300</v>
      </c>
      <c r="B1304" s="44">
        <v>4110</v>
      </c>
      <c r="C1304" s="45" t="s">
        <v>135</v>
      </c>
      <c r="D1304" s="46">
        <v>5</v>
      </c>
      <c r="E1304" s="47" t="s">
        <v>113</v>
      </c>
      <c r="F1304" s="48">
        <v>7</v>
      </c>
      <c r="G1304" s="38">
        <v>1.83</v>
      </c>
      <c r="H1304" s="39"/>
      <c r="I1304" s="39"/>
      <c r="J1304" s="39"/>
      <c r="K1304" s="39"/>
      <c r="L1304" s="39"/>
      <c r="M1304" s="39"/>
      <c r="N1304" s="39"/>
      <c r="O1304" s="39"/>
      <c r="P1304" s="39"/>
      <c r="Q1304" s="39">
        <v>1.33</v>
      </c>
      <c r="R1304" s="39"/>
      <c r="S1304" s="39"/>
      <c r="T1304" s="39">
        <v>0.33</v>
      </c>
      <c r="U1304" s="39">
        <v>0.17</v>
      </c>
      <c r="V1304" s="39"/>
      <c r="W1304" s="39"/>
      <c r="X1304" s="49">
        <v>5770</v>
      </c>
      <c r="Y1304" s="50">
        <v>4235</v>
      </c>
      <c r="Z1304" s="51">
        <v>4260</v>
      </c>
      <c r="AA1304" s="52">
        <f t="shared" si="29"/>
        <v>1.00590318772137</v>
      </c>
      <c r="AB1304" s="12">
        <v>4184</v>
      </c>
      <c r="AC1304" s="12">
        <v>76</v>
      </c>
      <c r="AD1304" s="19">
        <v>76</v>
      </c>
      <c r="AE1304" s="43"/>
      <c r="AF1304" s="43"/>
      <c r="AG1304" s="43"/>
      <c r="AH1304" s="43"/>
      <c r="AI1304" s="43"/>
      <c r="AJ1304" s="43"/>
      <c r="AK1304" s="43"/>
      <c r="AL1304" s="43"/>
      <c r="AM1304" s="43"/>
      <c r="AN1304" s="43"/>
      <c r="AO1304" s="43"/>
      <c r="AP1304" s="43"/>
      <c r="AQ1304" s="43"/>
      <c r="AR1304" s="43"/>
      <c r="AS1304" s="43"/>
      <c r="AT1304" s="43"/>
      <c r="AU1304" s="43"/>
      <c r="AV1304" s="43"/>
    </row>
    <row r="1305" ht="15.75" spans="1:48">
      <c r="A1305" s="12">
        <v>1301</v>
      </c>
      <c r="B1305" s="44">
        <v>551</v>
      </c>
      <c r="C1305" s="45" t="s">
        <v>146</v>
      </c>
      <c r="D1305" s="46">
        <v>2</v>
      </c>
      <c r="E1305" s="47" t="s">
        <v>113</v>
      </c>
      <c r="F1305" s="48">
        <v>10.5</v>
      </c>
      <c r="G1305" s="38">
        <v>1.5</v>
      </c>
      <c r="H1305" s="39"/>
      <c r="I1305" s="39"/>
      <c r="J1305" s="39"/>
      <c r="K1305" s="39"/>
      <c r="L1305" s="39"/>
      <c r="M1305" s="39"/>
      <c r="N1305" s="39"/>
      <c r="O1305" s="39"/>
      <c r="P1305" s="39"/>
      <c r="Q1305" s="39">
        <v>1.33</v>
      </c>
      <c r="R1305" s="39"/>
      <c r="S1305" s="39"/>
      <c r="T1305" s="39"/>
      <c r="U1305" s="39">
        <v>0.17</v>
      </c>
      <c r="V1305" s="39"/>
      <c r="W1305" s="39"/>
      <c r="X1305" s="49">
        <v>1080</v>
      </c>
      <c r="Y1305" s="50">
        <v>6930</v>
      </c>
      <c r="Z1305" s="51">
        <v>6000</v>
      </c>
      <c r="AA1305" s="52">
        <f t="shared" si="29"/>
        <v>0.865800865800866</v>
      </c>
      <c r="AB1305" s="12">
        <v>6000</v>
      </c>
      <c r="AC1305" s="12">
        <v>0</v>
      </c>
      <c r="AD1305" s="43"/>
      <c r="AE1305" s="43"/>
      <c r="AF1305" s="43"/>
      <c r="AG1305" s="43"/>
      <c r="AH1305" s="43"/>
      <c r="AI1305" s="43"/>
      <c r="AJ1305" s="43"/>
      <c r="AK1305" s="43"/>
      <c r="AL1305" s="43"/>
      <c r="AM1305" s="43"/>
      <c r="AN1305" s="43"/>
      <c r="AO1305" s="43"/>
      <c r="AP1305" s="43"/>
      <c r="AQ1305" s="43"/>
      <c r="AR1305" s="43"/>
      <c r="AS1305" s="43"/>
      <c r="AT1305" s="43"/>
      <c r="AU1305" s="43"/>
      <c r="AV1305" s="43"/>
    </row>
    <row r="1306" ht="15.75" spans="1:48">
      <c r="A1306" s="12">
        <v>1302</v>
      </c>
      <c r="B1306" s="44">
        <v>2865</v>
      </c>
      <c r="C1306" s="45" t="s">
        <v>149</v>
      </c>
      <c r="D1306" s="46">
        <v>6</v>
      </c>
      <c r="E1306" s="47" t="s">
        <v>113</v>
      </c>
      <c r="F1306" s="48">
        <v>10.83</v>
      </c>
      <c r="G1306" s="38">
        <v>0.34</v>
      </c>
      <c r="H1306" s="39"/>
      <c r="I1306" s="39"/>
      <c r="J1306" s="39"/>
      <c r="K1306" s="39"/>
      <c r="L1306" s="39"/>
      <c r="M1306" s="39"/>
      <c r="N1306" s="39"/>
      <c r="O1306" s="39"/>
      <c r="P1306" s="39"/>
      <c r="Q1306" s="39"/>
      <c r="R1306" s="39"/>
      <c r="S1306" s="39"/>
      <c r="T1306" s="39">
        <v>0.17</v>
      </c>
      <c r="U1306" s="39">
        <v>0.17</v>
      </c>
      <c r="V1306" s="39"/>
      <c r="W1306" s="39"/>
      <c r="X1306" s="49">
        <v>1090</v>
      </c>
      <c r="Y1306" s="50">
        <v>7147.8</v>
      </c>
      <c r="Z1306" s="51">
        <v>7500</v>
      </c>
      <c r="AA1306" s="52">
        <f t="shared" si="29"/>
        <v>1.0492739024595</v>
      </c>
      <c r="AB1306" s="12">
        <v>7468</v>
      </c>
      <c r="AC1306" s="12">
        <v>32</v>
      </c>
      <c r="AD1306" s="19">
        <v>32</v>
      </c>
      <c r="AE1306" s="43"/>
      <c r="AF1306" s="43"/>
      <c r="AG1306" s="43"/>
      <c r="AH1306" s="43"/>
      <c r="AI1306" s="43"/>
      <c r="AJ1306" s="43"/>
      <c r="AK1306" s="43"/>
      <c r="AL1306" s="43"/>
      <c r="AM1306" s="43"/>
      <c r="AN1306" s="43"/>
      <c r="AO1306" s="43"/>
      <c r="AP1306" s="43"/>
      <c r="AQ1306" s="43"/>
      <c r="AR1306" s="43"/>
      <c r="AS1306" s="43"/>
      <c r="AT1306" s="43"/>
      <c r="AU1306" s="43"/>
      <c r="AV1306" s="43"/>
    </row>
    <row r="1307" ht="15.75" spans="1:48">
      <c r="A1307" s="12">
        <v>1303</v>
      </c>
      <c r="B1307" s="44">
        <v>4489</v>
      </c>
      <c r="C1307" s="45" t="s">
        <v>88</v>
      </c>
      <c r="D1307" s="46">
        <v>18</v>
      </c>
      <c r="E1307" s="47" t="s">
        <v>113</v>
      </c>
      <c r="F1307" s="48">
        <v>5.67</v>
      </c>
      <c r="G1307" s="38">
        <v>2.33</v>
      </c>
      <c r="H1307" s="39"/>
      <c r="I1307" s="39"/>
      <c r="J1307" s="39"/>
      <c r="K1307" s="39">
        <v>0.33</v>
      </c>
      <c r="L1307" s="39"/>
      <c r="M1307" s="39"/>
      <c r="N1307" s="39"/>
      <c r="O1307" s="39"/>
      <c r="P1307" s="39"/>
      <c r="Q1307" s="39">
        <v>1.33</v>
      </c>
      <c r="R1307" s="39"/>
      <c r="S1307" s="39"/>
      <c r="T1307" s="39">
        <v>0.5</v>
      </c>
      <c r="U1307" s="39">
        <v>0.17</v>
      </c>
      <c r="V1307" s="39"/>
      <c r="W1307" s="39"/>
      <c r="X1307" s="49">
        <v>2801</v>
      </c>
      <c r="Y1307" s="50">
        <v>3430.35</v>
      </c>
      <c r="Z1307" s="51">
        <v>2955</v>
      </c>
      <c r="AA1307" s="52">
        <f t="shared" si="29"/>
        <v>0.861428134155407</v>
      </c>
      <c r="AB1307" s="12">
        <v>2760</v>
      </c>
      <c r="AC1307" s="12">
        <v>195</v>
      </c>
      <c r="AD1307" s="19">
        <v>195</v>
      </c>
      <c r="AE1307" s="43"/>
      <c r="AF1307" s="43"/>
      <c r="AG1307" s="43"/>
      <c r="AH1307" s="43"/>
      <c r="AI1307" s="43"/>
      <c r="AJ1307" s="43"/>
      <c r="AK1307" s="43"/>
      <c r="AL1307" s="43"/>
      <c r="AM1307" s="43"/>
      <c r="AN1307" s="43"/>
      <c r="AO1307" s="43"/>
      <c r="AP1307" s="43"/>
      <c r="AQ1307" s="43"/>
      <c r="AR1307" s="43"/>
      <c r="AS1307" s="43"/>
      <c r="AT1307" s="43"/>
      <c r="AU1307" s="43"/>
      <c r="AV1307" s="43"/>
    </row>
    <row r="1308" ht="15.75" spans="1:48">
      <c r="A1308" s="12">
        <v>1304</v>
      </c>
      <c r="B1308" s="44">
        <v>666</v>
      </c>
      <c r="C1308" s="45" t="s">
        <v>151</v>
      </c>
      <c r="D1308" s="46"/>
      <c r="E1308" s="47" t="s">
        <v>113</v>
      </c>
      <c r="F1308" s="48">
        <v>0.67</v>
      </c>
      <c r="G1308" s="38">
        <v>0</v>
      </c>
      <c r="H1308" s="39"/>
      <c r="I1308" s="39"/>
      <c r="J1308" s="39"/>
      <c r="K1308" s="39"/>
      <c r="L1308" s="39"/>
      <c r="M1308" s="39"/>
      <c r="N1308" s="39"/>
      <c r="O1308" s="39"/>
      <c r="P1308" s="39"/>
      <c r="Q1308" s="39"/>
      <c r="R1308" s="39"/>
      <c r="S1308" s="39"/>
      <c r="T1308" s="39"/>
      <c r="U1308" s="39"/>
      <c r="V1308" s="39"/>
      <c r="W1308" s="39"/>
      <c r="X1308" s="49" t="s">
        <v>98</v>
      </c>
      <c r="Y1308" s="50">
        <v>314.9</v>
      </c>
      <c r="Z1308" s="51">
        <v>360</v>
      </c>
      <c r="AA1308" s="52">
        <f t="shared" si="29"/>
        <v>1.14322006986345</v>
      </c>
      <c r="AB1308" s="12">
        <v>360</v>
      </c>
      <c r="AC1308" s="12">
        <v>0</v>
      </c>
      <c r="AD1308" s="43"/>
      <c r="AE1308" s="43"/>
      <c r="AF1308" s="43"/>
      <c r="AG1308" s="43"/>
      <c r="AH1308" s="43"/>
      <c r="AI1308" s="43"/>
      <c r="AJ1308" s="43"/>
      <c r="AK1308" s="43"/>
      <c r="AL1308" s="43"/>
      <c r="AM1308" s="43"/>
      <c r="AN1308" s="43"/>
      <c r="AO1308" s="43"/>
      <c r="AP1308" s="43"/>
      <c r="AQ1308" s="43"/>
      <c r="AR1308" s="43"/>
      <c r="AS1308" s="43"/>
      <c r="AT1308" s="43"/>
      <c r="AU1308" s="43"/>
      <c r="AV1308" s="43"/>
    </row>
    <row r="1309" ht="15.75" spans="1:48">
      <c r="A1309" s="12">
        <v>1305</v>
      </c>
      <c r="B1309" s="44">
        <v>4490</v>
      </c>
      <c r="C1309" s="45" t="s">
        <v>91</v>
      </c>
      <c r="D1309" s="46">
        <v>3</v>
      </c>
      <c r="E1309" s="47" t="s">
        <v>113</v>
      </c>
      <c r="F1309" s="48">
        <v>7</v>
      </c>
      <c r="G1309" s="38">
        <v>1.67</v>
      </c>
      <c r="H1309" s="39"/>
      <c r="I1309" s="39"/>
      <c r="J1309" s="39"/>
      <c r="K1309" s="39"/>
      <c r="L1309" s="39"/>
      <c r="M1309" s="39"/>
      <c r="N1309" s="39"/>
      <c r="O1309" s="39"/>
      <c r="P1309" s="39"/>
      <c r="Q1309" s="39">
        <v>1.33</v>
      </c>
      <c r="R1309" s="39"/>
      <c r="S1309" s="39"/>
      <c r="T1309" s="39">
        <v>0.17</v>
      </c>
      <c r="U1309" s="39">
        <v>0.17</v>
      </c>
      <c r="V1309" s="39"/>
      <c r="W1309" s="39"/>
      <c r="X1309" s="49">
        <v>9740</v>
      </c>
      <c r="Y1309" s="50">
        <v>2940</v>
      </c>
      <c r="Z1309" s="51">
        <v>2970</v>
      </c>
      <c r="AA1309" s="52">
        <f t="shared" si="29"/>
        <v>1.01020408163265</v>
      </c>
      <c r="AB1309" s="12">
        <v>2900</v>
      </c>
      <c r="AC1309" s="12">
        <v>70</v>
      </c>
      <c r="AD1309" s="19">
        <v>70</v>
      </c>
      <c r="AE1309" s="43"/>
      <c r="AF1309" s="43"/>
      <c r="AG1309" s="43"/>
      <c r="AH1309" s="43"/>
      <c r="AI1309" s="43"/>
      <c r="AJ1309" s="43"/>
      <c r="AK1309" s="43"/>
      <c r="AL1309" s="43"/>
      <c r="AM1309" s="43"/>
      <c r="AN1309" s="43"/>
      <c r="AO1309" s="43"/>
      <c r="AP1309" s="43"/>
      <c r="AQ1309" s="43"/>
      <c r="AR1309" s="43"/>
      <c r="AS1309" s="43"/>
      <c r="AT1309" s="43"/>
      <c r="AU1309" s="43"/>
      <c r="AV1309" s="43"/>
    </row>
    <row r="1310" ht="15.75" spans="1:48">
      <c r="A1310" s="12">
        <v>1306</v>
      </c>
      <c r="B1310" s="44">
        <v>4017</v>
      </c>
      <c r="C1310" s="45" t="s">
        <v>148</v>
      </c>
      <c r="D1310" s="46">
        <v>17</v>
      </c>
      <c r="E1310" s="47" t="s">
        <v>113</v>
      </c>
      <c r="F1310" s="48">
        <v>9</v>
      </c>
      <c r="G1310" s="38">
        <v>3</v>
      </c>
      <c r="H1310" s="39"/>
      <c r="I1310" s="39"/>
      <c r="J1310" s="39"/>
      <c r="K1310" s="39">
        <v>0.67</v>
      </c>
      <c r="L1310" s="39"/>
      <c r="M1310" s="39"/>
      <c r="N1310" s="39"/>
      <c r="O1310" s="39"/>
      <c r="P1310" s="39"/>
      <c r="Q1310" s="39">
        <v>1.33</v>
      </c>
      <c r="R1310" s="39"/>
      <c r="S1310" s="39"/>
      <c r="T1310" s="39">
        <v>0.83</v>
      </c>
      <c r="U1310" s="39">
        <v>0.17</v>
      </c>
      <c r="V1310" s="39"/>
      <c r="W1310" s="39"/>
      <c r="X1310" s="49">
        <v>977</v>
      </c>
      <c r="Y1310" s="50">
        <v>2700</v>
      </c>
      <c r="Z1310" s="51">
        <v>1500</v>
      </c>
      <c r="AA1310" s="52">
        <f t="shared" si="29"/>
        <v>0.555555555555556</v>
      </c>
      <c r="AB1310" s="12">
        <v>1500</v>
      </c>
      <c r="AC1310" s="12">
        <v>0</v>
      </c>
      <c r="AD1310" s="43"/>
      <c r="AE1310" s="43"/>
      <c r="AF1310" s="43"/>
      <c r="AG1310" s="43"/>
      <c r="AH1310" s="43"/>
      <c r="AI1310" s="43"/>
      <c r="AJ1310" s="43"/>
      <c r="AK1310" s="43"/>
      <c r="AL1310" s="43"/>
      <c r="AM1310" s="43"/>
      <c r="AN1310" s="43"/>
      <c r="AO1310" s="43"/>
      <c r="AP1310" s="43"/>
      <c r="AQ1310" s="43"/>
      <c r="AR1310" s="43"/>
      <c r="AS1310" s="43"/>
      <c r="AT1310" s="43"/>
      <c r="AU1310" s="43"/>
      <c r="AV1310" s="43"/>
    </row>
    <row r="1311" ht="15.75" spans="1:48">
      <c r="A1311" s="12">
        <v>1307</v>
      </c>
      <c r="B1311" s="44">
        <v>4342</v>
      </c>
      <c r="C1311" s="45" t="s">
        <v>147</v>
      </c>
      <c r="D1311" s="46"/>
      <c r="E1311" s="47" t="s">
        <v>113</v>
      </c>
      <c r="F1311" s="48">
        <v>10.5</v>
      </c>
      <c r="G1311" s="38">
        <v>1.5</v>
      </c>
      <c r="H1311" s="39"/>
      <c r="I1311" s="39"/>
      <c r="J1311" s="39"/>
      <c r="K1311" s="39"/>
      <c r="L1311" s="39"/>
      <c r="M1311" s="39"/>
      <c r="N1311" s="39"/>
      <c r="O1311" s="39"/>
      <c r="P1311" s="39"/>
      <c r="Q1311" s="39">
        <v>1.33</v>
      </c>
      <c r="R1311" s="39"/>
      <c r="S1311" s="39"/>
      <c r="T1311" s="39"/>
      <c r="U1311" s="39">
        <v>0.17</v>
      </c>
      <c r="V1311" s="39"/>
      <c r="W1311" s="39"/>
      <c r="X1311" s="49" t="s">
        <v>98</v>
      </c>
      <c r="Y1311" s="50">
        <v>4935</v>
      </c>
      <c r="Z1311" s="51">
        <v>4860</v>
      </c>
      <c r="AA1311" s="52">
        <f t="shared" si="29"/>
        <v>0.984802431610942</v>
      </c>
      <c r="AB1311" s="12">
        <v>4860</v>
      </c>
      <c r="AC1311" s="12">
        <v>0</v>
      </c>
      <c r="AD1311" s="43"/>
      <c r="AE1311" s="43"/>
      <c r="AF1311" s="43"/>
      <c r="AG1311" s="43"/>
      <c r="AH1311" s="43"/>
      <c r="AI1311" s="43"/>
      <c r="AJ1311" s="43"/>
      <c r="AK1311" s="43"/>
      <c r="AL1311" s="43"/>
      <c r="AM1311" s="43"/>
      <c r="AN1311" s="43"/>
      <c r="AO1311" s="43"/>
      <c r="AP1311" s="43"/>
      <c r="AQ1311" s="43"/>
      <c r="AR1311" s="43"/>
      <c r="AS1311" s="43"/>
      <c r="AT1311" s="43"/>
      <c r="AU1311" s="43"/>
      <c r="AV1311" s="43"/>
    </row>
    <row r="1312" ht="15.75" spans="1:48">
      <c r="A1312" s="12">
        <v>1308</v>
      </c>
      <c r="B1312" s="44">
        <v>4384</v>
      </c>
      <c r="C1312" s="45" t="s">
        <v>145</v>
      </c>
      <c r="D1312" s="46"/>
      <c r="E1312" s="47" t="s">
        <v>113</v>
      </c>
      <c r="F1312" s="48">
        <v>1.17</v>
      </c>
      <c r="G1312" s="38">
        <v>0</v>
      </c>
      <c r="H1312" s="39"/>
      <c r="I1312" s="39"/>
      <c r="J1312" s="39"/>
      <c r="K1312" s="39"/>
      <c r="L1312" s="39"/>
      <c r="M1312" s="39"/>
      <c r="N1312" s="39"/>
      <c r="O1312" s="39"/>
      <c r="P1312" s="39"/>
      <c r="Q1312" s="39"/>
      <c r="R1312" s="39"/>
      <c r="S1312" s="39"/>
      <c r="T1312" s="39"/>
      <c r="U1312" s="39"/>
      <c r="V1312" s="39"/>
      <c r="W1312" s="39"/>
      <c r="X1312" s="49" t="s">
        <v>98</v>
      </c>
      <c r="Y1312" s="50">
        <v>549.9</v>
      </c>
      <c r="Z1312" s="51">
        <v>540</v>
      </c>
      <c r="AA1312" s="52">
        <f t="shared" si="29"/>
        <v>0.981996726677578</v>
      </c>
      <c r="AB1312" s="12">
        <v>540</v>
      </c>
      <c r="AC1312" s="12">
        <v>0</v>
      </c>
      <c r="AD1312" s="43"/>
      <c r="AE1312" s="43"/>
      <c r="AF1312" s="43"/>
      <c r="AG1312" s="43"/>
      <c r="AH1312" s="43"/>
      <c r="AI1312" s="43"/>
      <c r="AJ1312" s="43"/>
      <c r="AK1312" s="43"/>
      <c r="AL1312" s="43"/>
      <c r="AM1312" s="43"/>
      <c r="AN1312" s="43"/>
      <c r="AO1312" s="43"/>
      <c r="AP1312" s="43"/>
      <c r="AQ1312" s="43"/>
      <c r="AR1312" s="43"/>
      <c r="AS1312" s="43"/>
      <c r="AT1312" s="43"/>
      <c r="AU1312" s="43"/>
      <c r="AV1312" s="43"/>
    </row>
    <row r="1313" ht="15.75" spans="1:48">
      <c r="A1313" s="12">
        <v>1309</v>
      </c>
      <c r="B1313" s="44">
        <v>4384</v>
      </c>
      <c r="C1313" s="45" t="s">
        <v>145</v>
      </c>
      <c r="D1313" s="46"/>
      <c r="E1313" s="47" t="s">
        <v>113</v>
      </c>
      <c r="F1313" s="48">
        <v>5.67</v>
      </c>
      <c r="G1313" s="38">
        <v>1.67</v>
      </c>
      <c r="H1313" s="39"/>
      <c r="I1313" s="39"/>
      <c r="J1313" s="39"/>
      <c r="K1313" s="39">
        <v>0.17</v>
      </c>
      <c r="L1313" s="39"/>
      <c r="M1313" s="39"/>
      <c r="N1313" s="39"/>
      <c r="O1313" s="39"/>
      <c r="P1313" s="39"/>
      <c r="Q1313" s="39">
        <v>1.33</v>
      </c>
      <c r="R1313" s="39"/>
      <c r="S1313" s="39"/>
      <c r="T1313" s="39"/>
      <c r="U1313" s="39">
        <v>0.17</v>
      </c>
      <c r="V1313" s="39"/>
      <c r="W1313" s="39"/>
      <c r="X1313" s="49" t="s">
        <v>96</v>
      </c>
      <c r="Y1313" s="50">
        <v>8221.5</v>
      </c>
      <c r="Z1313" s="51">
        <v>8000</v>
      </c>
      <c r="AA1313" s="52">
        <f t="shared" si="29"/>
        <v>0.973058444322812</v>
      </c>
      <c r="AB1313" s="12">
        <v>8000</v>
      </c>
      <c r="AC1313" s="12">
        <v>0</v>
      </c>
      <c r="AD1313" s="43"/>
      <c r="AE1313" s="43"/>
      <c r="AF1313" s="43"/>
      <c r="AG1313" s="43"/>
      <c r="AH1313" s="43"/>
      <c r="AI1313" s="43"/>
      <c r="AJ1313" s="43"/>
      <c r="AK1313" s="43"/>
      <c r="AL1313" s="43"/>
      <c r="AM1313" s="43"/>
      <c r="AN1313" s="43"/>
      <c r="AO1313" s="43"/>
      <c r="AP1313" s="43"/>
      <c r="AQ1313" s="43"/>
      <c r="AR1313" s="43"/>
      <c r="AS1313" s="43"/>
      <c r="AT1313" s="43"/>
      <c r="AU1313" s="43"/>
      <c r="AV1313" s="43"/>
    </row>
    <row r="1314" ht="15.75" spans="1:48">
      <c r="A1314" s="12">
        <v>1310</v>
      </c>
      <c r="B1314" s="44">
        <v>4384</v>
      </c>
      <c r="C1314" s="45" t="s">
        <v>145</v>
      </c>
      <c r="D1314" s="46"/>
      <c r="E1314" s="47" t="s">
        <v>113</v>
      </c>
      <c r="F1314" s="48">
        <v>3.33</v>
      </c>
      <c r="G1314" s="38">
        <v>0.17</v>
      </c>
      <c r="H1314" s="39"/>
      <c r="I1314" s="39"/>
      <c r="J1314" s="39"/>
      <c r="K1314" s="39"/>
      <c r="L1314" s="39"/>
      <c r="M1314" s="39"/>
      <c r="N1314" s="39"/>
      <c r="O1314" s="39"/>
      <c r="P1314" s="39"/>
      <c r="Q1314" s="39"/>
      <c r="R1314" s="39"/>
      <c r="S1314" s="39"/>
      <c r="T1314" s="39"/>
      <c r="U1314" s="39">
        <v>0.17</v>
      </c>
      <c r="V1314" s="39"/>
      <c r="W1314" s="39"/>
      <c r="X1314" s="49" t="s">
        <v>222</v>
      </c>
      <c r="Y1314" s="50">
        <v>4828.5</v>
      </c>
      <c r="Z1314" s="51">
        <v>4500</v>
      </c>
      <c r="AA1314" s="52">
        <f t="shared" si="29"/>
        <v>0.931966449207829</v>
      </c>
      <c r="AB1314" s="12">
        <v>4500</v>
      </c>
      <c r="AC1314" s="12">
        <v>0</v>
      </c>
      <c r="AD1314" s="43"/>
      <c r="AE1314" s="43"/>
      <c r="AF1314" s="43"/>
      <c r="AG1314" s="43"/>
      <c r="AH1314" s="43"/>
      <c r="AI1314" s="43"/>
      <c r="AJ1314" s="43"/>
      <c r="AK1314" s="43"/>
      <c r="AL1314" s="43"/>
      <c r="AM1314" s="43"/>
      <c r="AN1314" s="43"/>
      <c r="AO1314" s="43"/>
      <c r="AP1314" s="43"/>
      <c r="AQ1314" s="43"/>
      <c r="AR1314" s="43"/>
      <c r="AS1314" s="43"/>
      <c r="AT1314" s="43"/>
      <c r="AU1314" s="43"/>
      <c r="AV1314" s="43"/>
    </row>
    <row r="1315" ht="15.75" spans="1:48">
      <c r="A1315" s="12">
        <v>1311</v>
      </c>
      <c r="B1315" s="44">
        <v>947</v>
      </c>
      <c r="C1315" s="45" t="s">
        <v>143</v>
      </c>
      <c r="D1315" s="46">
        <v>8</v>
      </c>
      <c r="E1315" s="47" t="s">
        <v>113</v>
      </c>
      <c r="F1315" s="48">
        <v>3</v>
      </c>
      <c r="G1315" s="38">
        <v>1.67</v>
      </c>
      <c r="H1315" s="39"/>
      <c r="I1315" s="39"/>
      <c r="J1315" s="39"/>
      <c r="K1315" s="39"/>
      <c r="L1315" s="39"/>
      <c r="M1315" s="39"/>
      <c r="N1315" s="39"/>
      <c r="O1315" s="39"/>
      <c r="P1315" s="39"/>
      <c r="Q1315" s="39">
        <v>1.33</v>
      </c>
      <c r="R1315" s="39"/>
      <c r="S1315" s="39"/>
      <c r="T1315" s="39">
        <v>0.17</v>
      </c>
      <c r="U1315" s="39">
        <v>0.17</v>
      </c>
      <c r="V1315" s="39"/>
      <c r="W1315" s="39"/>
      <c r="X1315" s="49">
        <v>6270</v>
      </c>
      <c r="Y1315" s="50">
        <v>1815</v>
      </c>
      <c r="Z1315" s="51">
        <v>2025</v>
      </c>
      <c r="AA1315" s="52">
        <f t="shared" si="29"/>
        <v>1.11570247933884</v>
      </c>
      <c r="AB1315" s="12">
        <v>1992</v>
      </c>
      <c r="AC1315" s="12">
        <v>33</v>
      </c>
      <c r="AD1315" s="19">
        <v>33</v>
      </c>
      <c r="AE1315" s="43"/>
      <c r="AF1315" s="43"/>
      <c r="AG1315" s="43"/>
      <c r="AH1315" s="43"/>
      <c r="AI1315" s="43"/>
      <c r="AJ1315" s="43"/>
      <c r="AK1315" s="43"/>
      <c r="AL1315" s="43"/>
      <c r="AM1315" s="43"/>
      <c r="AN1315" s="43"/>
      <c r="AO1315" s="43"/>
      <c r="AP1315" s="43"/>
      <c r="AQ1315" s="43"/>
      <c r="AR1315" s="43"/>
      <c r="AS1315" s="43"/>
      <c r="AT1315" s="43"/>
      <c r="AU1315" s="43"/>
      <c r="AV1315" s="43"/>
    </row>
    <row r="1316" ht="15.75" spans="1:48">
      <c r="A1316" s="12">
        <v>1312</v>
      </c>
      <c r="B1316" s="44">
        <v>947</v>
      </c>
      <c r="C1316" s="45" t="s">
        <v>143</v>
      </c>
      <c r="D1316" s="46">
        <v>8</v>
      </c>
      <c r="E1316" s="47" t="s">
        <v>113</v>
      </c>
      <c r="F1316" s="48">
        <v>3.17</v>
      </c>
      <c r="G1316" s="38">
        <v>0.67</v>
      </c>
      <c r="H1316" s="39"/>
      <c r="I1316" s="39"/>
      <c r="J1316" s="39">
        <v>0.17</v>
      </c>
      <c r="K1316" s="39"/>
      <c r="L1316" s="39"/>
      <c r="M1316" s="39"/>
      <c r="N1316" s="39"/>
      <c r="O1316" s="39"/>
      <c r="P1316" s="39"/>
      <c r="Q1316" s="39"/>
      <c r="R1316" s="39"/>
      <c r="S1316" s="39"/>
      <c r="T1316" s="39">
        <v>0.33</v>
      </c>
      <c r="U1316" s="39">
        <v>0.17</v>
      </c>
      <c r="V1316" s="39"/>
      <c r="W1316" s="39"/>
      <c r="X1316" s="49">
        <v>9968</v>
      </c>
      <c r="Y1316" s="50">
        <v>1917.85</v>
      </c>
      <c r="Z1316" s="51">
        <v>2160</v>
      </c>
      <c r="AA1316" s="52">
        <f t="shared" si="29"/>
        <v>1.12626117788148</v>
      </c>
      <c r="AB1316" s="12">
        <v>2097</v>
      </c>
      <c r="AC1316" s="12">
        <v>63</v>
      </c>
      <c r="AD1316" s="19">
        <v>63</v>
      </c>
      <c r="AE1316" s="43"/>
      <c r="AF1316" s="43"/>
      <c r="AG1316" s="43"/>
      <c r="AH1316" s="43"/>
      <c r="AI1316" s="43"/>
      <c r="AJ1316" s="43"/>
      <c r="AK1316" s="43"/>
      <c r="AL1316" s="43"/>
      <c r="AM1316" s="43"/>
      <c r="AN1316" s="43"/>
      <c r="AO1316" s="43"/>
      <c r="AP1316" s="43"/>
      <c r="AQ1316" s="43"/>
      <c r="AR1316" s="43"/>
      <c r="AS1316" s="43"/>
      <c r="AT1316" s="43"/>
      <c r="AU1316" s="43"/>
      <c r="AV1316" s="43"/>
    </row>
    <row r="1317" ht="15.75" spans="1:48">
      <c r="A1317" s="12">
        <v>1313</v>
      </c>
      <c r="B1317" s="44">
        <v>947</v>
      </c>
      <c r="C1317" s="45" t="s">
        <v>143</v>
      </c>
      <c r="D1317" s="46"/>
      <c r="E1317" s="47" t="s">
        <v>113</v>
      </c>
      <c r="F1317" s="48">
        <v>3.5</v>
      </c>
      <c r="G1317" s="38">
        <v>0</v>
      </c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  <c r="S1317" s="39"/>
      <c r="T1317" s="39"/>
      <c r="U1317" s="39"/>
      <c r="V1317" s="39"/>
      <c r="W1317" s="39"/>
      <c r="X1317" s="49" t="s">
        <v>103</v>
      </c>
      <c r="Y1317" s="50">
        <v>2940</v>
      </c>
      <c r="Z1317" s="51">
        <v>2820</v>
      </c>
      <c r="AA1317" s="52">
        <f t="shared" si="29"/>
        <v>0.959183673469388</v>
      </c>
      <c r="AB1317" s="12">
        <v>2820</v>
      </c>
      <c r="AC1317" s="12">
        <v>0</v>
      </c>
      <c r="AD1317" s="43"/>
      <c r="AE1317" s="43"/>
      <c r="AF1317" s="43"/>
      <c r="AG1317" s="43"/>
      <c r="AH1317" s="43"/>
      <c r="AI1317" s="43"/>
      <c r="AJ1317" s="43"/>
      <c r="AK1317" s="43"/>
      <c r="AL1317" s="43"/>
      <c r="AM1317" s="43"/>
      <c r="AN1317" s="43"/>
      <c r="AO1317" s="43"/>
      <c r="AP1317" s="43"/>
      <c r="AQ1317" s="43"/>
      <c r="AR1317" s="43"/>
      <c r="AS1317" s="43"/>
      <c r="AT1317" s="43"/>
      <c r="AU1317" s="43"/>
      <c r="AV1317" s="43"/>
    </row>
    <row r="1318" ht="15.75" spans="1:48">
      <c r="A1318" s="12">
        <v>1314</v>
      </c>
      <c r="B1318" s="44">
        <v>4110</v>
      </c>
      <c r="C1318" s="45" t="s">
        <v>135</v>
      </c>
      <c r="D1318" s="46"/>
      <c r="E1318" s="47" t="s">
        <v>113</v>
      </c>
      <c r="F1318" s="48">
        <v>3.17</v>
      </c>
      <c r="G1318" s="38">
        <v>0</v>
      </c>
      <c r="H1318" s="39"/>
      <c r="I1318" s="39"/>
      <c r="J1318" s="39"/>
      <c r="K1318" s="39"/>
      <c r="L1318" s="39"/>
      <c r="M1318" s="39"/>
      <c r="N1318" s="39"/>
      <c r="O1318" s="39"/>
      <c r="P1318" s="39"/>
      <c r="Q1318" s="39"/>
      <c r="R1318" s="39"/>
      <c r="S1318" s="39"/>
      <c r="T1318" s="39"/>
      <c r="U1318" s="39"/>
      <c r="V1318" s="39"/>
      <c r="W1318" s="39"/>
      <c r="X1318" s="49" t="s">
        <v>103</v>
      </c>
      <c r="Y1318" s="50">
        <v>2662.8</v>
      </c>
      <c r="Z1318" s="51">
        <v>2460</v>
      </c>
      <c r="AA1318" s="52">
        <f t="shared" si="29"/>
        <v>0.92383956737269</v>
      </c>
      <c r="AB1318" s="12">
        <v>2460</v>
      </c>
      <c r="AC1318" s="12">
        <v>0</v>
      </c>
      <c r="AD1318" s="43"/>
      <c r="AE1318" s="43"/>
      <c r="AF1318" s="43"/>
      <c r="AG1318" s="43"/>
      <c r="AH1318" s="43"/>
      <c r="AI1318" s="43"/>
      <c r="AJ1318" s="43"/>
      <c r="AK1318" s="43"/>
      <c r="AL1318" s="43"/>
      <c r="AM1318" s="43"/>
      <c r="AN1318" s="43"/>
      <c r="AO1318" s="43"/>
      <c r="AP1318" s="43"/>
      <c r="AQ1318" s="43"/>
      <c r="AR1318" s="43"/>
      <c r="AS1318" s="43"/>
      <c r="AT1318" s="43"/>
      <c r="AU1318" s="43"/>
      <c r="AV1318" s="43"/>
    </row>
    <row r="1319" ht="15.75" spans="1:48">
      <c r="A1319" s="12">
        <v>1315</v>
      </c>
      <c r="B1319" s="44">
        <v>1733</v>
      </c>
      <c r="C1319" s="45" t="s">
        <v>153</v>
      </c>
      <c r="D1319" s="46"/>
      <c r="E1319" s="47" t="s">
        <v>113</v>
      </c>
      <c r="F1319" s="48">
        <v>10.67</v>
      </c>
      <c r="G1319" s="38">
        <v>1.33</v>
      </c>
      <c r="H1319" s="39"/>
      <c r="I1319" s="39"/>
      <c r="J1319" s="39"/>
      <c r="K1319" s="39"/>
      <c r="L1319" s="39"/>
      <c r="M1319" s="39"/>
      <c r="N1319" s="39"/>
      <c r="O1319" s="39"/>
      <c r="P1319" s="39"/>
      <c r="Q1319" s="39">
        <v>1.33</v>
      </c>
      <c r="R1319" s="39"/>
      <c r="S1319" s="39"/>
      <c r="T1319" s="39"/>
      <c r="U1319" s="39"/>
      <c r="V1319" s="39"/>
      <c r="W1319" s="39"/>
      <c r="X1319" s="49" t="s">
        <v>105</v>
      </c>
      <c r="Y1319" s="50">
        <v>7042.2</v>
      </c>
      <c r="Z1319" s="51">
        <v>7000</v>
      </c>
      <c r="AA1319" s="52">
        <f t="shared" si="29"/>
        <v>0.994007554457414</v>
      </c>
      <c r="AB1319" s="12">
        <v>7000</v>
      </c>
      <c r="AC1319" s="12">
        <v>0</v>
      </c>
      <c r="AD1319" s="43"/>
      <c r="AE1319" s="43"/>
      <c r="AF1319" s="43"/>
      <c r="AG1319" s="43"/>
      <c r="AH1319" s="43"/>
      <c r="AI1319" s="43"/>
      <c r="AJ1319" s="43"/>
      <c r="AK1319" s="43"/>
      <c r="AL1319" s="43"/>
      <c r="AM1319" s="43"/>
      <c r="AN1319" s="43"/>
      <c r="AO1319" s="43"/>
      <c r="AP1319" s="43"/>
      <c r="AQ1319" s="43"/>
      <c r="AR1319" s="43"/>
      <c r="AS1319" s="43"/>
      <c r="AT1319" s="43"/>
      <c r="AU1319" s="43"/>
      <c r="AV1319" s="43"/>
    </row>
    <row r="1320" ht="15.75" spans="1:48">
      <c r="A1320" s="12">
        <v>1316</v>
      </c>
      <c r="B1320" s="44">
        <v>2865</v>
      </c>
      <c r="C1320" s="45" t="s">
        <v>149</v>
      </c>
      <c r="D1320" s="46"/>
      <c r="E1320" s="47" t="s">
        <v>113</v>
      </c>
      <c r="F1320" s="48">
        <v>0.83</v>
      </c>
      <c r="G1320" s="38">
        <v>0</v>
      </c>
      <c r="H1320" s="39"/>
      <c r="I1320" s="39"/>
      <c r="J1320" s="39"/>
      <c r="K1320" s="39"/>
      <c r="L1320" s="39"/>
      <c r="M1320" s="39"/>
      <c r="N1320" s="39"/>
      <c r="O1320" s="39"/>
      <c r="P1320" s="39"/>
      <c r="Q1320" s="39"/>
      <c r="R1320" s="39"/>
      <c r="S1320" s="39"/>
      <c r="T1320" s="39"/>
      <c r="U1320" s="39"/>
      <c r="V1320" s="39"/>
      <c r="W1320" s="39"/>
      <c r="X1320" s="49" t="s">
        <v>105</v>
      </c>
      <c r="Y1320" s="50">
        <v>547.8</v>
      </c>
      <c r="Z1320" s="51">
        <v>500</v>
      </c>
      <c r="AA1320" s="52">
        <f t="shared" si="29"/>
        <v>0.912741876597298</v>
      </c>
      <c r="AB1320" s="12">
        <v>500</v>
      </c>
      <c r="AC1320" s="12">
        <v>0</v>
      </c>
      <c r="AD1320" s="43"/>
      <c r="AE1320" s="43"/>
      <c r="AF1320" s="43"/>
      <c r="AG1320" s="43"/>
      <c r="AH1320" s="43"/>
      <c r="AI1320" s="43"/>
      <c r="AJ1320" s="43"/>
      <c r="AK1320" s="43"/>
      <c r="AL1320" s="43"/>
      <c r="AM1320" s="43"/>
      <c r="AN1320" s="43"/>
      <c r="AO1320" s="43"/>
      <c r="AP1320" s="43"/>
      <c r="AQ1320" s="43"/>
      <c r="AR1320" s="43"/>
      <c r="AS1320" s="43"/>
      <c r="AT1320" s="43"/>
      <c r="AU1320" s="43"/>
      <c r="AV1320" s="43"/>
    </row>
    <row r="1321" ht="15.75" spans="1:48">
      <c r="A1321" s="12">
        <v>1317</v>
      </c>
      <c r="B1321" s="44">
        <v>692</v>
      </c>
      <c r="C1321" s="45" t="s">
        <v>142</v>
      </c>
      <c r="D1321" s="46"/>
      <c r="E1321" s="47" t="s">
        <v>113</v>
      </c>
      <c r="F1321" s="48">
        <v>10.67</v>
      </c>
      <c r="G1321" s="38">
        <v>1.33</v>
      </c>
      <c r="H1321" s="39"/>
      <c r="I1321" s="39"/>
      <c r="J1321" s="39"/>
      <c r="K1321" s="39"/>
      <c r="L1321" s="39"/>
      <c r="M1321" s="39"/>
      <c r="N1321" s="39"/>
      <c r="O1321" s="39"/>
      <c r="P1321" s="39"/>
      <c r="Q1321" s="39">
        <v>1.33</v>
      </c>
      <c r="R1321" s="39"/>
      <c r="S1321" s="39"/>
      <c r="T1321" s="39"/>
      <c r="U1321" s="39"/>
      <c r="V1321" s="39"/>
      <c r="W1321" s="39"/>
      <c r="X1321" s="49" t="s">
        <v>105</v>
      </c>
      <c r="Y1321" s="50">
        <v>7042.2</v>
      </c>
      <c r="Z1321" s="51">
        <v>6000</v>
      </c>
      <c r="AA1321" s="52">
        <f t="shared" si="29"/>
        <v>0.852006475249212</v>
      </c>
      <c r="AB1321" s="12">
        <v>6000</v>
      </c>
      <c r="AC1321" s="12">
        <v>0</v>
      </c>
      <c r="AD1321" s="43"/>
      <c r="AE1321" s="43"/>
      <c r="AF1321" s="43"/>
      <c r="AG1321" s="43"/>
      <c r="AH1321" s="43"/>
      <c r="AI1321" s="43"/>
      <c r="AJ1321" s="43"/>
      <c r="AK1321" s="43"/>
      <c r="AL1321" s="43"/>
      <c r="AM1321" s="43"/>
      <c r="AN1321" s="43"/>
      <c r="AO1321" s="43"/>
      <c r="AP1321" s="43"/>
      <c r="AQ1321" s="43"/>
      <c r="AR1321" s="43"/>
      <c r="AS1321" s="43"/>
      <c r="AT1321" s="43"/>
      <c r="AU1321" s="43"/>
      <c r="AV1321" s="43"/>
    </row>
    <row r="1322" ht="15.75" spans="1:48">
      <c r="A1322" s="12">
        <v>1318</v>
      </c>
      <c r="B1322" s="57">
        <v>4489</v>
      </c>
      <c r="C1322" s="58" t="s">
        <v>88</v>
      </c>
      <c r="D1322" s="59"/>
      <c r="E1322" s="47" t="s">
        <v>113</v>
      </c>
      <c r="F1322" s="48">
        <v>4</v>
      </c>
      <c r="G1322" s="38">
        <v>0</v>
      </c>
      <c r="H1322" s="39"/>
      <c r="I1322" s="39"/>
      <c r="J1322" s="39"/>
      <c r="K1322" s="39"/>
      <c r="L1322" s="39"/>
      <c r="M1322" s="39"/>
      <c r="N1322" s="39"/>
      <c r="O1322" s="39"/>
      <c r="P1322" s="39"/>
      <c r="Q1322" s="39"/>
      <c r="R1322" s="39"/>
      <c r="S1322" s="39"/>
      <c r="T1322" s="39"/>
      <c r="U1322" s="39"/>
      <c r="V1322" s="39"/>
      <c r="W1322" s="39"/>
      <c r="X1322" s="49" t="s">
        <v>103</v>
      </c>
      <c r="Y1322" s="50">
        <v>3360</v>
      </c>
      <c r="Z1322" s="51">
        <v>2955</v>
      </c>
      <c r="AA1322" s="52">
        <f t="shared" si="29"/>
        <v>0.879464285714286</v>
      </c>
      <c r="AB1322" s="12">
        <v>2955</v>
      </c>
      <c r="AC1322" s="12">
        <v>0</v>
      </c>
      <c r="AD1322" s="43"/>
      <c r="AE1322" s="43"/>
      <c r="AF1322" s="43"/>
      <c r="AG1322" s="43"/>
      <c r="AH1322" s="43"/>
      <c r="AI1322" s="43"/>
      <c r="AJ1322" s="43"/>
      <c r="AK1322" s="43"/>
      <c r="AL1322" s="43"/>
      <c r="AM1322" s="43"/>
      <c r="AN1322" s="43"/>
      <c r="AO1322" s="43"/>
      <c r="AP1322" s="43"/>
      <c r="AQ1322" s="43"/>
      <c r="AR1322" s="43"/>
      <c r="AS1322" s="43"/>
      <c r="AT1322" s="43"/>
      <c r="AU1322" s="43"/>
      <c r="AV1322" s="43"/>
    </row>
    <row r="1323" ht="15.75" spans="1:48">
      <c r="A1323" s="12">
        <v>1319</v>
      </c>
      <c r="B1323" s="44">
        <v>666</v>
      </c>
      <c r="C1323" s="45" t="s">
        <v>151</v>
      </c>
      <c r="D1323" s="46"/>
      <c r="E1323" s="47" t="s">
        <v>113</v>
      </c>
      <c r="F1323" s="48">
        <v>3.33</v>
      </c>
      <c r="G1323" s="38">
        <v>3</v>
      </c>
      <c r="H1323" s="39"/>
      <c r="I1323" s="39"/>
      <c r="J1323" s="39"/>
      <c r="K1323" s="39"/>
      <c r="L1323" s="39"/>
      <c r="M1323" s="39"/>
      <c r="N1323" s="39"/>
      <c r="O1323" s="39"/>
      <c r="P1323" s="39"/>
      <c r="Q1323" s="39">
        <v>1.33</v>
      </c>
      <c r="R1323" s="39"/>
      <c r="S1323" s="39"/>
      <c r="T1323" s="39">
        <v>1.5</v>
      </c>
      <c r="U1323" s="39">
        <v>0.17</v>
      </c>
      <c r="V1323" s="39"/>
      <c r="W1323" s="39"/>
      <c r="X1323" s="49" t="s">
        <v>102</v>
      </c>
      <c r="Y1323" s="50">
        <v>14985</v>
      </c>
      <c r="Z1323" s="51">
        <v>11000</v>
      </c>
      <c r="AA1323" s="52">
        <f t="shared" si="29"/>
        <v>0.734067400734067</v>
      </c>
      <c r="AB1323" s="12">
        <v>11000</v>
      </c>
      <c r="AC1323" s="12">
        <v>0</v>
      </c>
      <c r="AD1323" s="43"/>
      <c r="AE1323" s="43"/>
      <c r="AF1323" s="43"/>
      <c r="AG1323" s="43"/>
      <c r="AH1323" s="43"/>
      <c r="AI1323" s="43"/>
      <c r="AJ1323" s="43"/>
      <c r="AK1323" s="43"/>
      <c r="AL1323" s="43"/>
      <c r="AM1323" s="43"/>
      <c r="AN1323" s="43"/>
      <c r="AO1323" s="43"/>
      <c r="AP1323" s="43"/>
      <c r="AQ1323" s="43"/>
      <c r="AR1323" s="43"/>
      <c r="AS1323" s="43"/>
      <c r="AT1323" s="43"/>
      <c r="AU1323" s="43"/>
      <c r="AV1323" s="43"/>
    </row>
    <row r="1324" ht="15.75" spans="1:48">
      <c r="A1324" s="12">
        <v>1320</v>
      </c>
      <c r="B1324" s="44">
        <v>666</v>
      </c>
      <c r="C1324" s="45" t="s">
        <v>151</v>
      </c>
      <c r="D1324" s="46"/>
      <c r="E1324" s="47" t="s">
        <v>113</v>
      </c>
      <c r="F1324" s="48">
        <v>5</v>
      </c>
      <c r="G1324" s="38">
        <v>0</v>
      </c>
      <c r="H1324" s="39"/>
      <c r="I1324" s="39"/>
      <c r="J1324" s="39"/>
      <c r="K1324" s="39"/>
      <c r="L1324" s="39"/>
      <c r="M1324" s="39"/>
      <c r="N1324" s="39"/>
      <c r="O1324" s="39"/>
      <c r="P1324" s="39"/>
      <c r="Q1324" s="39"/>
      <c r="R1324" s="39"/>
      <c r="S1324" s="39"/>
      <c r="T1324" s="39"/>
      <c r="U1324" s="39"/>
      <c r="V1324" s="39"/>
      <c r="W1324" s="39"/>
      <c r="X1324" s="49" t="s">
        <v>101</v>
      </c>
      <c r="Y1324" s="50">
        <v>9600</v>
      </c>
      <c r="Z1324" s="51">
        <v>6480</v>
      </c>
      <c r="AA1324" s="52">
        <f t="shared" si="29"/>
        <v>0.675</v>
      </c>
      <c r="AB1324" s="12">
        <v>6480</v>
      </c>
      <c r="AC1324" s="12">
        <v>0</v>
      </c>
      <c r="AD1324" s="43"/>
      <c r="AE1324" s="43"/>
      <c r="AF1324" s="43"/>
      <c r="AG1324" s="43"/>
      <c r="AH1324" s="43"/>
      <c r="AI1324" s="43"/>
      <c r="AJ1324" s="43"/>
      <c r="AK1324" s="43"/>
      <c r="AL1324" s="43"/>
      <c r="AM1324" s="43"/>
      <c r="AN1324" s="43"/>
      <c r="AO1324" s="43"/>
      <c r="AP1324" s="43"/>
      <c r="AQ1324" s="43"/>
      <c r="AR1324" s="43"/>
      <c r="AS1324" s="43"/>
      <c r="AT1324" s="43"/>
      <c r="AU1324" s="43"/>
      <c r="AV1324" s="43"/>
    </row>
    <row r="1325" ht="15.75" spans="1:48">
      <c r="A1325" s="12">
        <v>1321</v>
      </c>
      <c r="B1325" s="44">
        <v>4490</v>
      </c>
      <c r="C1325" s="45" t="s">
        <v>91</v>
      </c>
      <c r="D1325" s="46"/>
      <c r="E1325" s="47" t="s">
        <v>113</v>
      </c>
      <c r="F1325" s="48">
        <v>3.33</v>
      </c>
      <c r="G1325" s="38">
        <v>0</v>
      </c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  <c r="S1325" s="39"/>
      <c r="T1325" s="39"/>
      <c r="U1325" s="39"/>
      <c r="V1325" s="39"/>
      <c r="W1325" s="39"/>
      <c r="X1325" s="49" t="s">
        <v>103</v>
      </c>
      <c r="Y1325" s="50">
        <v>2797.2</v>
      </c>
      <c r="Z1325" s="51">
        <v>2730</v>
      </c>
      <c r="AA1325" s="52">
        <f t="shared" si="29"/>
        <v>0.975975975975976</v>
      </c>
      <c r="AB1325" s="12">
        <v>2730</v>
      </c>
      <c r="AC1325" s="12">
        <v>0</v>
      </c>
      <c r="AD1325" s="43"/>
      <c r="AE1325" s="43"/>
      <c r="AF1325" s="43"/>
      <c r="AG1325" s="43"/>
      <c r="AH1325" s="43"/>
      <c r="AI1325" s="43"/>
      <c r="AJ1325" s="43"/>
      <c r="AK1325" s="43"/>
      <c r="AL1325" s="43"/>
      <c r="AM1325" s="43"/>
      <c r="AN1325" s="43"/>
      <c r="AO1325" s="43"/>
      <c r="AP1325" s="43"/>
      <c r="AQ1325" s="43"/>
      <c r="AR1325" s="43"/>
      <c r="AS1325" s="43"/>
      <c r="AT1325" s="43"/>
      <c r="AU1325" s="43"/>
      <c r="AV1325" s="43"/>
    </row>
    <row r="1326" ht="15.75" spans="1:48">
      <c r="A1326" s="12">
        <v>1322</v>
      </c>
      <c r="B1326" s="44">
        <v>4335</v>
      </c>
      <c r="C1326" s="45" t="s">
        <v>154</v>
      </c>
      <c r="D1326" s="46"/>
      <c r="E1326" s="47" t="s">
        <v>113</v>
      </c>
      <c r="F1326" s="48">
        <v>7.5</v>
      </c>
      <c r="G1326" s="38">
        <v>4.5</v>
      </c>
      <c r="H1326" s="39"/>
      <c r="I1326" s="39"/>
      <c r="J1326" s="39"/>
      <c r="K1326" s="39"/>
      <c r="L1326" s="39"/>
      <c r="M1326" s="39"/>
      <c r="N1326" s="39"/>
      <c r="O1326" s="39"/>
      <c r="P1326" s="39"/>
      <c r="Q1326" s="39">
        <v>1.33</v>
      </c>
      <c r="R1326" s="39"/>
      <c r="S1326" s="39">
        <v>3.17</v>
      </c>
      <c r="T1326" s="39"/>
      <c r="U1326" s="39"/>
      <c r="V1326" s="39"/>
      <c r="W1326" s="39"/>
      <c r="X1326" s="49" t="s">
        <v>103</v>
      </c>
      <c r="Y1326" s="50">
        <v>6300</v>
      </c>
      <c r="Z1326" s="51">
        <v>5145</v>
      </c>
      <c r="AA1326" s="52">
        <f t="shared" si="29"/>
        <v>0.816666666666667</v>
      </c>
      <c r="AB1326" s="12">
        <v>5145</v>
      </c>
      <c r="AC1326" s="12">
        <v>0</v>
      </c>
      <c r="AD1326" s="43"/>
      <c r="AE1326" s="43"/>
      <c r="AF1326" s="43"/>
      <c r="AG1326" s="43"/>
      <c r="AH1326" s="43"/>
      <c r="AI1326" s="43"/>
      <c r="AJ1326" s="43"/>
      <c r="AK1326" s="43"/>
      <c r="AL1326" s="43"/>
      <c r="AM1326" s="43"/>
      <c r="AN1326" s="43"/>
      <c r="AO1326" s="43"/>
      <c r="AP1326" s="43"/>
      <c r="AQ1326" s="43"/>
      <c r="AR1326" s="43"/>
      <c r="AS1326" s="43"/>
      <c r="AT1326" s="43"/>
      <c r="AU1326" s="43"/>
      <c r="AV1326" s="43"/>
    </row>
    <row r="1327" ht="15.75" spans="1:48">
      <c r="A1327" s="12">
        <v>1323</v>
      </c>
      <c r="B1327" s="44" t="s">
        <v>290</v>
      </c>
      <c r="C1327" s="45" t="e">
        <v>#N/A</v>
      </c>
      <c r="D1327" s="46">
        <v>11</v>
      </c>
      <c r="E1327" s="47" t="s">
        <v>50</v>
      </c>
      <c r="F1327" s="48">
        <v>10.67</v>
      </c>
      <c r="G1327" s="38">
        <v>1.34</v>
      </c>
      <c r="H1327" s="39"/>
      <c r="I1327" s="39"/>
      <c r="J1327" s="39"/>
      <c r="K1327" s="39"/>
      <c r="L1327" s="39"/>
      <c r="M1327" s="39"/>
      <c r="N1327" s="39"/>
      <c r="O1327" s="39"/>
      <c r="P1327" s="39"/>
      <c r="Q1327" s="39">
        <v>1.17</v>
      </c>
      <c r="R1327" s="39"/>
      <c r="S1327" s="39"/>
      <c r="T1327" s="39"/>
      <c r="U1327" s="39">
        <v>0.17</v>
      </c>
      <c r="V1327" s="39"/>
      <c r="W1327" s="39"/>
      <c r="X1327" s="49" t="s">
        <v>69</v>
      </c>
      <c r="Y1327" s="50">
        <v>5441.7</v>
      </c>
      <c r="Z1327" s="51">
        <v>5130</v>
      </c>
      <c r="AA1327" s="52">
        <f t="shared" si="29"/>
        <v>0.942720105849275</v>
      </c>
      <c r="AB1327" s="12">
        <v>5130</v>
      </c>
      <c r="AC1327" s="12">
        <v>0</v>
      </c>
      <c r="AD1327" s="43"/>
      <c r="AE1327" s="43"/>
      <c r="AF1327" s="43"/>
      <c r="AG1327" s="43"/>
      <c r="AH1327" s="43"/>
      <c r="AI1327" s="43"/>
      <c r="AJ1327" s="43"/>
      <c r="AK1327" s="43"/>
      <c r="AL1327" s="43"/>
      <c r="AM1327" s="43"/>
      <c r="AN1327" s="43"/>
      <c r="AO1327" s="43"/>
      <c r="AP1327" s="43"/>
      <c r="AQ1327" s="43"/>
      <c r="AR1327" s="43"/>
      <c r="AS1327" s="43"/>
      <c r="AT1327" s="43"/>
      <c r="AU1327" s="43"/>
      <c r="AV1327" s="43"/>
    </row>
    <row r="1328" ht="15.75" spans="1:48">
      <c r="A1328" s="12">
        <v>1324</v>
      </c>
      <c r="B1328" s="44" t="s">
        <v>289</v>
      </c>
      <c r="C1328" s="45" t="e">
        <v>#N/A</v>
      </c>
      <c r="D1328" s="46">
        <v>10</v>
      </c>
      <c r="E1328" s="47" t="s">
        <v>50</v>
      </c>
      <c r="F1328" s="48">
        <v>10.67</v>
      </c>
      <c r="G1328" s="38">
        <v>1.34</v>
      </c>
      <c r="H1328" s="39"/>
      <c r="I1328" s="39"/>
      <c r="J1328" s="39"/>
      <c r="K1328" s="39"/>
      <c r="L1328" s="39"/>
      <c r="M1328" s="39"/>
      <c r="N1328" s="39"/>
      <c r="O1328" s="39"/>
      <c r="P1328" s="39"/>
      <c r="Q1328" s="39">
        <v>1.17</v>
      </c>
      <c r="R1328" s="39"/>
      <c r="S1328" s="39"/>
      <c r="T1328" s="39"/>
      <c r="U1328" s="39">
        <v>0.17</v>
      </c>
      <c r="V1328" s="39"/>
      <c r="W1328" s="39"/>
      <c r="X1328" s="49">
        <v>127</v>
      </c>
      <c r="Y1328" s="50">
        <v>5335</v>
      </c>
      <c r="Z1328" s="51">
        <v>4725</v>
      </c>
      <c r="AA1328" s="52">
        <f t="shared" si="29"/>
        <v>0.885660731021556</v>
      </c>
      <c r="AB1328" s="12">
        <v>4725</v>
      </c>
      <c r="AC1328" s="12">
        <v>0</v>
      </c>
      <c r="AD1328" s="43"/>
      <c r="AE1328" s="43"/>
      <c r="AF1328" s="43"/>
      <c r="AG1328" s="43"/>
      <c r="AH1328" s="43"/>
      <c r="AI1328" s="43"/>
      <c r="AJ1328" s="43"/>
      <c r="AK1328" s="43"/>
      <c r="AL1328" s="43"/>
      <c r="AM1328" s="43"/>
      <c r="AN1328" s="43"/>
      <c r="AO1328" s="43"/>
      <c r="AP1328" s="43"/>
      <c r="AQ1328" s="43"/>
      <c r="AR1328" s="43"/>
      <c r="AS1328" s="43"/>
      <c r="AT1328" s="43"/>
      <c r="AU1328" s="43"/>
      <c r="AV1328" s="43"/>
    </row>
    <row r="1329" ht="15.75" spans="1:48">
      <c r="A1329" s="12">
        <v>1325</v>
      </c>
      <c r="B1329" s="65" t="s">
        <v>299</v>
      </c>
      <c r="C1329" s="62" t="s">
        <v>300</v>
      </c>
      <c r="D1329" s="46">
        <v>12</v>
      </c>
      <c r="E1329" s="47" t="s">
        <v>50</v>
      </c>
      <c r="F1329" s="48">
        <v>7</v>
      </c>
      <c r="G1329" s="38">
        <v>1</v>
      </c>
      <c r="H1329" s="39"/>
      <c r="I1329" s="39"/>
      <c r="J1329" s="39"/>
      <c r="K1329" s="39"/>
      <c r="L1329" s="39"/>
      <c r="M1329" s="39"/>
      <c r="N1329" s="39"/>
      <c r="O1329" s="39"/>
      <c r="P1329" s="39"/>
      <c r="Q1329" s="39">
        <v>0.83</v>
      </c>
      <c r="R1329" s="39"/>
      <c r="S1329" s="39"/>
      <c r="T1329" s="39">
        <v>0.17</v>
      </c>
      <c r="U1329" s="39"/>
      <c r="V1329" s="39"/>
      <c r="W1329" s="39"/>
      <c r="X1329" s="49" t="s">
        <v>194</v>
      </c>
      <c r="Y1329" s="50">
        <v>2345</v>
      </c>
      <c r="Z1329" s="51">
        <v>1200</v>
      </c>
      <c r="AA1329" s="52">
        <f t="shared" ref="AA1329:AA1360" si="30">IFERROR(Z1329/Y1329,0)</f>
        <v>0.511727078891258</v>
      </c>
      <c r="AB1329" s="12">
        <v>1200</v>
      </c>
      <c r="AC1329" s="12">
        <v>0</v>
      </c>
      <c r="AD1329" s="43"/>
      <c r="AE1329" s="43"/>
      <c r="AF1329" s="43"/>
      <c r="AG1329" s="43"/>
      <c r="AH1329" s="43"/>
      <c r="AI1329" s="43"/>
      <c r="AJ1329" s="43"/>
      <c r="AK1329" s="43"/>
      <c r="AL1329" s="43"/>
      <c r="AM1329" s="43"/>
      <c r="AN1329" s="43"/>
      <c r="AO1329" s="43"/>
      <c r="AP1329" s="43"/>
      <c r="AQ1329" s="43"/>
      <c r="AR1329" s="43"/>
      <c r="AS1329" s="43"/>
      <c r="AT1329" s="43"/>
      <c r="AU1329" s="43"/>
      <c r="AV1329" s="43"/>
    </row>
    <row r="1330" ht="15.75" spans="1:48">
      <c r="A1330" s="12">
        <v>1326</v>
      </c>
      <c r="B1330" s="65" t="s">
        <v>302</v>
      </c>
      <c r="C1330" s="62" t="s">
        <v>303</v>
      </c>
      <c r="D1330" s="46">
        <v>12</v>
      </c>
      <c r="E1330" s="47" t="s">
        <v>50</v>
      </c>
      <c r="F1330" s="48">
        <v>7</v>
      </c>
      <c r="G1330" s="38">
        <v>1</v>
      </c>
      <c r="H1330" s="39"/>
      <c r="I1330" s="39"/>
      <c r="J1330" s="39"/>
      <c r="K1330" s="39"/>
      <c r="L1330" s="39"/>
      <c r="M1330" s="39"/>
      <c r="N1330" s="39"/>
      <c r="O1330" s="39"/>
      <c r="P1330" s="39"/>
      <c r="Q1330" s="39">
        <v>0.83</v>
      </c>
      <c r="R1330" s="39"/>
      <c r="S1330" s="39"/>
      <c r="T1330" s="39"/>
      <c r="U1330" s="39">
        <v>0.17</v>
      </c>
      <c r="V1330" s="39"/>
      <c r="W1330" s="39"/>
      <c r="X1330" s="49" t="s">
        <v>194</v>
      </c>
      <c r="Y1330" s="50">
        <v>2345</v>
      </c>
      <c r="Z1330" s="51">
        <v>1200</v>
      </c>
      <c r="AA1330" s="52">
        <f t="shared" si="30"/>
        <v>0.511727078891258</v>
      </c>
      <c r="AB1330" s="12">
        <v>1200</v>
      </c>
      <c r="AC1330" s="12">
        <v>0</v>
      </c>
      <c r="AD1330" s="43"/>
      <c r="AE1330" s="43"/>
      <c r="AF1330" s="43"/>
      <c r="AG1330" s="43"/>
      <c r="AH1330" s="43"/>
      <c r="AI1330" s="43"/>
      <c r="AJ1330" s="43"/>
      <c r="AK1330" s="43"/>
      <c r="AL1330" s="43"/>
      <c r="AM1330" s="43"/>
      <c r="AN1330" s="43"/>
      <c r="AO1330" s="43"/>
      <c r="AP1330" s="43"/>
      <c r="AQ1330" s="43"/>
      <c r="AR1330" s="43"/>
      <c r="AS1330" s="43"/>
      <c r="AT1330" s="43"/>
      <c r="AU1330" s="43"/>
      <c r="AV1330" s="43"/>
    </row>
    <row r="1331" ht="15.75" spans="1:48">
      <c r="A1331" s="12">
        <v>1327</v>
      </c>
      <c r="B1331" s="44">
        <v>2284</v>
      </c>
      <c r="C1331" s="45" t="s">
        <v>59</v>
      </c>
      <c r="D1331" s="46"/>
      <c r="E1331" s="47" t="s">
        <v>50</v>
      </c>
      <c r="F1331" s="48">
        <v>10.83</v>
      </c>
      <c r="G1331" s="38">
        <v>1.17</v>
      </c>
      <c r="H1331" s="39"/>
      <c r="I1331" s="39"/>
      <c r="J1331" s="39"/>
      <c r="K1331" s="39"/>
      <c r="L1331" s="39"/>
      <c r="M1331" s="39"/>
      <c r="N1331" s="39"/>
      <c r="O1331" s="39"/>
      <c r="P1331" s="39"/>
      <c r="Q1331" s="39">
        <v>1.17</v>
      </c>
      <c r="R1331" s="39"/>
      <c r="S1331" s="39"/>
      <c r="T1331" s="39"/>
      <c r="U1331" s="39"/>
      <c r="V1331" s="39"/>
      <c r="W1331" s="39"/>
      <c r="X1331" s="49" t="s">
        <v>140</v>
      </c>
      <c r="Y1331" s="50">
        <v>0</v>
      </c>
      <c r="Z1331" s="51"/>
      <c r="AA1331" s="52">
        <f t="shared" si="30"/>
        <v>0</v>
      </c>
      <c r="AB1331" s="12">
        <v>0</v>
      </c>
      <c r="AC1331" s="12">
        <v>0</v>
      </c>
      <c r="AD1331" s="43"/>
      <c r="AE1331" s="43"/>
      <c r="AF1331" s="43"/>
      <c r="AG1331" s="43"/>
      <c r="AH1331" s="43"/>
      <c r="AI1331" s="43"/>
      <c r="AJ1331" s="43"/>
      <c r="AK1331" s="43"/>
      <c r="AL1331" s="43"/>
      <c r="AM1331" s="43"/>
      <c r="AN1331" s="43"/>
      <c r="AO1331" s="43"/>
      <c r="AP1331" s="43"/>
      <c r="AQ1331" s="43"/>
      <c r="AR1331" s="43"/>
      <c r="AS1331" s="43"/>
      <c r="AT1331" s="43"/>
      <c r="AU1331" s="43"/>
      <c r="AV1331" s="43"/>
    </row>
    <row r="1332" ht="15.75" spans="1:48">
      <c r="A1332" s="12">
        <v>1328</v>
      </c>
      <c r="B1332" s="44">
        <v>3353</v>
      </c>
      <c r="C1332" s="45" t="s">
        <v>48</v>
      </c>
      <c r="D1332" s="46">
        <v>19</v>
      </c>
      <c r="E1332" s="47" t="s">
        <v>50</v>
      </c>
      <c r="F1332" s="48">
        <v>4.5</v>
      </c>
      <c r="G1332" s="38">
        <v>2.01</v>
      </c>
      <c r="H1332" s="39"/>
      <c r="I1332" s="39"/>
      <c r="J1332" s="39"/>
      <c r="K1332" s="39"/>
      <c r="L1332" s="39"/>
      <c r="M1332" s="39"/>
      <c r="N1332" s="39"/>
      <c r="O1332" s="39"/>
      <c r="P1332" s="39"/>
      <c r="Q1332" s="39">
        <v>1.17</v>
      </c>
      <c r="R1332" s="39"/>
      <c r="S1332" s="39">
        <v>0.67</v>
      </c>
      <c r="T1332" s="39"/>
      <c r="U1332" s="39">
        <v>0.17</v>
      </c>
      <c r="V1332" s="39"/>
      <c r="W1332" s="39"/>
      <c r="X1332" s="49" t="s">
        <v>226</v>
      </c>
      <c r="Y1332" s="50">
        <v>1507.5</v>
      </c>
      <c r="Z1332" s="51">
        <v>1560</v>
      </c>
      <c r="AA1332" s="52">
        <f t="shared" si="30"/>
        <v>1.03482587064677</v>
      </c>
      <c r="AB1332" s="12">
        <v>1560</v>
      </c>
      <c r="AC1332" s="12">
        <v>0</v>
      </c>
      <c r="AD1332" s="43"/>
      <c r="AE1332" s="43"/>
      <c r="AF1332" s="43"/>
      <c r="AG1332" s="43"/>
      <c r="AH1332" s="43"/>
      <c r="AI1332" s="43"/>
      <c r="AJ1332" s="43"/>
      <c r="AK1332" s="43"/>
      <c r="AL1332" s="43"/>
      <c r="AM1332" s="43"/>
      <c r="AN1332" s="43"/>
      <c r="AO1332" s="43"/>
      <c r="AP1332" s="43"/>
      <c r="AQ1332" s="43"/>
      <c r="AR1332" s="43"/>
      <c r="AS1332" s="43"/>
      <c r="AT1332" s="43"/>
      <c r="AU1332" s="43"/>
      <c r="AV1332" s="43"/>
    </row>
    <row r="1333" ht="15.75" spans="1:48">
      <c r="A1333" s="12">
        <v>1329</v>
      </c>
      <c r="B1333" s="44">
        <v>3353</v>
      </c>
      <c r="C1333" s="45" t="s">
        <v>48</v>
      </c>
      <c r="D1333" s="46"/>
      <c r="E1333" s="47" t="s">
        <v>50</v>
      </c>
      <c r="F1333" s="48">
        <v>5.5</v>
      </c>
      <c r="G1333" s="38">
        <v>0</v>
      </c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  <c r="S1333" s="39"/>
      <c r="T1333" s="39"/>
      <c r="U1333" s="39"/>
      <c r="V1333" s="39"/>
      <c r="W1333" s="39"/>
      <c r="X1333" s="49" t="s">
        <v>155</v>
      </c>
      <c r="Y1333" s="50">
        <v>0</v>
      </c>
      <c r="Z1333" s="51"/>
      <c r="AA1333" s="52">
        <f t="shared" si="30"/>
        <v>0</v>
      </c>
      <c r="AB1333" s="12">
        <v>0</v>
      </c>
      <c r="AC1333" s="12">
        <v>0</v>
      </c>
      <c r="AD1333" s="43"/>
      <c r="AE1333" s="43"/>
      <c r="AF1333" s="43"/>
      <c r="AG1333" s="43"/>
      <c r="AH1333" s="43"/>
      <c r="AI1333" s="43"/>
      <c r="AJ1333" s="43"/>
      <c r="AK1333" s="43"/>
      <c r="AL1333" s="43"/>
      <c r="AM1333" s="43"/>
      <c r="AN1333" s="43"/>
      <c r="AO1333" s="43"/>
      <c r="AP1333" s="43"/>
      <c r="AQ1333" s="43"/>
      <c r="AR1333" s="43"/>
      <c r="AS1333" s="43"/>
      <c r="AT1333" s="43"/>
      <c r="AU1333" s="43"/>
      <c r="AV1333" s="43"/>
    </row>
    <row r="1334" ht="15.75" spans="1:48">
      <c r="A1334" s="12">
        <v>1330</v>
      </c>
      <c r="B1334" s="44">
        <v>3352</v>
      </c>
      <c r="C1334" s="45" t="s">
        <v>66</v>
      </c>
      <c r="D1334" s="46"/>
      <c r="E1334" s="47" t="s">
        <v>50</v>
      </c>
      <c r="F1334" s="48">
        <v>10.83</v>
      </c>
      <c r="G1334" s="38">
        <v>1.17</v>
      </c>
      <c r="H1334" s="39"/>
      <c r="I1334" s="39"/>
      <c r="J1334" s="39"/>
      <c r="K1334" s="39"/>
      <c r="L1334" s="39"/>
      <c r="M1334" s="39"/>
      <c r="N1334" s="39"/>
      <c r="O1334" s="39"/>
      <c r="P1334" s="39"/>
      <c r="Q1334" s="39">
        <v>1.17</v>
      </c>
      <c r="R1334" s="39"/>
      <c r="S1334" s="39"/>
      <c r="T1334" s="39"/>
      <c r="U1334" s="39"/>
      <c r="V1334" s="39"/>
      <c r="W1334" s="39"/>
      <c r="X1334" s="49" t="s">
        <v>67</v>
      </c>
      <c r="Y1334" s="50">
        <v>2707.5</v>
      </c>
      <c r="Z1334" s="51">
        <v>2600</v>
      </c>
      <c r="AA1334" s="52">
        <f t="shared" si="30"/>
        <v>0.960295475530933</v>
      </c>
      <c r="AB1334" s="12">
        <v>2600</v>
      </c>
      <c r="AC1334" s="12">
        <v>0</v>
      </c>
      <c r="AD1334" s="43"/>
      <c r="AE1334" s="43"/>
      <c r="AF1334" s="43"/>
      <c r="AG1334" s="43"/>
      <c r="AH1334" s="43"/>
      <c r="AI1334" s="43"/>
      <c r="AJ1334" s="43"/>
      <c r="AK1334" s="43"/>
      <c r="AL1334" s="43"/>
      <c r="AM1334" s="43"/>
      <c r="AN1334" s="43"/>
      <c r="AO1334" s="43"/>
      <c r="AP1334" s="43"/>
      <c r="AQ1334" s="43"/>
      <c r="AR1334" s="43"/>
      <c r="AS1334" s="43"/>
      <c r="AT1334" s="43"/>
      <c r="AU1334" s="43"/>
      <c r="AV1334" s="43"/>
    </row>
    <row r="1335" ht="15.75" spans="1:48">
      <c r="A1335" s="12">
        <v>1331</v>
      </c>
      <c r="B1335" s="44">
        <v>3526</v>
      </c>
      <c r="C1335" s="45" t="s">
        <v>65</v>
      </c>
      <c r="D1335" s="46"/>
      <c r="E1335" s="47" t="s">
        <v>50</v>
      </c>
      <c r="F1335" s="48">
        <v>10.83</v>
      </c>
      <c r="G1335" s="38">
        <v>1.17</v>
      </c>
      <c r="H1335" s="39"/>
      <c r="I1335" s="39"/>
      <c r="J1335" s="39"/>
      <c r="K1335" s="39"/>
      <c r="L1335" s="39"/>
      <c r="M1335" s="39"/>
      <c r="N1335" s="39"/>
      <c r="O1335" s="39"/>
      <c r="P1335" s="39"/>
      <c r="Q1335" s="39">
        <v>1.17</v>
      </c>
      <c r="R1335" s="39"/>
      <c r="S1335" s="39"/>
      <c r="T1335" s="39"/>
      <c r="U1335" s="39"/>
      <c r="V1335" s="39"/>
      <c r="W1335" s="39"/>
      <c r="X1335" s="49" t="s">
        <v>191</v>
      </c>
      <c r="Y1335" s="50">
        <v>3628.05</v>
      </c>
      <c r="Z1335" s="51">
        <v>3416</v>
      </c>
      <c r="AA1335" s="52">
        <f t="shared" si="30"/>
        <v>0.941552624688193</v>
      </c>
      <c r="AB1335" s="12">
        <v>3416</v>
      </c>
      <c r="AC1335" s="12">
        <v>0</v>
      </c>
      <c r="AD1335" s="43"/>
      <c r="AE1335" s="43"/>
      <c r="AF1335" s="43"/>
      <c r="AG1335" s="43"/>
      <c r="AH1335" s="43"/>
      <c r="AI1335" s="43"/>
      <c r="AJ1335" s="43"/>
      <c r="AK1335" s="43"/>
      <c r="AL1335" s="43"/>
      <c r="AM1335" s="43"/>
      <c r="AN1335" s="43"/>
      <c r="AO1335" s="43"/>
      <c r="AP1335" s="43"/>
      <c r="AQ1335" s="43"/>
      <c r="AR1335" s="43"/>
      <c r="AS1335" s="43"/>
      <c r="AT1335" s="43"/>
      <c r="AU1335" s="43"/>
      <c r="AV1335" s="43"/>
    </row>
    <row r="1336" ht="15.75" spans="1:48">
      <c r="A1336" s="12">
        <v>1332</v>
      </c>
      <c r="B1336" s="44">
        <v>3187</v>
      </c>
      <c r="C1336" s="45" t="s">
        <v>52</v>
      </c>
      <c r="D1336" s="46" t="s">
        <v>202</v>
      </c>
      <c r="E1336" s="47" t="s">
        <v>50</v>
      </c>
      <c r="F1336" s="48">
        <v>10.33</v>
      </c>
      <c r="G1336" s="38">
        <v>1.67</v>
      </c>
      <c r="H1336" s="39"/>
      <c r="I1336" s="39"/>
      <c r="J1336" s="39"/>
      <c r="K1336" s="39"/>
      <c r="L1336" s="39"/>
      <c r="M1336" s="39"/>
      <c r="N1336" s="39"/>
      <c r="O1336" s="39"/>
      <c r="P1336" s="39"/>
      <c r="Q1336" s="39">
        <v>1.17</v>
      </c>
      <c r="R1336" s="39"/>
      <c r="S1336" s="39"/>
      <c r="T1336" s="39"/>
      <c r="U1336" s="39">
        <v>0.5</v>
      </c>
      <c r="V1336" s="39"/>
      <c r="W1336" s="39"/>
      <c r="X1336" s="49" t="s">
        <v>51</v>
      </c>
      <c r="Y1336" s="50">
        <v>32074.65</v>
      </c>
      <c r="Z1336" s="51">
        <v>32700</v>
      </c>
      <c r="AA1336" s="52">
        <f t="shared" si="30"/>
        <v>1.01949670534207</v>
      </c>
      <c r="AB1336" s="12">
        <v>32700</v>
      </c>
      <c r="AC1336" s="12">
        <v>0</v>
      </c>
      <c r="AD1336" s="43"/>
      <c r="AE1336" s="43"/>
      <c r="AF1336" s="43"/>
      <c r="AG1336" s="43"/>
      <c r="AH1336" s="43"/>
      <c r="AI1336" s="43"/>
      <c r="AJ1336" s="43"/>
      <c r="AK1336" s="43"/>
      <c r="AL1336" s="43"/>
      <c r="AM1336" s="43"/>
      <c r="AN1336" s="43"/>
      <c r="AO1336" s="43"/>
      <c r="AP1336" s="43"/>
      <c r="AQ1336" s="43"/>
      <c r="AR1336" s="43"/>
      <c r="AS1336" s="43"/>
      <c r="AT1336" s="43"/>
      <c r="AU1336" s="43"/>
      <c r="AV1336" s="43"/>
    </row>
    <row r="1337" ht="15.75" spans="1:48">
      <c r="A1337" s="12">
        <v>1333</v>
      </c>
      <c r="B1337" s="44">
        <v>4031</v>
      </c>
      <c r="C1337" s="45" t="s">
        <v>64</v>
      </c>
      <c r="D1337" s="46" t="s">
        <v>53</v>
      </c>
      <c r="E1337" s="47" t="s">
        <v>50</v>
      </c>
      <c r="F1337" s="48">
        <v>10.33</v>
      </c>
      <c r="G1337" s="38">
        <v>1.67</v>
      </c>
      <c r="H1337" s="39"/>
      <c r="I1337" s="39"/>
      <c r="J1337" s="39"/>
      <c r="K1337" s="39">
        <v>0.33</v>
      </c>
      <c r="L1337" s="39"/>
      <c r="M1337" s="39"/>
      <c r="N1337" s="39"/>
      <c r="O1337" s="39"/>
      <c r="P1337" s="39"/>
      <c r="Q1337" s="39">
        <v>1.17</v>
      </c>
      <c r="R1337" s="39"/>
      <c r="S1337" s="39"/>
      <c r="T1337" s="39"/>
      <c r="U1337" s="39">
        <v>0.17</v>
      </c>
      <c r="V1337" s="39"/>
      <c r="W1337" s="39"/>
      <c r="X1337" s="49" t="s">
        <v>55</v>
      </c>
      <c r="Y1337" s="50">
        <v>24946.95</v>
      </c>
      <c r="Z1337" s="51">
        <v>25440</v>
      </c>
      <c r="AA1337" s="52">
        <f t="shared" si="30"/>
        <v>1.01976393907872</v>
      </c>
      <c r="AB1337" s="12">
        <v>25440</v>
      </c>
      <c r="AC1337" s="12">
        <v>0</v>
      </c>
      <c r="AD1337" s="43"/>
      <c r="AE1337" s="43"/>
      <c r="AF1337" s="43"/>
      <c r="AG1337" s="43"/>
      <c r="AH1337" s="43"/>
      <c r="AI1337" s="43"/>
      <c r="AJ1337" s="43"/>
      <c r="AK1337" s="43"/>
      <c r="AL1337" s="43"/>
      <c r="AM1337" s="43"/>
      <c r="AN1337" s="43"/>
      <c r="AO1337" s="43"/>
      <c r="AP1337" s="43"/>
      <c r="AQ1337" s="43"/>
      <c r="AR1337" s="43"/>
      <c r="AS1337" s="43"/>
      <c r="AT1337" s="43"/>
      <c r="AU1337" s="43"/>
      <c r="AV1337" s="43"/>
    </row>
    <row r="1338" ht="15.75" spans="1:48">
      <c r="A1338" s="12">
        <v>1334</v>
      </c>
      <c r="B1338" s="44">
        <v>2516</v>
      </c>
      <c r="C1338" s="45" t="s">
        <v>189</v>
      </c>
      <c r="D1338" s="46" t="s">
        <v>49</v>
      </c>
      <c r="E1338" s="47" t="s">
        <v>50</v>
      </c>
      <c r="F1338" s="48">
        <v>10.5</v>
      </c>
      <c r="G1338" s="38">
        <v>1.51</v>
      </c>
      <c r="H1338" s="39"/>
      <c r="I1338" s="39"/>
      <c r="J1338" s="39"/>
      <c r="K1338" s="39">
        <v>0.17</v>
      </c>
      <c r="L1338" s="39"/>
      <c r="M1338" s="39"/>
      <c r="N1338" s="39"/>
      <c r="O1338" s="39"/>
      <c r="P1338" s="39"/>
      <c r="Q1338" s="39">
        <v>1.17</v>
      </c>
      <c r="R1338" s="39"/>
      <c r="S1338" s="39"/>
      <c r="T1338" s="39"/>
      <c r="U1338" s="39">
        <v>0.17</v>
      </c>
      <c r="V1338" s="39"/>
      <c r="W1338" s="39"/>
      <c r="X1338" s="49" t="s">
        <v>278</v>
      </c>
      <c r="Y1338" s="50">
        <v>8400</v>
      </c>
      <c r="Z1338" s="51">
        <v>8400</v>
      </c>
      <c r="AA1338" s="52">
        <f t="shared" si="30"/>
        <v>1</v>
      </c>
      <c r="AB1338" s="12">
        <v>8377</v>
      </c>
      <c r="AC1338" s="12">
        <v>23</v>
      </c>
      <c r="AD1338" s="43"/>
      <c r="AE1338" s="43"/>
      <c r="AF1338" s="43"/>
      <c r="AG1338" s="43"/>
      <c r="AH1338" s="43"/>
      <c r="AI1338" s="43"/>
      <c r="AJ1338" s="43"/>
      <c r="AK1338" s="19">
        <v>2</v>
      </c>
      <c r="AL1338" s="43"/>
      <c r="AM1338" s="43"/>
      <c r="AN1338" s="19">
        <v>21</v>
      </c>
      <c r="AO1338" s="43"/>
      <c r="AP1338" s="43"/>
      <c r="AQ1338" s="43"/>
      <c r="AR1338" s="43"/>
      <c r="AS1338" s="43"/>
      <c r="AT1338" s="43"/>
      <c r="AU1338" s="43"/>
      <c r="AV1338" s="43"/>
    </row>
    <row r="1339" ht="15.75" spans="1:48">
      <c r="A1339" s="12">
        <v>1335</v>
      </c>
      <c r="B1339" s="61" t="s">
        <v>308</v>
      </c>
      <c r="C1339" s="62" t="s">
        <v>309</v>
      </c>
      <c r="D1339" s="46"/>
      <c r="E1339" s="47" t="s">
        <v>50</v>
      </c>
      <c r="F1339" s="48">
        <v>7.17</v>
      </c>
      <c r="G1339" s="38">
        <v>0.83</v>
      </c>
      <c r="H1339" s="39"/>
      <c r="I1339" s="39"/>
      <c r="J1339" s="39"/>
      <c r="K1339" s="39"/>
      <c r="L1339" s="39"/>
      <c r="M1339" s="39"/>
      <c r="N1339" s="39"/>
      <c r="O1339" s="39"/>
      <c r="P1339" s="39"/>
      <c r="Q1339" s="39">
        <v>0.83</v>
      </c>
      <c r="R1339" s="39"/>
      <c r="S1339" s="39"/>
      <c r="T1339" s="39"/>
      <c r="U1339" s="39"/>
      <c r="V1339" s="39"/>
      <c r="W1339" s="39"/>
      <c r="X1339" s="49" t="s">
        <v>310</v>
      </c>
      <c r="Y1339" s="50">
        <v>0</v>
      </c>
      <c r="Z1339" s="51"/>
      <c r="AA1339" s="52">
        <f t="shared" si="30"/>
        <v>0</v>
      </c>
      <c r="AB1339" s="12">
        <v>0</v>
      </c>
      <c r="AC1339" s="12">
        <v>0</v>
      </c>
      <c r="AD1339" s="43"/>
      <c r="AE1339" s="43"/>
      <c r="AF1339" s="43"/>
      <c r="AG1339" s="43"/>
      <c r="AH1339" s="43"/>
      <c r="AI1339" s="43"/>
      <c r="AJ1339" s="43"/>
      <c r="AK1339" s="43"/>
      <c r="AL1339" s="43"/>
      <c r="AM1339" s="43"/>
      <c r="AN1339" s="43"/>
      <c r="AO1339" s="43"/>
      <c r="AP1339" s="43"/>
      <c r="AQ1339" s="43"/>
      <c r="AR1339" s="43"/>
      <c r="AS1339" s="43"/>
      <c r="AT1339" s="43"/>
      <c r="AU1339" s="43"/>
      <c r="AV1339" s="43"/>
    </row>
    <row r="1340" ht="15.75" spans="1:48">
      <c r="A1340" s="12">
        <v>1336</v>
      </c>
      <c r="B1340" s="44">
        <v>4173</v>
      </c>
      <c r="C1340" s="45" t="s">
        <v>75</v>
      </c>
      <c r="D1340" s="46" t="s">
        <v>78</v>
      </c>
      <c r="E1340" s="47" t="s">
        <v>50</v>
      </c>
      <c r="F1340" s="48">
        <v>10.67</v>
      </c>
      <c r="G1340" s="38">
        <v>1.34</v>
      </c>
      <c r="H1340" s="39"/>
      <c r="I1340" s="39"/>
      <c r="J1340" s="39"/>
      <c r="K1340" s="39"/>
      <c r="L1340" s="39"/>
      <c r="M1340" s="39"/>
      <c r="N1340" s="39"/>
      <c r="O1340" s="39"/>
      <c r="P1340" s="39"/>
      <c r="Q1340" s="39">
        <v>1.17</v>
      </c>
      <c r="R1340" s="39"/>
      <c r="S1340" s="39"/>
      <c r="T1340" s="39"/>
      <c r="U1340" s="39">
        <v>0.17</v>
      </c>
      <c r="V1340" s="39"/>
      <c r="W1340" s="39"/>
      <c r="X1340" s="49" t="s">
        <v>79</v>
      </c>
      <c r="Y1340" s="50">
        <v>71062.2</v>
      </c>
      <c r="Z1340" s="51">
        <v>59952</v>
      </c>
      <c r="AA1340" s="52">
        <f t="shared" si="30"/>
        <v>0.843655276644967</v>
      </c>
      <c r="AB1340" s="12">
        <v>59904</v>
      </c>
      <c r="AC1340" s="12">
        <v>48</v>
      </c>
      <c r="AD1340" s="43"/>
      <c r="AE1340" s="43"/>
      <c r="AF1340" s="43"/>
      <c r="AG1340" s="19">
        <v>48</v>
      </c>
      <c r="AH1340" s="43"/>
      <c r="AI1340" s="43"/>
      <c r="AJ1340" s="43"/>
      <c r="AK1340" s="43"/>
      <c r="AL1340" s="43"/>
      <c r="AM1340" s="43"/>
      <c r="AN1340" s="43"/>
      <c r="AO1340" s="43"/>
      <c r="AP1340" s="43"/>
      <c r="AQ1340" s="43"/>
      <c r="AR1340" s="43"/>
      <c r="AS1340" s="43"/>
      <c r="AT1340" s="43"/>
      <c r="AU1340" s="43"/>
      <c r="AV1340" s="43"/>
    </row>
    <row r="1341" ht="15.75" spans="1:48">
      <c r="A1341" s="12">
        <v>1337</v>
      </c>
      <c r="B1341" s="44">
        <v>4173</v>
      </c>
      <c r="C1341" s="45" t="s">
        <v>75</v>
      </c>
      <c r="D1341" s="46" t="s">
        <v>207</v>
      </c>
      <c r="E1341" s="47" t="s">
        <v>50</v>
      </c>
      <c r="F1341" s="48">
        <v>10.67</v>
      </c>
      <c r="G1341" s="38">
        <v>1.34</v>
      </c>
      <c r="H1341" s="39"/>
      <c r="I1341" s="39"/>
      <c r="J1341" s="39"/>
      <c r="K1341" s="39"/>
      <c r="L1341" s="39"/>
      <c r="M1341" s="39"/>
      <c r="N1341" s="39"/>
      <c r="O1341" s="39"/>
      <c r="P1341" s="39"/>
      <c r="Q1341" s="39">
        <v>1.17</v>
      </c>
      <c r="R1341" s="39"/>
      <c r="S1341" s="39"/>
      <c r="T1341" s="39"/>
      <c r="U1341" s="39">
        <v>0.17</v>
      </c>
      <c r="V1341" s="39"/>
      <c r="W1341" s="39"/>
      <c r="X1341" s="49" t="s">
        <v>79</v>
      </c>
      <c r="Y1341" s="50">
        <v>71062.2</v>
      </c>
      <c r="Z1341" s="51">
        <v>59960</v>
      </c>
      <c r="AA1341" s="52">
        <f t="shared" si="30"/>
        <v>0.843767854077133</v>
      </c>
      <c r="AB1341" s="12">
        <v>59920</v>
      </c>
      <c r="AC1341" s="12">
        <v>40</v>
      </c>
      <c r="AD1341" s="43"/>
      <c r="AE1341" s="43"/>
      <c r="AF1341" s="43"/>
      <c r="AG1341" s="19">
        <v>40</v>
      </c>
      <c r="AH1341" s="43"/>
      <c r="AI1341" s="43"/>
      <c r="AJ1341" s="43"/>
      <c r="AK1341" s="43"/>
      <c r="AL1341" s="43"/>
      <c r="AM1341" s="43"/>
      <c r="AN1341" s="43"/>
      <c r="AO1341" s="43"/>
      <c r="AP1341" s="43"/>
      <c r="AQ1341" s="43"/>
      <c r="AR1341" s="43"/>
      <c r="AS1341" s="43"/>
      <c r="AT1341" s="43"/>
      <c r="AU1341" s="43"/>
      <c r="AV1341" s="43"/>
    </row>
    <row r="1342" ht="15.75" spans="1:48">
      <c r="A1342" s="12">
        <v>1338</v>
      </c>
      <c r="B1342" s="44">
        <v>4173</v>
      </c>
      <c r="C1342" s="45" t="s">
        <v>75</v>
      </c>
      <c r="D1342" s="46" t="s">
        <v>76</v>
      </c>
      <c r="E1342" s="47" t="s">
        <v>50</v>
      </c>
      <c r="F1342" s="48">
        <v>10.33</v>
      </c>
      <c r="G1342" s="38">
        <v>1.67</v>
      </c>
      <c r="H1342" s="39"/>
      <c r="I1342" s="39"/>
      <c r="J1342" s="39"/>
      <c r="K1342" s="39">
        <v>0.33</v>
      </c>
      <c r="L1342" s="39"/>
      <c r="M1342" s="39"/>
      <c r="N1342" s="39"/>
      <c r="O1342" s="39"/>
      <c r="P1342" s="39"/>
      <c r="Q1342" s="39">
        <v>1.17</v>
      </c>
      <c r="R1342" s="39"/>
      <c r="S1342" s="39"/>
      <c r="T1342" s="39"/>
      <c r="U1342" s="39">
        <v>0.17</v>
      </c>
      <c r="V1342" s="39"/>
      <c r="W1342" s="39"/>
      <c r="X1342" s="49" t="s">
        <v>77</v>
      </c>
      <c r="Y1342" s="50">
        <v>61980</v>
      </c>
      <c r="Z1342" s="51">
        <v>54600</v>
      </c>
      <c r="AA1342" s="52">
        <f t="shared" si="30"/>
        <v>0.880929332042594</v>
      </c>
      <c r="AB1342" s="12">
        <v>54544</v>
      </c>
      <c r="AC1342" s="12">
        <v>56</v>
      </c>
      <c r="AD1342" s="43"/>
      <c r="AE1342" s="43"/>
      <c r="AF1342" s="43"/>
      <c r="AG1342" s="19">
        <v>56</v>
      </c>
      <c r="AH1342" s="43"/>
      <c r="AI1342" s="43"/>
      <c r="AJ1342" s="43"/>
      <c r="AK1342" s="43"/>
      <c r="AL1342" s="43"/>
      <c r="AM1342" s="43"/>
      <c r="AN1342" s="43"/>
      <c r="AO1342" s="43"/>
      <c r="AP1342" s="43"/>
      <c r="AQ1342" s="43"/>
      <c r="AR1342" s="43"/>
      <c r="AS1342" s="43"/>
      <c r="AT1342" s="43"/>
      <c r="AU1342" s="43"/>
      <c r="AV1342" s="43"/>
    </row>
    <row r="1343" ht="15.75" spans="1:48">
      <c r="A1343" s="12">
        <v>1339</v>
      </c>
      <c r="B1343" s="44">
        <v>2959</v>
      </c>
      <c r="C1343" s="45" t="s">
        <v>86</v>
      </c>
      <c r="D1343" s="46"/>
      <c r="E1343" s="47" t="s">
        <v>50</v>
      </c>
      <c r="F1343" s="48">
        <v>10.83</v>
      </c>
      <c r="G1343" s="38">
        <v>1.17</v>
      </c>
      <c r="H1343" s="39"/>
      <c r="I1343" s="39"/>
      <c r="J1343" s="39"/>
      <c r="K1343" s="39"/>
      <c r="L1343" s="39"/>
      <c r="M1343" s="39"/>
      <c r="N1343" s="39"/>
      <c r="O1343" s="39"/>
      <c r="P1343" s="39"/>
      <c r="Q1343" s="39">
        <v>1.17</v>
      </c>
      <c r="R1343" s="39"/>
      <c r="S1343" s="39"/>
      <c r="T1343" s="39"/>
      <c r="U1343" s="39"/>
      <c r="V1343" s="39"/>
      <c r="W1343" s="39"/>
      <c r="X1343" s="49" t="s">
        <v>140</v>
      </c>
      <c r="Y1343" s="50">
        <v>0</v>
      </c>
      <c r="Z1343" s="51"/>
      <c r="AA1343" s="52">
        <f t="shared" si="30"/>
        <v>0</v>
      </c>
      <c r="AB1343" s="12">
        <v>0</v>
      </c>
      <c r="AC1343" s="12">
        <v>0</v>
      </c>
      <c r="AD1343" s="43"/>
      <c r="AE1343" s="43"/>
      <c r="AF1343" s="43"/>
      <c r="AG1343" s="43"/>
      <c r="AH1343" s="43"/>
      <c r="AI1343" s="43"/>
      <c r="AJ1343" s="43"/>
      <c r="AK1343" s="43"/>
      <c r="AL1343" s="43"/>
      <c r="AM1343" s="43"/>
      <c r="AN1343" s="43"/>
      <c r="AO1343" s="43"/>
      <c r="AP1343" s="43"/>
      <c r="AQ1343" s="43"/>
      <c r="AR1343" s="43"/>
      <c r="AS1343" s="43"/>
      <c r="AT1343" s="43"/>
      <c r="AU1343" s="43"/>
      <c r="AV1343" s="43"/>
    </row>
    <row r="1344" ht="15.75" spans="1:48">
      <c r="A1344" s="12">
        <v>1340</v>
      </c>
      <c r="B1344" s="44">
        <v>4173</v>
      </c>
      <c r="C1344" s="45" t="s">
        <v>75</v>
      </c>
      <c r="D1344" s="46" t="s">
        <v>83</v>
      </c>
      <c r="E1344" s="47" t="s">
        <v>50</v>
      </c>
      <c r="F1344" s="48">
        <v>6.83</v>
      </c>
      <c r="G1344" s="38">
        <v>1.17</v>
      </c>
      <c r="H1344" s="39"/>
      <c r="I1344" s="39"/>
      <c r="J1344" s="39"/>
      <c r="K1344" s="39"/>
      <c r="L1344" s="39"/>
      <c r="M1344" s="39"/>
      <c r="N1344" s="39"/>
      <c r="O1344" s="39"/>
      <c r="P1344" s="39"/>
      <c r="Q1344" s="39">
        <v>1</v>
      </c>
      <c r="R1344" s="39"/>
      <c r="S1344" s="39"/>
      <c r="T1344" s="39"/>
      <c r="U1344" s="39">
        <v>0.17</v>
      </c>
      <c r="V1344" s="39"/>
      <c r="W1344" s="39"/>
      <c r="X1344" s="49" t="s">
        <v>84</v>
      </c>
      <c r="Y1344" s="50">
        <v>34150</v>
      </c>
      <c r="Z1344" s="51">
        <v>31104</v>
      </c>
      <c r="AA1344" s="52">
        <f t="shared" si="30"/>
        <v>0.910805270863836</v>
      </c>
      <c r="AB1344" s="12">
        <v>31008</v>
      </c>
      <c r="AC1344" s="12">
        <v>96</v>
      </c>
      <c r="AD1344" s="43"/>
      <c r="AE1344" s="43"/>
      <c r="AF1344" s="43"/>
      <c r="AG1344" s="19">
        <v>96</v>
      </c>
      <c r="AH1344" s="43"/>
      <c r="AI1344" s="43"/>
      <c r="AJ1344" s="43"/>
      <c r="AK1344" s="43"/>
      <c r="AL1344" s="43"/>
      <c r="AM1344" s="43"/>
      <c r="AN1344" s="43"/>
      <c r="AO1344" s="43"/>
      <c r="AP1344" s="43"/>
      <c r="AQ1344" s="43"/>
      <c r="AR1344" s="43"/>
      <c r="AS1344" s="43"/>
      <c r="AT1344" s="43"/>
      <c r="AU1344" s="43"/>
      <c r="AV1344" s="43"/>
    </row>
    <row r="1345" ht="15.75" spans="1:48">
      <c r="A1345" s="12">
        <v>1341</v>
      </c>
      <c r="B1345" s="44">
        <v>4344</v>
      </c>
      <c r="C1345" s="45" t="s">
        <v>85</v>
      </c>
      <c r="D1345" s="46" t="s">
        <v>129</v>
      </c>
      <c r="E1345" s="47" t="s">
        <v>50</v>
      </c>
      <c r="F1345" s="48">
        <v>10.33</v>
      </c>
      <c r="G1345" s="38">
        <v>1.67</v>
      </c>
      <c r="H1345" s="39"/>
      <c r="I1345" s="39"/>
      <c r="J1345" s="39"/>
      <c r="K1345" s="39">
        <v>0.33</v>
      </c>
      <c r="L1345" s="39"/>
      <c r="M1345" s="39"/>
      <c r="N1345" s="39"/>
      <c r="O1345" s="39"/>
      <c r="P1345" s="39"/>
      <c r="Q1345" s="39">
        <v>1.17</v>
      </c>
      <c r="R1345" s="39"/>
      <c r="S1345" s="39"/>
      <c r="T1345" s="39"/>
      <c r="U1345" s="39">
        <v>0.17</v>
      </c>
      <c r="V1345" s="39"/>
      <c r="W1345" s="39"/>
      <c r="X1345" s="49" t="s">
        <v>220</v>
      </c>
      <c r="Y1345" s="50">
        <v>18594</v>
      </c>
      <c r="Z1345" s="51">
        <v>17600</v>
      </c>
      <c r="AA1345" s="52">
        <f t="shared" si="30"/>
        <v>0.946541895235022</v>
      </c>
      <c r="AB1345" s="12">
        <v>17600</v>
      </c>
      <c r="AC1345" s="12">
        <v>0</v>
      </c>
      <c r="AD1345" s="43"/>
      <c r="AE1345" s="43"/>
      <c r="AF1345" s="43"/>
      <c r="AG1345" s="43"/>
      <c r="AH1345" s="43"/>
      <c r="AI1345" s="43"/>
      <c r="AJ1345" s="43"/>
      <c r="AK1345" s="43"/>
      <c r="AL1345" s="43"/>
      <c r="AM1345" s="43"/>
      <c r="AN1345" s="43"/>
      <c r="AO1345" s="43"/>
      <c r="AP1345" s="43"/>
      <c r="AQ1345" s="43"/>
      <c r="AR1345" s="43"/>
      <c r="AS1345" s="43"/>
      <c r="AT1345" s="43"/>
      <c r="AU1345" s="43"/>
      <c r="AV1345" s="43"/>
    </row>
    <row r="1346" ht="15.75" spans="1:48">
      <c r="A1346" s="12">
        <v>1342</v>
      </c>
      <c r="B1346" s="44">
        <v>4324</v>
      </c>
      <c r="C1346" s="45" t="s">
        <v>331</v>
      </c>
      <c r="D1346" s="46" t="s">
        <v>81</v>
      </c>
      <c r="E1346" s="47" t="s">
        <v>50</v>
      </c>
      <c r="F1346" s="48">
        <v>3</v>
      </c>
      <c r="G1346" s="38">
        <v>6.67</v>
      </c>
      <c r="H1346" s="39"/>
      <c r="I1346" s="39"/>
      <c r="J1346" s="39"/>
      <c r="K1346" s="39"/>
      <c r="L1346" s="39"/>
      <c r="M1346" s="39"/>
      <c r="N1346" s="39"/>
      <c r="O1346" s="39"/>
      <c r="P1346" s="39"/>
      <c r="Q1346" s="39">
        <v>1.17</v>
      </c>
      <c r="R1346" s="39"/>
      <c r="S1346" s="39"/>
      <c r="T1346" s="39"/>
      <c r="U1346" s="39">
        <v>0.17</v>
      </c>
      <c r="V1346" s="39">
        <v>5.33</v>
      </c>
      <c r="W1346" s="39"/>
      <c r="X1346" s="49" t="s">
        <v>332</v>
      </c>
      <c r="Y1346" s="50">
        <v>13500</v>
      </c>
      <c r="Z1346" s="51">
        <v>11072</v>
      </c>
      <c r="AA1346" s="52">
        <f t="shared" si="30"/>
        <v>0.820148148148148</v>
      </c>
      <c r="AB1346" s="12">
        <v>10944</v>
      </c>
      <c r="AC1346" s="12">
        <v>128</v>
      </c>
      <c r="AD1346" s="43"/>
      <c r="AE1346" s="43"/>
      <c r="AF1346" s="43"/>
      <c r="AG1346" s="19">
        <v>128</v>
      </c>
      <c r="AH1346" s="43"/>
      <c r="AI1346" s="43"/>
      <c r="AJ1346" s="43"/>
      <c r="AK1346" s="43"/>
      <c r="AL1346" s="43"/>
      <c r="AM1346" s="43"/>
      <c r="AN1346" s="43"/>
      <c r="AO1346" s="43"/>
      <c r="AP1346" s="43"/>
      <c r="AQ1346" s="43"/>
      <c r="AR1346" s="43"/>
      <c r="AS1346" s="43"/>
      <c r="AT1346" s="43"/>
      <c r="AU1346" s="43"/>
      <c r="AV1346" s="43"/>
    </row>
    <row r="1347" ht="15.75" spans="1:48">
      <c r="A1347" s="12">
        <v>1343</v>
      </c>
      <c r="B1347" s="44">
        <v>4185</v>
      </c>
      <c r="C1347" s="45" t="s">
        <v>72</v>
      </c>
      <c r="D1347" s="46" t="s">
        <v>138</v>
      </c>
      <c r="E1347" s="47" t="s">
        <v>50</v>
      </c>
      <c r="F1347" s="48">
        <v>5.67</v>
      </c>
      <c r="G1347" s="38">
        <v>0.34</v>
      </c>
      <c r="H1347" s="39"/>
      <c r="I1347" s="39"/>
      <c r="J1347" s="39"/>
      <c r="K1347" s="39">
        <v>0.17</v>
      </c>
      <c r="L1347" s="39"/>
      <c r="M1347" s="39"/>
      <c r="N1347" s="39"/>
      <c r="O1347" s="39"/>
      <c r="P1347" s="39"/>
      <c r="Q1347" s="39"/>
      <c r="R1347" s="39"/>
      <c r="S1347" s="39"/>
      <c r="T1347" s="39"/>
      <c r="U1347" s="39">
        <v>0.17</v>
      </c>
      <c r="V1347" s="39"/>
      <c r="W1347" s="39"/>
      <c r="X1347" s="49" t="s">
        <v>208</v>
      </c>
      <c r="Y1347" s="50">
        <v>8646.75</v>
      </c>
      <c r="Z1347" s="51">
        <v>8412</v>
      </c>
      <c r="AA1347" s="52">
        <f t="shared" si="30"/>
        <v>0.972851071211727</v>
      </c>
      <c r="AB1347" s="12">
        <v>8408</v>
      </c>
      <c r="AC1347" s="12">
        <v>4</v>
      </c>
      <c r="AD1347" s="43"/>
      <c r="AE1347" s="43"/>
      <c r="AF1347" s="43"/>
      <c r="AG1347" s="19">
        <v>4</v>
      </c>
      <c r="AH1347" s="43"/>
      <c r="AI1347" s="43"/>
      <c r="AJ1347" s="43"/>
      <c r="AK1347" s="43"/>
      <c r="AL1347" s="43"/>
      <c r="AM1347" s="43"/>
      <c r="AN1347" s="43"/>
      <c r="AO1347" s="43"/>
      <c r="AP1347" s="43"/>
      <c r="AQ1347" s="43"/>
      <c r="AR1347" s="43"/>
      <c r="AS1347" s="43"/>
      <c r="AT1347" s="43"/>
      <c r="AU1347" s="43"/>
      <c r="AV1347" s="43"/>
    </row>
    <row r="1348" ht="15.75" spans="1:48">
      <c r="A1348" s="12">
        <v>1344</v>
      </c>
      <c r="B1348" s="44">
        <v>4185</v>
      </c>
      <c r="C1348" s="45" t="s">
        <v>72</v>
      </c>
      <c r="D1348" s="46" t="s">
        <v>73</v>
      </c>
      <c r="E1348" s="47" t="s">
        <v>50</v>
      </c>
      <c r="F1348" s="48">
        <v>4.67</v>
      </c>
      <c r="G1348" s="38">
        <v>1.34</v>
      </c>
      <c r="H1348" s="39"/>
      <c r="I1348" s="39"/>
      <c r="J1348" s="39"/>
      <c r="K1348" s="39"/>
      <c r="L1348" s="39"/>
      <c r="M1348" s="39"/>
      <c r="N1348" s="39"/>
      <c r="O1348" s="39"/>
      <c r="P1348" s="39"/>
      <c r="Q1348" s="39">
        <v>1.17</v>
      </c>
      <c r="R1348" s="39"/>
      <c r="S1348" s="39"/>
      <c r="T1348" s="39"/>
      <c r="U1348" s="39">
        <v>0.17</v>
      </c>
      <c r="V1348" s="39"/>
      <c r="W1348" s="39"/>
      <c r="X1348" s="49" t="s">
        <v>74</v>
      </c>
      <c r="Y1348" s="50">
        <v>7588.75</v>
      </c>
      <c r="Z1348" s="51">
        <v>7480</v>
      </c>
      <c r="AA1348" s="52">
        <f t="shared" si="30"/>
        <v>0.985669576676001</v>
      </c>
      <c r="AB1348" s="12">
        <v>7480</v>
      </c>
      <c r="AC1348" s="12">
        <v>0</v>
      </c>
      <c r="AD1348" s="43"/>
      <c r="AE1348" s="43"/>
      <c r="AF1348" s="43"/>
      <c r="AG1348" s="43"/>
      <c r="AH1348" s="43"/>
      <c r="AI1348" s="43"/>
      <c r="AJ1348" s="43"/>
      <c r="AK1348" s="43"/>
      <c r="AL1348" s="43"/>
      <c r="AM1348" s="43"/>
      <c r="AN1348" s="43"/>
      <c r="AO1348" s="43"/>
      <c r="AP1348" s="43"/>
      <c r="AQ1348" s="43"/>
      <c r="AR1348" s="43"/>
      <c r="AS1348" s="43"/>
      <c r="AT1348" s="43"/>
      <c r="AU1348" s="43"/>
      <c r="AV1348" s="43"/>
    </row>
    <row r="1349" ht="15.75" spans="1:48">
      <c r="A1349" s="12">
        <v>1345</v>
      </c>
      <c r="B1349" s="44">
        <v>4310</v>
      </c>
      <c r="C1349" s="45" t="s">
        <v>99</v>
      </c>
      <c r="D1349" s="46">
        <v>6</v>
      </c>
      <c r="E1349" s="47" t="s">
        <v>50</v>
      </c>
      <c r="F1349" s="48">
        <v>7.17</v>
      </c>
      <c r="G1349" s="38">
        <v>0.83</v>
      </c>
      <c r="H1349" s="39"/>
      <c r="I1349" s="39"/>
      <c r="J1349" s="39"/>
      <c r="K1349" s="39"/>
      <c r="L1349" s="39"/>
      <c r="M1349" s="39"/>
      <c r="N1349" s="39"/>
      <c r="O1349" s="39"/>
      <c r="P1349" s="39"/>
      <c r="Q1349" s="39">
        <v>0.83</v>
      </c>
      <c r="R1349" s="39"/>
      <c r="S1349" s="39"/>
      <c r="T1349" s="39"/>
      <c r="U1349" s="39"/>
      <c r="V1349" s="39"/>
      <c r="W1349" s="39"/>
      <c r="X1349" s="49">
        <v>1090</v>
      </c>
      <c r="Y1349" s="50">
        <v>4732.2</v>
      </c>
      <c r="Z1349" s="51">
        <v>4250</v>
      </c>
      <c r="AA1349" s="52">
        <f t="shared" si="30"/>
        <v>0.898102362537509</v>
      </c>
      <c r="AB1349" s="12">
        <v>4250</v>
      </c>
      <c r="AC1349" s="12">
        <v>0</v>
      </c>
      <c r="AD1349" s="43"/>
      <c r="AE1349" s="43"/>
      <c r="AF1349" s="43"/>
      <c r="AG1349" s="43"/>
      <c r="AH1349" s="43"/>
      <c r="AI1349" s="43"/>
      <c r="AJ1349" s="43"/>
      <c r="AK1349" s="43"/>
      <c r="AL1349" s="43"/>
      <c r="AM1349" s="43"/>
      <c r="AN1349" s="43"/>
      <c r="AO1349" s="43"/>
      <c r="AP1349" s="43"/>
      <c r="AQ1349" s="43"/>
      <c r="AR1349" s="43"/>
      <c r="AS1349" s="43"/>
      <c r="AT1349" s="43"/>
      <c r="AU1349" s="43"/>
      <c r="AV1349" s="43"/>
    </row>
    <row r="1350" ht="15.75" spans="1:48">
      <c r="A1350" s="12">
        <v>1346</v>
      </c>
      <c r="B1350" s="61" t="s">
        <v>333</v>
      </c>
      <c r="C1350" s="62" t="s">
        <v>334</v>
      </c>
      <c r="D1350" s="46">
        <v>21</v>
      </c>
      <c r="E1350" s="47" t="s">
        <v>50</v>
      </c>
      <c r="F1350" s="48">
        <v>7.17</v>
      </c>
      <c r="G1350" s="38">
        <v>0.83</v>
      </c>
      <c r="H1350" s="39"/>
      <c r="I1350" s="39"/>
      <c r="J1350" s="39"/>
      <c r="K1350" s="39"/>
      <c r="L1350" s="39"/>
      <c r="M1350" s="39"/>
      <c r="N1350" s="39"/>
      <c r="O1350" s="39"/>
      <c r="P1350" s="39"/>
      <c r="Q1350" s="39">
        <v>0.83</v>
      </c>
      <c r="R1350" s="39"/>
      <c r="S1350" s="39"/>
      <c r="T1350" s="39"/>
      <c r="U1350" s="39"/>
      <c r="V1350" s="39"/>
      <c r="W1350" s="39"/>
      <c r="X1350" s="49" t="s">
        <v>222</v>
      </c>
      <c r="Y1350" s="50">
        <v>10396.5</v>
      </c>
      <c r="Z1350" s="51">
        <v>5400</v>
      </c>
      <c r="AA1350" s="52">
        <f t="shared" si="30"/>
        <v>0.519405569181936</v>
      </c>
      <c r="AB1350" s="12">
        <v>5400</v>
      </c>
      <c r="AC1350" s="12">
        <v>0</v>
      </c>
      <c r="AD1350" s="43"/>
      <c r="AE1350" s="43"/>
      <c r="AF1350" s="43"/>
      <c r="AG1350" s="43"/>
      <c r="AH1350" s="43"/>
      <c r="AI1350" s="43"/>
      <c r="AJ1350" s="43"/>
      <c r="AK1350" s="43"/>
      <c r="AL1350" s="43"/>
      <c r="AM1350" s="43"/>
      <c r="AN1350" s="43"/>
      <c r="AO1350" s="43"/>
      <c r="AP1350" s="43"/>
      <c r="AQ1350" s="43"/>
      <c r="AR1350" s="43"/>
      <c r="AS1350" s="43"/>
      <c r="AT1350" s="43"/>
      <c r="AU1350" s="43"/>
      <c r="AV1350" s="43"/>
    </row>
    <row r="1351" ht="15.75" spans="1:48">
      <c r="A1351" s="12">
        <v>1347</v>
      </c>
      <c r="B1351" s="61" t="s">
        <v>317</v>
      </c>
      <c r="C1351" s="62" t="s">
        <v>318</v>
      </c>
      <c r="D1351" s="46">
        <v>8</v>
      </c>
      <c r="E1351" s="47" t="s">
        <v>50</v>
      </c>
      <c r="F1351" s="48">
        <v>7.17</v>
      </c>
      <c r="G1351" s="38">
        <v>0.83</v>
      </c>
      <c r="H1351" s="39"/>
      <c r="I1351" s="39"/>
      <c r="J1351" s="39"/>
      <c r="K1351" s="39"/>
      <c r="L1351" s="39"/>
      <c r="M1351" s="39"/>
      <c r="N1351" s="39"/>
      <c r="O1351" s="39"/>
      <c r="P1351" s="39"/>
      <c r="Q1351" s="39">
        <v>0.83</v>
      </c>
      <c r="R1351" s="39"/>
      <c r="S1351" s="39"/>
      <c r="T1351" s="39"/>
      <c r="U1351" s="39"/>
      <c r="V1351" s="39"/>
      <c r="W1351" s="39"/>
      <c r="X1351" s="49">
        <v>9968</v>
      </c>
      <c r="Y1351" s="50">
        <v>4337.85</v>
      </c>
      <c r="Z1351" s="51">
        <v>2240</v>
      </c>
      <c r="AA1351" s="52">
        <f t="shared" si="30"/>
        <v>0.516384845026914</v>
      </c>
      <c r="AB1351" s="12">
        <v>2135</v>
      </c>
      <c r="AC1351" s="12">
        <v>105</v>
      </c>
      <c r="AD1351" s="19">
        <v>105</v>
      </c>
      <c r="AE1351" s="43"/>
      <c r="AF1351" s="43"/>
      <c r="AG1351" s="43"/>
      <c r="AH1351" s="43"/>
      <c r="AI1351" s="43"/>
      <c r="AJ1351" s="43"/>
      <c r="AK1351" s="43"/>
      <c r="AL1351" s="43"/>
      <c r="AM1351" s="43"/>
      <c r="AN1351" s="43"/>
      <c r="AO1351" s="43"/>
      <c r="AP1351" s="43"/>
      <c r="AQ1351" s="43"/>
      <c r="AR1351" s="43"/>
      <c r="AS1351" s="43"/>
      <c r="AT1351" s="43"/>
      <c r="AU1351" s="43"/>
      <c r="AV1351" s="43"/>
    </row>
    <row r="1352" ht="15.75" spans="1:48">
      <c r="A1352" s="12">
        <v>1348</v>
      </c>
      <c r="B1352" s="61" t="s">
        <v>335</v>
      </c>
      <c r="C1352" s="62" t="s">
        <v>336</v>
      </c>
      <c r="D1352" s="46">
        <v>7</v>
      </c>
      <c r="E1352" s="47" t="s">
        <v>50</v>
      </c>
      <c r="F1352" s="48">
        <v>3</v>
      </c>
      <c r="G1352" s="38">
        <v>0</v>
      </c>
      <c r="H1352" s="39"/>
      <c r="I1352" s="39"/>
      <c r="J1352" s="39"/>
      <c r="K1352" s="39"/>
      <c r="L1352" s="39"/>
      <c r="M1352" s="39"/>
      <c r="N1352" s="39"/>
      <c r="O1352" s="39"/>
      <c r="P1352" s="39"/>
      <c r="Q1352" s="39"/>
      <c r="R1352" s="39"/>
      <c r="S1352" s="39"/>
      <c r="T1352" s="39"/>
      <c r="U1352" s="39"/>
      <c r="V1352" s="39"/>
      <c r="W1352" s="39"/>
      <c r="X1352" s="49" t="s">
        <v>95</v>
      </c>
      <c r="Y1352" s="50">
        <v>4200</v>
      </c>
      <c r="Z1352" s="51">
        <v>1834</v>
      </c>
      <c r="AA1352" s="52">
        <f t="shared" si="30"/>
        <v>0.436666666666667</v>
      </c>
      <c r="AB1352" s="12">
        <v>1834</v>
      </c>
      <c r="AC1352" s="12">
        <v>0</v>
      </c>
      <c r="AD1352" s="43"/>
      <c r="AE1352" s="43"/>
      <c r="AF1352" s="43"/>
      <c r="AG1352" s="43"/>
      <c r="AH1352" s="43"/>
      <c r="AI1352" s="43"/>
      <c r="AJ1352" s="43"/>
      <c r="AK1352" s="43"/>
      <c r="AL1352" s="43"/>
      <c r="AM1352" s="43"/>
      <c r="AN1352" s="43"/>
      <c r="AO1352" s="43"/>
      <c r="AP1352" s="43"/>
      <c r="AQ1352" s="43"/>
      <c r="AR1352" s="43"/>
      <c r="AS1352" s="43"/>
      <c r="AT1352" s="43"/>
      <c r="AU1352" s="43"/>
      <c r="AV1352" s="43"/>
    </row>
    <row r="1353" ht="15.75" spans="1:48">
      <c r="A1353" s="12">
        <v>1349</v>
      </c>
      <c r="B1353" s="61" t="s">
        <v>312</v>
      </c>
      <c r="C1353" s="62" t="s">
        <v>313</v>
      </c>
      <c r="D1353" s="46"/>
      <c r="E1353" s="47" t="s">
        <v>50</v>
      </c>
      <c r="F1353" s="48">
        <v>7.17</v>
      </c>
      <c r="G1353" s="38">
        <v>0.83</v>
      </c>
      <c r="H1353" s="39"/>
      <c r="I1353" s="39"/>
      <c r="J1353" s="39"/>
      <c r="K1353" s="39"/>
      <c r="L1353" s="39"/>
      <c r="M1353" s="39"/>
      <c r="N1353" s="39"/>
      <c r="O1353" s="39"/>
      <c r="P1353" s="39"/>
      <c r="Q1353" s="39">
        <v>0.83</v>
      </c>
      <c r="R1353" s="39"/>
      <c r="S1353" s="39"/>
      <c r="T1353" s="39"/>
      <c r="U1353" s="39"/>
      <c r="V1353" s="39"/>
      <c r="W1353" s="39"/>
      <c r="X1353" s="49" t="s">
        <v>98</v>
      </c>
      <c r="Y1353" s="50">
        <v>3369.9</v>
      </c>
      <c r="Z1353" s="51">
        <v>900</v>
      </c>
      <c r="AA1353" s="52">
        <f t="shared" si="30"/>
        <v>0.267070239472981</v>
      </c>
      <c r="AB1353" s="12">
        <v>900</v>
      </c>
      <c r="AC1353" s="12">
        <v>0</v>
      </c>
      <c r="AD1353" s="43"/>
      <c r="AE1353" s="43"/>
      <c r="AF1353" s="43"/>
      <c r="AG1353" s="43"/>
      <c r="AH1353" s="43"/>
      <c r="AI1353" s="43"/>
      <c r="AJ1353" s="43"/>
      <c r="AK1353" s="43"/>
      <c r="AL1353" s="43"/>
      <c r="AM1353" s="43"/>
      <c r="AN1353" s="43"/>
      <c r="AO1353" s="43"/>
      <c r="AP1353" s="43"/>
      <c r="AQ1353" s="43"/>
      <c r="AR1353" s="43"/>
      <c r="AS1353" s="43"/>
      <c r="AT1353" s="43"/>
      <c r="AU1353" s="43"/>
      <c r="AV1353" s="43"/>
    </row>
    <row r="1354" ht="15.75" spans="1:48">
      <c r="A1354" s="12">
        <v>1350</v>
      </c>
      <c r="B1354" s="44">
        <v>3268</v>
      </c>
      <c r="C1354" s="45" t="s">
        <v>80</v>
      </c>
      <c r="D1354" s="46">
        <v>17</v>
      </c>
      <c r="E1354" s="47" t="s">
        <v>50</v>
      </c>
      <c r="F1354" s="48">
        <v>7.5</v>
      </c>
      <c r="G1354" s="38">
        <v>4.5</v>
      </c>
      <c r="H1354" s="39"/>
      <c r="I1354" s="39"/>
      <c r="J1354" s="39"/>
      <c r="K1354" s="39">
        <v>0.5</v>
      </c>
      <c r="L1354" s="39"/>
      <c r="M1354" s="39"/>
      <c r="N1354" s="39"/>
      <c r="O1354" s="39"/>
      <c r="P1354" s="39"/>
      <c r="Q1354" s="39">
        <v>1.17</v>
      </c>
      <c r="R1354" s="39"/>
      <c r="S1354" s="39"/>
      <c r="T1354" s="39">
        <v>2.66</v>
      </c>
      <c r="U1354" s="39">
        <v>0.17</v>
      </c>
      <c r="V1354" s="39"/>
      <c r="W1354" s="39"/>
      <c r="X1354" s="49">
        <v>977</v>
      </c>
      <c r="Y1354" s="50">
        <v>2250</v>
      </c>
      <c r="Z1354" s="51">
        <v>1500</v>
      </c>
      <c r="AA1354" s="52">
        <f t="shared" si="30"/>
        <v>0.666666666666667</v>
      </c>
      <c r="AB1354" s="12">
        <v>667</v>
      </c>
      <c r="AC1354" s="12">
        <v>833</v>
      </c>
      <c r="AD1354" s="19">
        <v>833</v>
      </c>
      <c r="AE1354" s="43"/>
      <c r="AF1354" s="43"/>
      <c r="AG1354" s="43"/>
      <c r="AH1354" s="43"/>
      <c r="AI1354" s="43"/>
      <c r="AJ1354" s="43"/>
      <c r="AK1354" s="43"/>
      <c r="AL1354" s="43"/>
      <c r="AM1354" s="43"/>
      <c r="AN1354" s="43"/>
      <c r="AO1354" s="43"/>
      <c r="AP1354" s="43"/>
      <c r="AQ1354" s="43"/>
      <c r="AR1354" s="43"/>
      <c r="AS1354" s="43"/>
      <c r="AT1354" s="43"/>
      <c r="AU1354" s="43"/>
      <c r="AV1354" s="43"/>
    </row>
    <row r="1355" ht="15.75" spans="1:48">
      <c r="A1355" s="12">
        <v>1351</v>
      </c>
      <c r="B1355" s="44">
        <v>3277</v>
      </c>
      <c r="C1355" s="45" t="s">
        <v>106</v>
      </c>
      <c r="D1355" s="46">
        <v>16</v>
      </c>
      <c r="E1355" s="47" t="s">
        <v>50</v>
      </c>
      <c r="F1355" s="48">
        <v>2.16</v>
      </c>
      <c r="G1355" s="38">
        <v>1.5</v>
      </c>
      <c r="H1355" s="39"/>
      <c r="I1355" s="39"/>
      <c r="J1355" s="39"/>
      <c r="K1355" s="39"/>
      <c r="L1355" s="39"/>
      <c r="M1355" s="39"/>
      <c r="N1355" s="39"/>
      <c r="O1355" s="39"/>
      <c r="P1355" s="39"/>
      <c r="Q1355" s="39">
        <v>1.17</v>
      </c>
      <c r="R1355" s="39"/>
      <c r="S1355" s="39">
        <v>0.33</v>
      </c>
      <c r="T1355" s="39"/>
      <c r="U1355" s="39"/>
      <c r="V1355" s="39"/>
      <c r="W1355" s="39"/>
      <c r="X1355" s="49">
        <v>7630</v>
      </c>
      <c r="Y1355" s="50">
        <v>388.8</v>
      </c>
      <c r="Z1355" s="51">
        <v>353</v>
      </c>
      <c r="AA1355" s="52">
        <f t="shared" si="30"/>
        <v>0.907921810699588</v>
      </c>
      <c r="AB1355" s="12">
        <v>353</v>
      </c>
      <c r="AC1355" s="12">
        <v>0</v>
      </c>
      <c r="AD1355" s="43"/>
      <c r="AE1355" s="43"/>
      <c r="AF1355" s="43"/>
      <c r="AG1355" s="43"/>
      <c r="AH1355" s="43"/>
      <c r="AI1355" s="43"/>
      <c r="AJ1355" s="43"/>
      <c r="AK1355" s="43"/>
      <c r="AL1355" s="43"/>
      <c r="AM1355" s="43"/>
      <c r="AN1355" s="43"/>
      <c r="AO1355" s="43"/>
      <c r="AP1355" s="43"/>
      <c r="AQ1355" s="43"/>
      <c r="AR1355" s="43"/>
      <c r="AS1355" s="43"/>
      <c r="AT1355" s="43"/>
      <c r="AU1355" s="43"/>
      <c r="AV1355" s="43"/>
    </row>
    <row r="1356" ht="15.75" spans="1:48">
      <c r="A1356" s="12">
        <v>1352</v>
      </c>
      <c r="B1356" s="44">
        <v>3277</v>
      </c>
      <c r="C1356" s="45" t="s">
        <v>106</v>
      </c>
      <c r="D1356" s="46"/>
      <c r="E1356" s="47" t="s">
        <v>50</v>
      </c>
      <c r="F1356" s="48">
        <v>7.17</v>
      </c>
      <c r="G1356" s="38">
        <v>0</v>
      </c>
      <c r="H1356" s="39"/>
      <c r="I1356" s="39"/>
      <c r="J1356" s="39"/>
      <c r="K1356" s="39"/>
      <c r="L1356" s="39"/>
      <c r="M1356" s="39"/>
      <c r="N1356" s="39"/>
      <c r="O1356" s="39"/>
      <c r="P1356" s="39"/>
      <c r="Q1356" s="39"/>
      <c r="R1356" s="39"/>
      <c r="S1356" s="39"/>
      <c r="T1356" s="39"/>
      <c r="U1356" s="39"/>
      <c r="V1356" s="39"/>
      <c r="W1356" s="39"/>
      <c r="X1356" s="49" t="s">
        <v>155</v>
      </c>
      <c r="Y1356" s="50">
        <v>0</v>
      </c>
      <c r="Z1356" s="51"/>
      <c r="AA1356" s="52">
        <f t="shared" si="30"/>
        <v>0</v>
      </c>
      <c r="AB1356" s="12">
        <v>0</v>
      </c>
      <c r="AC1356" s="12">
        <v>0</v>
      </c>
      <c r="AD1356" s="43"/>
      <c r="AE1356" s="43"/>
      <c r="AF1356" s="43"/>
      <c r="AG1356" s="43"/>
      <c r="AH1356" s="43"/>
      <c r="AI1356" s="43"/>
      <c r="AJ1356" s="43"/>
      <c r="AK1356" s="43"/>
      <c r="AL1356" s="43"/>
      <c r="AM1356" s="43"/>
      <c r="AN1356" s="43"/>
      <c r="AO1356" s="43"/>
      <c r="AP1356" s="43"/>
      <c r="AQ1356" s="43"/>
      <c r="AR1356" s="43"/>
      <c r="AS1356" s="43"/>
      <c r="AT1356" s="43"/>
      <c r="AU1356" s="43"/>
      <c r="AV1356" s="43"/>
    </row>
    <row r="1357" ht="15.75" spans="1:48">
      <c r="A1357" s="12">
        <v>1353</v>
      </c>
      <c r="B1357" s="44">
        <v>4412</v>
      </c>
      <c r="C1357" s="45" t="s">
        <v>177</v>
      </c>
      <c r="D1357" s="46">
        <v>6</v>
      </c>
      <c r="E1357" s="47" t="s">
        <v>50</v>
      </c>
      <c r="F1357" s="48">
        <v>3.83</v>
      </c>
      <c r="G1357" s="38">
        <v>0.33</v>
      </c>
      <c r="H1357" s="39"/>
      <c r="I1357" s="39"/>
      <c r="J1357" s="39"/>
      <c r="K1357" s="39"/>
      <c r="L1357" s="39"/>
      <c r="M1357" s="39"/>
      <c r="N1357" s="39"/>
      <c r="O1357" s="39"/>
      <c r="P1357" s="39"/>
      <c r="Q1357" s="39">
        <v>0.33</v>
      </c>
      <c r="R1357" s="39"/>
      <c r="S1357" s="39"/>
      <c r="T1357" s="39"/>
      <c r="U1357" s="39"/>
      <c r="V1357" s="39"/>
      <c r="W1357" s="39"/>
      <c r="X1357" s="49">
        <v>1090</v>
      </c>
      <c r="Y1357" s="50">
        <v>2527.8</v>
      </c>
      <c r="Z1357" s="51">
        <v>2500</v>
      </c>
      <c r="AA1357" s="52">
        <f t="shared" si="30"/>
        <v>0.989002294485323</v>
      </c>
      <c r="AB1357" s="12">
        <v>2499</v>
      </c>
      <c r="AC1357" s="12">
        <v>1</v>
      </c>
      <c r="AD1357" s="19">
        <v>1</v>
      </c>
      <c r="AE1357" s="43"/>
      <c r="AF1357" s="43"/>
      <c r="AG1357" s="43"/>
      <c r="AH1357" s="43"/>
      <c r="AI1357" s="43"/>
      <c r="AJ1357" s="43"/>
      <c r="AK1357" s="43"/>
      <c r="AL1357" s="43"/>
      <c r="AM1357" s="43"/>
      <c r="AN1357" s="43"/>
      <c r="AO1357" s="43"/>
      <c r="AP1357" s="43"/>
      <c r="AQ1357" s="43"/>
      <c r="AR1357" s="43"/>
      <c r="AS1357" s="43"/>
      <c r="AT1357" s="43"/>
      <c r="AU1357" s="43"/>
      <c r="AV1357" s="43"/>
    </row>
    <row r="1358" ht="15.75" spans="1:48">
      <c r="A1358" s="12">
        <v>1354</v>
      </c>
      <c r="B1358" s="44">
        <v>4360</v>
      </c>
      <c r="C1358" s="45" t="s">
        <v>97</v>
      </c>
      <c r="D1358" s="46">
        <v>3</v>
      </c>
      <c r="E1358" s="47" t="s">
        <v>50</v>
      </c>
      <c r="F1358" s="48">
        <v>10.5</v>
      </c>
      <c r="G1358" s="38">
        <v>1.51</v>
      </c>
      <c r="H1358" s="39"/>
      <c r="I1358" s="39"/>
      <c r="J1358" s="39"/>
      <c r="K1358" s="39"/>
      <c r="L1358" s="39"/>
      <c r="M1358" s="39"/>
      <c r="N1358" s="39"/>
      <c r="O1358" s="39"/>
      <c r="P1358" s="39"/>
      <c r="Q1358" s="39">
        <v>1.17</v>
      </c>
      <c r="R1358" s="39"/>
      <c r="S1358" s="39"/>
      <c r="T1358" s="39">
        <v>0.17</v>
      </c>
      <c r="U1358" s="39">
        <v>0.17</v>
      </c>
      <c r="V1358" s="39"/>
      <c r="W1358" s="39"/>
      <c r="X1358" s="49">
        <v>9740</v>
      </c>
      <c r="Y1358" s="50">
        <v>4410</v>
      </c>
      <c r="Z1358" s="51">
        <v>4275</v>
      </c>
      <c r="AA1358" s="52">
        <f t="shared" si="30"/>
        <v>0.969387755102041</v>
      </c>
      <c r="AB1358" s="12">
        <v>4239</v>
      </c>
      <c r="AC1358" s="12">
        <v>36</v>
      </c>
      <c r="AD1358" s="19">
        <v>36</v>
      </c>
      <c r="AE1358" s="43"/>
      <c r="AF1358" s="43"/>
      <c r="AG1358" s="43"/>
      <c r="AH1358" s="43"/>
      <c r="AI1358" s="43"/>
      <c r="AJ1358" s="43"/>
      <c r="AK1358" s="43"/>
      <c r="AL1358" s="43"/>
      <c r="AM1358" s="43"/>
      <c r="AN1358" s="43"/>
      <c r="AO1358" s="43"/>
      <c r="AP1358" s="43"/>
      <c r="AQ1358" s="43"/>
      <c r="AR1358" s="43"/>
      <c r="AS1358" s="43"/>
      <c r="AT1358" s="43"/>
      <c r="AU1358" s="43"/>
      <c r="AV1358" s="43"/>
    </row>
    <row r="1359" ht="15.75" spans="1:48">
      <c r="A1359" s="12">
        <v>1355</v>
      </c>
      <c r="B1359" s="44">
        <v>761</v>
      </c>
      <c r="C1359" s="45" t="s">
        <v>89</v>
      </c>
      <c r="D1359" s="46"/>
      <c r="E1359" s="47" t="s">
        <v>50</v>
      </c>
      <c r="F1359" s="48">
        <v>2</v>
      </c>
      <c r="G1359" s="38">
        <v>0</v>
      </c>
      <c r="H1359" s="39"/>
      <c r="I1359" s="39"/>
      <c r="J1359" s="39"/>
      <c r="K1359" s="39"/>
      <c r="L1359" s="39"/>
      <c r="M1359" s="39"/>
      <c r="N1359" s="39"/>
      <c r="O1359" s="39"/>
      <c r="P1359" s="39"/>
      <c r="Q1359" s="39"/>
      <c r="R1359" s="39"/>
      <c r="S1359" s="39"/>
      <c r="T1359" s="39"/>
      <c r="U1359" s="39"/>
      <c r="V1359" s="39"/>
      <c r="W1359" s="39"/>
      <c r="X1359" s="49" t="s">
        <v>98</v>
      </c>
      <c r="Y1359" s="50">
        <v>940</v>
      </c>
      <c r="Z1359" s="51">
        <v>900</v>
      </c>
      <c r="AA1359" s="52">
        <f t="shared" si="30"/>
        <v>0.957446808510638</v>
      </c>
      <c r="AB1359" s="12">
        <v>900</v>
      </c>
      <c r="AC1359" s="12">
        <v>0</v>
      </c>
      <c r="AD1359" s="43"/>
      <c r="AE1359" s="43"/>
      <c r="AF1359" s="43"/>
      <c r="AG1359" s="43"/>
      <c r="AH1359" s="43"/>
      <c r="AI1359" s="43"/>
      <c r="AJ1359" s="43"/>
      <c r="AK1359" s="43"/>
      <c r="AL1359" s="43"/>
      <c r="AM1359" s="43"/>
      <c r="AN1359" s="43"/>
      <c r="AO1359" s="43"/>
      <c r="AP1359" s="43"/>
      <c r="AQ1359" s="43"/>
      <c r="AR1359" s="43"/>
      <c r="AS1359" s="43"/>
      <c r="AT1359" s="43"/>
      <c r="AU1359" s="43"/>
      <c r="AV1359" s="43"/>
    </row>
    <row r="1360" ht="15.75" spans="1:48">
      <c r="A1360" s="12">
        <v>1356</v>
      </c>
      <c r="B1360" s="44">
        <v>676</v>
      </c>
      <c r="C1360" s="45" t="s">
        <v>171</v>
      </c>
      <c r="D1360" s="46"/>
      <c r="E1360" s="47" t="s">
        <v>50</v>
      </c>
      <c r="F1360" s="48">
        <v>9</v>
      </c>
      <c r="G1360" s="38">
        <v>3</v>
      </c>
      <c r="H1360" s="39"/>
      <c r="I1360" s="39"/>
      <c r="J1360" s="39"/>
      <c r="K1360" s="39"/>
      <c r="L1360" s="39"/>
      <c r="M1360" s="39"/>
      <c r="N1360" s="39"/>
      <c r="O1360" s="39"/>
      <c r="P1360" s="39"/>
      <c r="Q1360" s="39">
        <v>1.17</v>
      </c>
      <c r="R1360" s="39"/>
      <c r="S1360" s="39">
        <v>1.83</v>
      </c>
      <c r="T1360" s="39"/>
      <c r="U1360" s="39"/>
      <c r="V1360" s="39"/>
      <c r="W1360" s="39"/>
      <c r="X1360" s="49" t="s">
        <v>98</v>
      </c>
      <c r="Y1360" s="50">
        <v>4230</v>
      </c>
      <c r="Z1360" s="51">
        <v>4140</v>
      </c>
      <c r="AA1360" s="52">
        <f t="shared" si="30"/>
        <v>0.978723404255319</v>
      </c>
      <c r="AB1360" s="12">
        <v>4140</v>
      </c>
      <c r="AC1360" s="12">
        <v>0</v>
      </c>
      <c r="AD1360" s="43"/>
      <c r="AE1360" s="43"/>
      <c r="AF1360" s="43"/>
      <c r="AG1360" s="43"/>
      <c r="AH1360" s="43"/>
      <c r="AI1360" s="43"/>
      <c r="AJ1360" s="43"/>
      <c r="AK1360" s="43"/>
      <c r="AL1360" s="43"/>
      <c r="AM1360" s="43"/>
      <c r="AN1360" s="43"/>
      <c r="AO1360" s="43"/>
      <c r="AP1360" s="43"/>
      <c r="AQ1360" s="43"/>
      <c r="AR1360" s="43"/>
      <c r="AS1360" s="43"/>
      <c r="AT1360" s="43"/>
      <c r="AU1360" s="43"/>
      <c r="AV1360" s="43"/>
    </row>
    <row r="1361" ht="15.75" spans="1:48">
      <c r="A1361" s="12">
        <v>1357</v>
      </c>
      <c r="B1361" s="61" t="s">
        <v>322</v>
      </c>
      <c r="C1361" s="62" t="s">
        <v>323</v>
      </c>
      <c r="D1361" s="46">
        <v>2</v>
      </c>
      <c r="E1361" s="47" t="s">
        <v>50</v>
      </c>
      <c r="F1361" s="48">
        <v>7.17</v>
      </c>
      <c r="G1361" s="38">
        <v>0.83</v>
      </c>
      <c r="H1361" s="39"/>
      <c r="I1361" s="39"/>
      <c r="J1361" s="39"/>
      <c r="K1361" s="39"/>
      <c r="L1361" s="39"/>
      <c r="M1361" s="39"/>
      <c r="N1361" s="39"/>
      <c r="O1361" s="39"/>
      <c r="P1361" s="39"/>
      <c r="Q1361" s="39">
        <v>0.83</v>
      </c>
      <c r="R1361" s="39"/>
      <c r="S1361" s="39"/>
      <c r="T1361" s="39"/>
      <c r="U1361" s="39"/>
      <c r="V1361" s="39"/>
      <c r="W1361" s="39"/>
      <c r="X1361" s="49">
        <v>1080</v>
      </c>
      <c r="Y1361" s="50">
        <v>4732.2</v>
      </c>
      <c r="Z1361" s="51">
        <v>1632</v>
      </c>
      <c r="AA1361" s="52">
        <f t="shared" ref="AA1361:AA1392" si="31">IFERROR(Z1361/Y1361,0)</f>
        <v>0.344871307214403</v>
      </c>
      <c r="AB1361" s="12">
        <v>1546</v>
      </c>
      <c r="AC1361" s="12">
        <v>86</v>
      </c>
      <c r="AD1361" s="19">
        <v>86</v>
      </c>
      <c r="AE1361" s="43"/>
      <c r="AF1361" s="43"/>
      <c r="AG1361" s="43"/>
      <c r="AH1361" s="43"/>
      <c r="AI1361" s="43"/>
      <c r="AJ1361" s="43"/>
      <c r="AK1361" s="43"/>
      <c r="AL1361" s="43"/>
      <c r="AM1361" s="43"/>
      <c r="AN1361" s="43"/>
      <c r="AO1361" s="43"/>
      <c r="AP1361" s="43"/>
      <c r="AQ1361" s="43"/>
      <c r="AR1361" s="43"/>
      <c r="AS1361" s="43"/>
      <c r="AT1361" s="43"/>
      <c r="AU1361" s="43"/>
      <c r="AV1361" s="43"/>
    </row>
    <row r="1362" ht="15.75" spans="1:48">
      <c r="A1362" s="12">
        <v>1358</v>
      </c>
      <c r="B1362" s="61" t="s">
        <v>320</v>
      </c>
      <c r="C1362" s="62" t="s">
        <v>321</v>
      </c>
      <c r="D1362" s="46">
        <v>3</v>
      </c>
      <c r="E1362" s="47" t="s">
        <v>50</v>
      </c>
      <c r="F1362" s="48">
        <v>7.17</v>
      </c>
      <c r="G1362" s="38">
        <v>0.83</v>
      </c>
      <c r="H1362" s="39"/>
      <c r="I1362" s="39"/>
      <c r="J1362" s="39"/>
      <c r="K1362" s="39"/>
      <c r="L1362" s="39"/>
      <c r="M1362" s="39"/>
      <c r="N1362" s="39"/>
      <c r="O1362" s="39"/>
      <c r="P1362" s="39"/>
      <c r="Q1362" s="39">
        <v>0.83</v>
      </c>
      <c r="R1362" s="39"/>
      <c r="S1362" s="39"/>
      <c r="T1362" s="39"/>
      <c r="U1362" s="39"/>
      <c r="V1362" s="39"/>
      <c r="W1362" s="39"/>
      <c r="X1362" s="49" t="s">
        <v>219</v>
      </c>
      <c r="Y1362" s="50">
        <v>3728.4</v>
      </c>
      <c r="Z1362" s="51">
        <v>2280</v>
      </c>
      <c r="AA1362" s="52">
        <f t="shared" si="31"/>
        <v>0.611522368844545</v>
      </c>
      <c r="AB1362" s="12">
        <v>2168</v>
      </c>
      <c r="AC1362" s="12">
        <v>112</v>
      </c>
      <c r="AD1362" s="19">
        <v>112</v>
      </c>
      <c r="AE1362" s="43"/>
      <c r="AF1362" s="43"/>
      <c r="AG1362" s="43"/>
      <c r="AH1362" s="43"/>
      <c r="AI1362" s="43"/>
      <c r="AJ1362" s="43"/>
      <c r="AK1362" s="43"/>
      <c r="AL1362" s="43"/>
      <c r="AM1362" s="43"/>
      <c r="AN1362" s="43"/>
      <c r="AO1362" s="43"/>
      <c r="AP1362" s="43"/>
      <c r="AQ1362" s="43"/>
      <c r="AR1362" s="43"/>
      <c r="AS1362" s="43"/>
      <c r="AT1362" s="43"/>
      <c r="AU1362" s="43"/>
      <c r="AV1362" s="43"/>
    </row>
    <row r="1363" ht="15.75" spans="1:48">
      <c r="A1363" s="12">
        <v>1359</v>
      </c>
      <c r="B1363" s="44">
        <v>1448</v>
      </c>
      <c r="C1363" s="45" t="s">
        <v>296</v>
      </c>
      <c r="D1363" s="46">
        <v>5</v>
      </c>
      <c r="E1363" s="47" t="s">
        <v>50</v>
      </c>
      <c r="F1363" s="48">
        <v>10.5</v>
      </c>
      <c r="G1363" s="38">
        <v>1.5</v>
      </c>
      <c r="H1363" s="39"/>
      <c r="I1363" s="39"/>
      <c r="J1363" s="39"/>
      <c r="K1363" s="39"/>
      <c r="L1363" s="39"/>
      <c r="M1363" s="39"/>
      <c r="N1363" s="39"/>
      <c r="O1363" s="39"/>
      <c r="P1363" s="39"/>
      <c r="Q1363" s="39">
        <v>1.17</v>
      </c>
      <c r="R1363" s="39"/>
      <c r="S1363" s="39"/>
      <c r="T1363" s="39">
        <v>0.33</v>
      </c>
      <c r="U1363" s="39"/>
      <c r="V1363" s="39"/>
      <c r="W1363" s="39"/>
      <c r="X1363" s="49">
        <v>5770</v>
      </c>
      <c r="Y1363" s="50">
        <v>6352.5</v>
      </c>
      <c r="Z1363" s="51">
        <v>6720</v>
      </c>
      <c r="AA1363" s="52">
        <f t="shared" si="31"/>
        <v>1.05785123966942</v>
      </c>
      <c r="AB1363" s="12">
        <v>6550</v>
      </c>
      <c r="AC1363" s="12">
        <v>170</v>
      </c>
      <c r="AD1363" s="19">
        <v>170</v>
      </c>
      <c r="AE1363" s="43"/>
      <c r="AF1363" s="43"/>
      <c r="AG1363" s="43"/>
      <c r="AH1363" s="43"/>
      <c r="AI1363" s="43"/>
      <c r="AJ1363" s="43"/>
      <c r="AK1363" s="43"/>
      <c r="AL1363" s="43"/>
      <c r="AM1363" s="43"/>
      <c r="AN1363" s="43"/>
      <c r="AO1363" s="43"/>
      <c r="AP1363" s="43"/>
      <c r="AQ1363" s="43"/>
      <c r="AR1363" s="43"/>
      <c r="AS1363" s="43"/>
      <c r="AT1363" s="43"/>
      <c r="AU1363" s="43"/>
      <c r="AV1363" s="43"/>
    </row>
    <row r="1364" ht="15.75" spans="1:48">
      <c r="A1364" s="12">
        <v>1360</v>
      </c>
      <c r="B1364" s="44">
        <v>4412</v>
      </c>
      <c r="C1364" s="45" t="s">
        <v>177</v>
      </c>
      <c r="D1364" s="46">
        <v>18</v>
      </c>
      <c r="E1364" s="47" t="s">
        <v>50</v>
      </c>
      <c r="F1364" s="48">
        <v>0.67</v>
      </c>
      <c r="G1364" s="38">
        <v>0.83</v>
      </c>
      <c r="H1364" s="39"/>
      <c r="I1364" s="39"/>
      <c r="J1364" s="39"/>
      <c r="K1364" s="39"/>
      <c r="L1364" s="39"/>
      <c r="M1364" s="39"/>
      <c r="N1364" s="39"/>
      <c r="O1364" s="39"/>
      <c r="P1364" s="39"/>
      <c r="Q1364" s="39">
        <v>0.83</v>
      </c>
      <c r="R1364" s="39"/>
      <c r="S1364" s="39"/>
      <c r="T1364" s="39"/>
      <c r="U1364" s="39"/>
      <c r="V1364" s="39"/>
      <c r="W1364" s="39"/>
      <c r="X1364" s="49">
        <v>2801</v>
      </c>
      <c r="Y1364" s="50">
        <v>405.35</v>
      </c>
      <c r="Z1364" s="51">
        <v>360</v>
      </c>
      <c r="AA1364" s="52">
        <f t="shared" si="31"/>
        <v>0.888121376588134</v>
      </c>
      <c r="AB1364" s="12">
        <v>360</v>
      </c>
      <c r="AC1364" s="12">
        <v>0</v>
      </c>
      <c r="AD1364" s="43"/>
      <c r="AE1364" s="43"/>
      <c r="AF1364" s="43"/>
      <c r="AG1364" s="43"/>
      <c r="AH1364" s="43"/>
      <c r="AI1364" s="43"/>
      <c r="AJ1364" s="43"/>
      <c r="AK1364" s="43"/>
      <c r="AL1364" s="43"/>
      <c r="AM1364" s="43"/>
      <c r="AN1364" s="43"/>
      <c r="AO1364" s="43"/>
      <c r="AP1364" s="43"/>
      <c r="AQ1364" s="43"/>
      <c r="AR1364" s="43"/>
      <c r="AS1364" s="43"/>
      <c r="AT1364" s="43"/>
      <c r="AU1364" s="43"/>
      <c r="AV1364" s="43"/>
    </row>
    <row r="1365" ht="15.75" spans="1:48">
      <c r="A1365" s="12">
        <v>1361</v>
      </c>
      <c r="B1365" s="44">
        <v>4412</v>
      </c>
      <c r="C1365" s="45" t="s">
        <v>177</v>
      </c>
      <c r="D1365" s="46">
        <v>15</v>
      </c>
      <c r="E1365" s="47" t="s">
        <v>50</v>
      </c>
      <c r="F1365" s="48">
        <v>4.83</v>
      </c>
      <c r="G1365" s="38">
        <v>1</v>
      </c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  <c r="S1365" s="39"/>
      <c r="T1365" s="39">
        <v>0.83</v>
      </c>
      <c r="U1365" s="39">
        <v>0.17</v>
      </c>
      <c r="V1365" s="39"/>
      <c r="W1365" s="39"/>
      <c r="X1365" s="49">
        <v>9149</v>
      </c>
      <c r="Y1365" s="50">
        <v>1738.8</v>
      </c>
      <c r="Z1365" s="51">
        <v>1534</v>
      </c>
      <c r="AA1365" s="52">
        <f t="shared" si="31"/>
        <v>0.882217621348056</v>
      </c>
      <c r="AB1365" s="12">
        <v>1281</v>
      </c>
      <c r="AC1365" s="12">
        <v>253</v>
      </c>
      <c r="AD1365" s="19">
        <v>253</v>
      </c>
      <c r="AE1365" s="43"/>
      <c r="AF1365" s="43"/>
      <c r="AG1365" s="43"/>
      <c r="AH1365" s="43"/>
      <c r="AI1365" s="43"/>
      <c r="AJ1365" s="43"/>
      <c r="AK1365" s="43"/>
      <c r="AL1365" s="43"/>
      <c r="AM1365" s="43"/>
      <c r="AN1365" s="43"/>
      <c r="AO1365" s="43"/>
      <c r="AP1365" s="43"/>
      <c r="AQ1365" s="43"/>
      <c r="AR1365" s="43"/>
      <c r="AS1365" s="43"/>
      <c r="AT1365" s="43"/>
      <c r="AU1365" s="43"/>
      <c r="AV1365" s="43"/>
    </row>
    <row r="1366" ht="15.75" spans="1:48">
      <c r="A1366" s="12">
        <v>1362</v>
      </c>
      <c r="B1366" s="44">
        <v>4382</v>
      </c>
      <c r="C1366" s="45" t="s">
        <v>173</v>
      </c>
      <c r="D1366" s="46"/>
      <c r="E1366" s="47" t="s">
        <v>50</v>
      </c>
      <c r="F1366" s="48">
        <v>9.33</v>
      </c>
      <c r="G1366" s="38">
        <v>1.67</v>
      </c>
      <c r="H1366" s="39"/>
      <c r="I1366" s="39"/>
      <c r="J1366" s="39"/>
      <c r="K1366" s="39"/>
      <c r="L1366" s="39"/>
      <c r="M1366" s="39"/>
      <c r="N1366" s="39"/>
      <c r="O1366" s="39"/>
      <c r="P1366" s="39"/>
      <c r="Q1366" s="39">
        <v>1.17</v>
      </c>
      <c r="R1366" s="39"/>
      <c r="S1366" s="39">
        <v>0.33</v>
      </c>
      <c r="T1366" s="39"/>
      <c r="U1366" s="39">
        <v>0.17</v>
      </c>
      <c r="V1366" s="39"/>
      <c r="W1366" s="39"/>
      <c r="X1366" s="49" t="s">
        <v>98</v>
      </c>
      <c r="Y1366" s="50">
        <v>4385.1</v>
      </c>
      <c r="Z1366" s="51">
        <v>4320</v>
      </c>
      <c r="AA1366" s="52">
        <f t="shared" si="31"/>
        <v>0.985154272422522</v>
      </c>
      <c r="AB1366" s="12">
        <v>4320</v>
      </c>
      <c r="AC1366" s="12">
        <v>0</v>
      </c>
      <c r="AD1366" s="43"/>
      <c r="AE1366" s="43"/>
      <c r="AF1366" s="43"/>
      <c r="AG1366" s="43"/>
      <c r="AH1366" s="43"/>
      <c r="AI1366" s="43"/>
      <c r="AJ1366" s="43"/>
      <c r="AK1366" s="43"/>
      <c r="AL1366" s="43"/>
      <c r="AM1366" s="43"/>
      <c r="AN1366" s="43"/>
      <c r="AO1366" s="43"/>
      <c r="AP1366" s="43"/>
      <c r="AQ1366" s="43"/>
      <c r="AR1366" s="43"/>
      <c r="AS1366" s="43"/>
      <c r="AT1366" s="43"/>
      <c r="AU1366" s="43"/>
      <c r="AV1366" s="43"/>
    </row>
    <row r="1367" ht="15.75" spans="1:48">
      <c r="A1367" s="12">
        <v>1363</v>
      </c>
      <c r="B1367" s="44">
        <v>4382</v>
      </c>
      <c r="C1367" s="45" t="s">
        <v>173</v>
      </c>
      <c r="D1367" s="46"/>
      <c r="E1367" s="47" t="s">
        <v>50</v>
      </c>
      <c r="F1367" s="48">
        <v>0.83</v>
      </c>
      <c r="G1367" s="38">
        <v>0.17</v>
      </c>
      <c r="H1367" s="39"/>
      <c r="I1367" s="39"/>
      <c r="J1367" s="39"/>
      <c r="K1367" s="39">
        <v>0.17</v>
      </c>
      <c r="L1367" s="39"/>
      <c r="M1367" s="39"/>
      <c r="N1367" s="39"/>
      <c r="O1367" s="39"/>
      <c r="P1367" s="39"/>
      <c r="Q1367" s="39"/>
      <c r="R1367" s="39"/>
      <c r="S1367" s="39"/>
      <c r="T1367" s="39"/>
      <c r="U1367" s="39"/>
      <c r="V1367" s="39"/>
      <c r="W1367" s="39"/>
      <c r="X1367" s="49">
        <v>9968</v>
      </c>
      <c r="Y1367" s="50">
        <v>502.15</v>
      </c>
      <c r="Z1367" s="51">
        <v>399</v>
      </c>
      <c r="AA1367" s="52">
        <f t="shared" si="31"/>
        <v>0.794583291845066</v>
      </c>
      <c r="AB1367" s="12">
        <v>399</v>
      </c>
      <c r="AC1367" s="12">
        <v>0</v>
      </c>
      <c r="AD1367" s="43"/>
      <c r="AE1367" s="43"/>
      <c r="AF1367" s="43"/>
      <c r="AG1367" s="43"/>
      <c r="AH1367" s="43"/>
      <c r="AI1367" s="43"/>
      <c r="AJ1367" s="43"/>
      <c r="AK1367" s="43"/>
      <c r="AL1367" s="43"/>
      <c r="AM1367" s="43"/>
      <c r="AN1367" s="43"/>
      <c r="AO1367" s="43"/>
      <c r="AP1367" s="43"/>
      <c r="AQ1367" s="43"/>
      <c r="AR1367" s="43"/>
      <c r="AS1367" s="43"/>
      <c r="AT1367" s="43"/>
      <c r="AU1367" s="43"/>
      <c r="AV1367" s="43"/>
    </row>
    <row r="1368" ht="15.75" spans="1:48">
      <c r="A1368" s="12">
        <v>1364</v>
      </c>
      <c r="B1368" s="44" t="s">
        <v>211</v>
      </c>
      <c r="C1368" s="45" t="s">
        <v>176</v>
      </c>
      <c r="D1368" s="46"/>
      <c r="E1368" s="47" t="s">
        <v>50</v>
      </c>
      <c r="F1368" s="48">
        <v>4</v>
      </c>
      <c r="G1368" s="38">
        <v>0</v>
      </c>
      <c r="H1368" s="39"/>
      <c r="I1368" s="39"/>
      <c r="J1368" s="39"/>
      <c r="K1368" s="39"/>
      <c r="L1368" s="39"/>
      <c r="M1368" s="39"/>
      <c r="N1368" s="39"/>
      <c r="O1368" s="39"/>
      <c r="P1368" s="39"/>
      <c r="Q1368" s="39"/>
      <c r="R1368" s="39"/>
      <c r="S1368" s="39"/>
      <c r="T1368" s="39"/>
      <c r="U1368" s="39"/>
      <c r="V1368" s="39"/>
      <c r="W1368" s="39"/>
      <c r="X1368" s="49">
        <v>9968</v>
      </c>
      <c r="Y1368" s="50">
        <v>2420</v>
      </c>
      <c r="Z1368" s="51">
        <v>2400</v>
      </c>
      <c r="AA1368" s="52">
        <f t="shared" si="31"/>
        <v>0.991735537190083</v>
      </c>
      <c r="AB1368" s="12">
        <v>2400</v>
      </c>
      <c r="AC1368" s="12">
        <v>0</v>
      </c>
      <c r="AD1368" s="43"/>
      <c r="AE1368" s="43"/>
      <c r="AF1368" s="43"/>
      <c r="AG1368" s="43"/>
      <c r="AH1368" s="43"/>
      <c r="AI1368" s="43"/>
      <c r="AJ1368" s="43"/>
      <c r="AK1368" s="43"/>
      <c r="AL1368" s="43"/>
      <c r="AM1368" s="43"/>
      <c r="AN1368" s="43"/>
      <c r="AO1368" s="43"/>
      <c r="AP1368" s="43"/>
      <c r="AQ1368" s="43"/>
      <c r="AR1368" s="43"/>
      <c r="AS1368" s="43"/>
      <c r="AT1368" s="43"/>
      <c r="AU1368" s="43"/>
      <c r="AV1368" s="43"/>
    </row>
    <row r="1369" ht="15.75" spans="1:48">
      <c r="A1369" s="12">
        <v>1365</v>
      </c>
      <c r="B1369" s="44" t="s">
        <v>211</v>
      </c>
      <c r="C1369" s="45" t="s">
        <v>176</v>
      </c>
      <c r="D1369" s="46"/>
      <c r="E1369" s="47" t="s">
        <v>50</v>
      </c>
      <c r="F1369" s="48">
        <v>1</v>
      </c>
      <c r="G1369" s="38">
        <v>0</v>
      </c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  <c r="S1369" s="39"/>
      <c r="T1369" s="39"/>
      <c r="U1369" s="39"/>
      <c r="V1369" s="39"/>
      <c r="W1369" s="39"/>
      <c r="X1369" s="49" t="s">
        <v>103</v>
      </c>
      <c r="Y1369" s="50">
        <v>840</v>
      </c>
      <c r="Z1369" s="51">
        <v>720</v>
      </c>
      <c r="AA1369" s="52">
        <f t="shared" si="31"/>
        <v>0.857142857142857</v>
      </c>
      <c r="AB1369" s="12">
        <v>720</v>
      </c>
      <c r="AC1369" s="12">
        <v>0</v>
      </c>
      <c r="AD1369" s="43"/>
      <c r="AE1369" s="43"/>
      <c r="AF1369" s="43"/>
      <c r="AG1369" s="43"/>
      <c r="AH1369" s="43"/>
      <c r="AI1369" s="43"/>
      <c r="AJ1369" s="43"/>
      <c r="AK1369" s="43"/>
      <c r="AL1369" s="43"/>
      <c r="AM1369" s="43"/>
      <c r="AN1369" s="43"/>
      <c r="AO1369" s="43"/>
      <c r="AP1369" s="43"/>
      <c r="AQ1369" s="43"/>
      <c r="AR1369" s="43"/>
      <c r="AS1369" s="43"/>
      <c r="AT1369" s="43"/>
      <c r="AU1369" s="43"/>
      <c r="AV1369" s="43"/>
    </row>
    <row r="1370" ht="15.75" spans="1:48">
      <c r="A1370" s="12">
        <v>1366</v>
      </c>
      <c r="B1370" s="61" t="s">
        <v>335</v>
      </c>
      <c r="C1370" s="62" t="s">
        <v>336</v>
      </c>
      <c r="D1370" s="46"/>
      <c r="E1370" s="47" t="s">
        <v>50</v>
      </c>
      <c r="F1370" s="48">
        <v>3</v>
      </c>
      <c r="G1370" s="38">
        <v>0</v>
      </c>
      <c r="H1370" s="39"/>
      <c r="I1370" s="39"/>
      <c r="J1370" s="39"/>
      <c r="K1370" s="39"/>
      <c r="L1370" s="39"/>
      <c r="M1370" s="39"/>
      <c r="N1370" s="39"/>
      <c r="O1370" s="39"/>
      <c r="P1370" s="39"/>
      <c r="Q1370" s="39"/>
      <c r="R1370" s="39"/>
      <c r="S1370" s="39"/>
      <c r="T1370" s="39"/>
      <c r="U1370" s="39"/>
      <c r="V1370" s="39"/>
      <c r="W1370" s="39"/>
      <c r="X1370" s="49" t="s">
        <v>105</v>
      </c>
      <c r="Y1370" s="50">
        <v>1980</v>
      </c>
      <c r="Z1370" s="51">
        <v>790</v>
      </c>
      <c r="AA1370" s="52">
        <f t="shared" si="31"/>
        <v>0.398989898989899</v>
      </c>
      <c r="AB1370" s="12">
        <v>790</v>
      </c>
      <c r="AC1370" s="12">
        <v>0</v>
      </c>
      <c r="AD1370" s="43"/>
      <c r="AE1370" s="43"/>
      <c r="AF1370" s="43"/>
      <c r="AG1370" s="43"/>
      <c r="AH1370" s="43"/>
      <c r="AI1370" s="43"/>
      <c r="AJ1370" s="43"/>
      <c r="AK1370" s="43"/>
      <c r="AL1370" s="43"/>
      <c r="AM1370" s="43"/>
      <c r="AN1370" s="43"/>
      <c r="AO1370" s="43"/>
      <c r="AP1370" s="43"/>
      <c r="AQ1370" s="43"/>
      <c r="AR1370" s="43"/>
      <c r="AS1370" s="43"/>
      <c r="AT1370" s="43"/>
      <c r="AU1370" s="43"/>
      <c r="AV1370" s="43"/>
    </row>
    <row r="1371" ht="15.75" spans="1:48">
      <c r="A1371" s="12">
        <v>1367</v>
      </c>
      <c r="B1371" s="61" t="s">
        <v>337</v>
      </c>
      <c r="C1371" s="62" t="s">
        <v>338</v>
      </c>
      <c r="D1371" s="46"/>
      <c r="E1371" s="47" t="s">
        <v>50</v>
      </c>
      <c r="F1371" s="48">
        <v>4</v>
      </c>
      <c r="G1371" s="38">
        <v>4</v>
      </c>
      <c r="H1371" s="39"/>
      <c r="I1371" s="39"/>
      <c r="J1371" s="39"/>
      <c r="K1371" s="39"/>
      <c r="L1371" s="39"/>
      <c r="M1371" s="39"/>
      <c r="N1371" s="39"/>
      <c r="O1371" s="39"/>
      <c r="P1371" s="39"/>
      <c r="Q1371" s="39">
        <v>0.83</v>
      </c>
      <c r="R1371" s="39"/>
      <c r="S1371" s="39">
        <v>3.17</v>
      </c>
      <c r="T1371" s="39"/>
      <c r="U1371" s="39"/>
      <c r="V1371" s="39"/>
      <c r="W1371" s="39"/>
      <c r="X1371" s="49" t="s">
        <v>105</v>
      </c>
      <c r="Y1371" s="50">
        <v>2640</v>
      </c>
      <c r="Z1371" s="51">
        <v>756</v>
      </c>
      <c r="AA1371" s="52">
        <f t="shared" si="31"/>
        <v>0.286363636363636</v>
      </c>
      <c r="AB1371" s="12">
        <v>756</v>
      </c>
      <c r="AC1371" s="12">
        <v>0</v>
      </c>
      <c r="AD1371" s="43"/>
      <c r="AE1371" s="43"/>
      <c r="AF1371" s="43"/>
      <c r="AG1371" s="43"/>
      <c r="AH1371" s="43"/>
      <c r="AI1371" s="43"/>
      <c r="AJ1371" s="43"/>
      <c r="AK1371" s="43"/>
      <c r="AL1371" s="43"/>
      <c r="AM1371" s="43"/>
      <c r="AN1371" s="43"/>
      <c r="AO1371" s="43"/>
      <c r="AP1371" s="43"/>
      <c r="AQ1371" s="43"/>
      <c r="AR1371" s="43"/>
      <c r="AS1371" s="43"/>
      <c r="AT1371" s="43"/>
      <c r="AU1371" s="43"/>
      <c r="AV1371" s="43"/>
    </row>
    <row r="1372" ht="15.75" spans="1:48">
      <c r="A1372" s="12">
        <v>1368</v>
      </c>
      <c r="B1372" s="61" t="s">
        <v>328</v>
      </c>
      <c r="C1372" s="62" t="s">
        <v>329</v>
      </c>
      <c r="D1372" s="46"/>
      <c r="E1372" s="47" t="s">
        <v>50</v>
      </c>
      <c r="F1372" s="48">
        <v>7.17</v>
      </c>
      <c r="G1372" s="38">
        <v>0.83</v>
      </c>
      <c r="H1372" s="39"/>
      <c r="I1372" s="39"/>
      <c r="J1372" s="39"/>
      <c r="K1372" s="39"/>
      <c r="L1372" s="39"/>
      <c r="M1372" s="39"/>
      <c r="N1372" s="39"/>
      <c r="O1372" s="39"/>
      <c r="P1372" s="39"/>
      <c r="Q1372" s="39">
        <v>0.83</v>
      </c>
      <c r="R1372" s="39"/>
      <c r="S1372" s="39"/>
      <c r="T1372" s="39"/>
      <c r="U1372" s="39"/>
      <c r="V1372" s="39"/>
      <c r="W1372" s="39"/>
      <c r="X1372" s="49" t="s">
        <v>103</v>
      </c>
      <c r="Y1372" s="50">
        <v>6022.8</v>
      </c>
      <c r="Z1372" s="51">
        <v>2240</v>
      </c>
      <c r="AA1372" s="52">
        <f t="shared" si="31"/>
        <v>0.371920037192004</v>
      </c>
      <c r="AB1372" s="12">
        <v>2240</v>
      </c>
      <c r="AC1372" s="12">
        <v>0</v>
      </c>
      <c r="AD1372" s="43"/>
      <c r="AE1372" s="43"/>
      <c r="AF1372" s="43"/>
      <c r="AG1372" s="43"/>
      <c r="AH1372" s="43"/>
      <c r="AI1372" s="43"/>
      <c r="AJ1372" s="43"/>
      <c r="AK1372" s="43"/>
      <c r="AL1372" s="43"/>
      <c r="AM1372" s="43"/>
      <c r="AN1372" s="43"/>
      <c r="AO1372" s="43"/>
      <c r="AP1372" s="43"/>
      <c r="AQ1372" s="43"/>
      <c r="AR1372" s="43"/>
      <c r="AS1372" s="43"/>
      <c r="AT1372" s="43"/>
      <c r="AU1372" s="43"/>
      <c r="AV1372" s="43"/>
    </row>
    <row r="1373" ht="15.75" spans="1:48">
      <c r="A1373" s="12">
        <v>1369</v>
      </c>
      <c r="B1373" s="61" t="s">
        <v>325</v>
      </c>
      <c r="C1373" s="62" t="s">
        <v>326</v>
      </c>
      <c r="D1373" s="46"/>
      <c r="E1373" s="47" t="s">
        <v>50</v>
      </c>
      <c r="F1373" s="48">
        <v>7.17</v>
      </c>
      <c r="G1373" s="38">
        <v>0.83</v>
      </c>
      <c r="H1373" s="39"/>
      <c r="I1373" s="39"/>
      <c r="J1373" s="39"/>
      <c r="K1373" s="39"/>
      <c r="L1373" s="39"/>
      <c r="M1373" s="39"/>
      <c r="N1373" s="39"/>
      <c r="O1373" s="39"/>
      <c r="P1373" s="39"/>
      <c r="Q1373" s="39">
        <v>0.83</v>
      </c>
      <c r="R1373" s="39"/>
      <c r="S1373" s="39"/>
      <c r="T1373" s="39"/>
      <c r="U1373" s="39"/>
      <c r="V1373" s="39"/>
      <c r="W1373" s="39"/>
      <c r="X1373" s="49" t="s">
        <v>103</v>
      </c>
      <c r="Y1373" s="50">
        <v>6022.8</v>
      </c>
      <c r="Z1373" s="51">
        <v>2280</v>
      </c>
      <c r="AA1373" s="52">
        <f t="shared" si="31"/>
        <v>0.378561466427575</v>
      </c>
      <c r="AB1373" s="12">
        <v>2280</v>
      </c>
      <c r="AC1373" s="12">
        <v>0</v>
      </c>
      <c r="AD1373" s="43"/>
      <c r="AE1373" s="43"/>
      <c r="AF1373" s="43"/>
      <c r="AG1373" s="43"/>
      <c r="AH1373" s="43"/>
      <c r="AI1373" s="43"/>
      <c r="AJ1373" s="43"/>
      <c r="AK1373" s="43"/>
      <c r="AL1373" s="43"/>
      <c r="AM1373" s="43"/>
      <c r="AN1373" s="43"/>
      <c r="AO1373" s="43"/>
      <c r="AP1373" s="43"/>
      <c r="AQ1373" s="43"/>
      <c r="AR1373" s="43"/>
      <c r="AS1373" s="43"/>
      <c r="AT1373" s="43"/>
      <c r="AU1373" s="43"/>
      <c r="AV1373" s="43"/>
    </row>
    <row r="1374" ht="15.75" spans="1:48">
      <c r="A1374" s="12">
        <v>1370</v>
      </c>
      <c r="B1374" s="44">
        <v>698</v>
      </c>
      <c r="C1374" s="45" t="s">
        <v>68</v>
      </c>
      <c r="D1374" s="46"/>
      <c r="E1374" s="47" t="s">
        <v>50</v>
      </c>
      <c r="F1374" s="48">
        <v>10.83</v>
      </c>
      <c r="G1374" s="38">
        <v>1.17</v>
      </c>
      <c r="H1374" s="39"/>
      <c r="I1374" s="39"/>
      <c r="J1374" s="39"/>
      <c r="K1374" s="39"/>
      <c r="L1374" s="39"/>
      <c r="M1374" s="39"/>
      <c r="N1374" s="39"/>
      <c r="O1374" s="39"/>
      <c r="P1374" s="39"/>
      <c r="Q1374" s="39">
        <v>1.17</v>
      </c>
      <c r="R1374" s="39"/>
      <c r="S1374" s="39"/>
      <c r="T1374" s="39"/>
      <c r="U1374" s="39"/>
      <c r="V1374" s="39"/>
      <c r="W1374" s="39"/>
      <c r="X1374" s="49" t="s">
        <v>103</v>
      </c>
      <c r="Y1374" s="50">
        <v>9097.2</v>
      </c>
      <c r="Z1374" s="51">
        <v>6720</v>
      </c>
      <c r="AA1374" s="52">
        <f t="shared" si="31"/>
        <v>0.738688827331487</v>
      </c>
      <c r="AB1374" s="12">
        <v>6720</v>
      </c>
      <c r="AC1374" s="12">
        <v>0</v>
      </c>
      <c r="AD1374" s="43"/>
      <c r="AE1374" s="43"/>
      <c r="AF1374" s="43"/>
      <c r="AG1374" s="43"/>
      <c r="AH1374" s="43"/>
      <c r="AI1374" s="43"/>
      <c r="AJ1374" s="43"/>
      <c r="AK1374" s="43"/>
      <c r="AL1374" s="43"/>
      <c r="AM1374" s="43"/>
      <c r="AN1374" s="43"/>
      <c r="AO1374" s="43"/>
      <c r="AP1374" s="43"/>
      <c r="AQ1374" s="43"/>
      <c r="AR1374" s="43"/>
      <c r="AS1374" s="43"/>
      <c r="AT1374" s="43"/>
      <c r="AU1374" s="43"/>
      <c r="AV1374" s="43"/>
    </row>
    <row r="1375" ht="15.75" spans="1:48">
      <c r="A1375" s="12">
        <v>1371</v>
      </c>
      <c r="B1375" s="44" t="s">
        <v>339</v>
      </c>
      <c r="C1375" s="45" t="s">
        <v>340</v>
      </c>
      <c r="D1375" s="46"/>
      <c r="E1375" s="47" t="s">
        <v>50</v>
      </c>
      <c r="F1375" s="48">
        <v>10.83</v>
      </c>
      <c r="G1375" s="38">
        <v>1.17</v>
      </c>
      <c r="H1375" s="39"/>
      <c r="I1375" s="39"/>
      <c r="J1375" s="39"/>
      <c r="K1375" s="39"/>
      <c r="L1375" s="39"/>
      <c r="M1375" s="39"/>
      <c r="N1375" s="39"/>
      <c r="O1375" s="39"/>
      <c r="P1375" s="39"/>
      <c r="Q1375" s="39">
        <v>1.17</v>
      </c>
      <c r="R1375" s="39"/>
      <c r="S1375" s="39"/>
      <c r="T1375" s="39"/>
      <c r="U1375" s="39"/>
      <c r="V1375" s="39"/>
      <c r="W1375" s="39"/>
      <c r="X1375" s="49" t="s">
        <v>105</v>
      </c>
      <c r="Y1375" s="50">
        <v>7147.8</v>
      </c>
      <c r="Z1375" s="51">
        <v>6750</v>
      </c>
      <c r="AA1375" s="52">
        <f t="shared" si="31"/>
        <v>0.944346512213548</v>
      </c>
      <c r="AB1375" s="12">
        <v>6750</v>
      </c>
      <c r="AC1375" s="12">
        <v>0</v>
      </c>
      <c r="AD1375" s="43"/>
      <c r="AE1375" s="43"/>
      <c r="AF1375" s="43"/>
      <c r="AG1375" s="43"/>
      <c r="AH1375" s="43"/>
      <c r="AI1375" s="43"/>
      <c r="AJ1375" s="43"/>
      <c r="AK1375" s="43"/>
      <c r="AL1375" s="43"/>
      <c r="AM1375" s="43"/>
      <c r="AN1375" s="43"/>
      <c r="AO1375" s="43"/>
      <c r="AP1375" s="43"/>
      <c r="AQ1375" s="43"/>
      <c r="AR1375" s="43"/>
      <c r="AS1375" s="43"/>
      <c r="AT1375" s="43"/>
      <c r="AU1375" s="43"/>
      <c r="AV1375" s="43"/>
    </row>
    <row r="1376" ht="15.75" spans="1:48">
      <c r="A1376" s="12">
        <v>1372</v>
      </c>
      <c r="B1376" s="44">
        <v>3277</v>
      </c>
      <c r="C1376" s="45" t="s">
        <v>106</v>
      </c>
      <c r="D1376" s="46"/>
      <c r="E1376" s="47" t="s">
        <v>50</v>
      </c>
      <c r="F1376" s="48">
        <v>1.17</v>
      </c>
      <c r="G1376" s="38">
        <v>0</v>
      </c>
      <c r="H1376" s="39"/>
      <c r="I1376" s="39"/>
      <c r="J1376" s="39"/>
      <c r="K1376" s="39"/>
      <c r="L1376" s="39"/>
      <c r="M1376" s="39"/>
      <c r="N1376" s="39"/>
      <c r="O1376" s="39"/>
      <c r="P1376" s="39"/>
      <c r="Q1376" s="39"/>
      <c r="R1376" s="39"/>
      <c r="S1376" s="39"/>
      <c r="T1376" s="39"/>
      <c r="U1376" s="39"/>
      <c r="V1376" s="39"/>
      <c r="W1376" s="39"/>
      <c r="X1376" s="49" t="s">
        <v>212</v>
      </c>
      <c r="Y1376" s="50">
        <v>351</v>
      </c>
      <c r="Z1376" s="51">
        <v>353</v>
      </c>
      <c r="AA1376" s="52">
        <f t="shared" si="31"/>
        <v>1.00569800569801</v>
      </c>
      <c r="AB1376" s="12">
        <v>353</v>
      </c>
      <c r="AC1376" s="12">
        <v>0</v>
      </c>
      <c r="AD1376" s="43"/>
      <c r="AE1376" s="43"/>
      <c r="AF1376" s="43"/>
      <c r="AG1376" s="43"/>
      <c r="AH1376" s="43"/>
      <c r="AI1376" s="43"/>
      <c r="AJ1376" s="43"/>
      <c r="AK1376" s="43"/>
      <c r="AL1376" s="43"/>
      <c r="AM1376" s="43"/>
      <c r="AN1376" s="43"/>
      <c r="AO1376" s="43"/>
      <c r="AP1376" s="43"/>
      <c r="AQ1376" s="43"/>
      <c r="AR1376" s="43"/>
      <c r="AS1376" s="43"/>
      <c r="AT1376" s="43"/>
      <c r="AU1376" s="43"/>
      <c r="AV1376" s="43"/>
    </row>
    <row r="1377" ht="15.75" spans="1:48">
      <c r="A1377" s="12">
        <v>1373</v>
      </c>
      <c r="B1377" s="44">
        <v>4412</v>
      </c>
      <c r="C1377" s="45" t="s">
        <v>177</v>
      </c>
      <c r="D1377" s="46"/>
      <c r="E1377" s="47" t="s">
        <v>50</v>
      </c>
      <c r="F1377" s="48">
        <v>0.5</v>
      </c>
      <c r="G1377" s="38">
        <v>0</v>
      </c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  <c r="S1377" s="39"/>
      <c r="T1377" s="39"/>
      <c r="U1377" s="39"/>
      <c r="V1377" s="39"/>
      <c r="W1377" s="39"/>
      <c r="X1377" s="49" t="s">
        <v>103</v>
      </c>
      <c r="Y1377" s="50">
        <v>420</v>
      </c>
      <c r="Z1377" s="51">
        <v>360</v>
      </c>
      <c r="AA1377" s="52">
        <f t="shared" si="31"/>
        <v>0.857142857142857</v>
      </c>
      <c r="AB1377" s="12">
        <v>360</v>
      </c>
      <c r="AC1377" s="12">
        <v>0</v>
      </c>
      <c r="AD1377" s="43"/>
      <c r="AE1377" s="43"/>
      <c r="AF1377" s="43"/>
      <c r="AG1377" s="43"/>
      <c r="AH1377" s="43"/>
      <c r="AI1377" s="43"/>
      <c r="AJ1377" s="43"/>
      <c r="AK1377" s="43"/>
      <c r="AL1377" s="43"/>
      <c r="AM1377" s="43"/>
      <c r="AN1377" s="43"/>
      <c r="AO1377" s="43"/>
      <c r="AP1377" s="43"/>
      <c r="AQ1377" s="43"/>
      <c r="AR1377" s="43"/>
      <c r="AS1377" s="43"/>
      <c r="AT1377" s="43"/>
      <c r="AU1377" s="43"/>
      <c r="AV1377" s="43"/>
    </row>
    <row r="1378" ht="15.75" spans="1:48">
      <c r="A1378" s="12">
        <v>1374</v>
      </c>
      <c r="B1378" s="44">
        <v>4501</v>
      </c>
      <c r="C1378" s="45" t="s">
        <v>181</v>
      </c>
      <c r="D1378" s="46"/>
      <c r="E1378" s="47" t="s">
        <v>50</v>
      </c>
      <c r="F1378" s="48">
        <v>10.83</v>
      </c>
      <c r="G1378" s="38">
        <v>1.17</v>
      </c>
      <c r="H1378" s="39"/>
      <c r="I1378" s="39"/>
      <c r="J1378" s="39"/>
      <c r="K1378" s="39"/>
      <c r="L1378" s="39"/>
      <c r="M1378" s="39"/>
      <c r="N1378" s="39"/>
      <c r="O1378" s="39"/>
      <c r="P1378" s="39"/>
      <c r="Q1378" s="39">
        <v>1.17</v>
      </c>
      <c r="R1378" s="39"/>
      <c r="S1378" s="39"/>
      <c r="T1378" s="39"/>
      <c r="U1378" s="39"/>
      <c r="V1378" s="39"/>
      <c r="W1378" s="39"/>
      <c r="X1378" s="49" t="s">
        <v>103</v>
      </c>
      <c r="Y1378" s="50">
        <v>9097.2</v>
      </c>
      <c r="Z1378" s="51">
        <v>6675</v>
      </c>
      <c r="AA1378" s="52">
        <f t="shared" si="31"/>
        <v>0.733742250362749</v>
      </c>
      <c r="AB1378" s="12">
        <v>6675</v>
      </c>
      <c r="AC1378" s="12">
        <v>0</v>
      </c>
      <c r="AD1378" s="43"/>
      <c r="AE1378" s="43"/>
      <c r="AF1378" s="43"/>
      <c r="AG1378" s="43"/>
      <c r="AH1378" s="43"/>
      <c r="AI1378" s="43"/>
      <c r="AJ1378" s="43"/>
      <c r="AK1378" s="43"/>
      <c r="AL1378" s="43"/>
      <c r="AM1378" s="43"/>
      <c r="AN1378" s="43"/>
      <c r="AO1378" s="43"/>
      <c r="AP1378" s="43"/>
      <c r="AQ1378" s="43"/>
      <c r="AR1378" s="43"/>
      <c r="AS1378" s="43"/>
      <c r="AT1378" s="43"/>
      <c r="AU1378" s="43"/>
      <c r="AV1378" s="43"/>
    </row>
    <row r="1379" ht="15.75" spans="1:48">
      <c r="A1379" s="12">
        <v>1375</v>
      </c>
      <c r="B1379" s="44">
        <v>761</v>
      </c>
      <c r="C1379" s="45" t="s">
        <v>89</v>
      </c>
      <c r="D1379" s="46"/>
      <c r="E1379" s="47" t="s">
        <v>50</v>
      </c>
      <c r="F1379" s="48">
        <v>5.84</v>
      </c>
      <c r="G1379" s="38">
        <v>1.84</v>
      </c>
      <c r="H1379" s="39"/>
      <c r="I1379" s="39"/>
      <c r="J1379" s="39"/>
      <c r="K1379" s="39"/>
      <c r="L1379" s="39"/>
      <c r="M1379" s="39"/>
      <c r="N1379" s="39"/>
      <c r="O1379" s="39"/>
      <c r="P1379" s="39"/>
      <c r="Q1379" s="39">
        <v>1.17</v>
      </c>
      <c r="R1379" s="39"/>
      <c r="S1379" s="39">
        <v>0.5</v>
      </c>
      <c r="T1379" s="39"/>
      <c r="U1379" s="39">
        <v>0.17</v>
      </c>
      <c r="V1379" s="39"/>
      <c r="W1379" s="39"/>
      <c r="X1379" s="49" t="s">
        <v>101</v>
      </c>
      <c r="Y1379" s="50">
        <v>11212.8</v>
      </c>
      <c r="Z1379" s="51">
        <v>10440</v>
      </c>
      <c r="AA1379" s="52">
        <f t="shared" si="31"/>
        <v>0.931078767123288</v>
      </c>
      <c r="AB1379" s="12">
        <v>10440</v>
      </c>
      <c r="AC1379" s="12">
        <v>0</v>
      </c>
      <c r="AD1379" s="43"/>
      <c r="AE1379" s="43"/>
      <c r="AF1379" s="43"/>
      <c r="AG1379" s="43"/>
      <c r="AH1379" s="43"/>
      <c r="AI1379" s="43"/>
      <c r="AJ1379" s="43"/>
      <c r="AK1379" s="43"/>
      <c r="AL1379" s="43"/>
      <c r="AM1379" s="43"/>
      <c r="AN1379" s="43"/>
      <c r="AO1379" s="43"/>
      <c r="AP1379" s="43"/>
      <c r="AQ1379" s="43"/>
      <c r="AR1379" s="43"/>
      <c r="AS1379" s="43"/>
      <c r="AT1379" s="43"/>
      <c r="AU1379" s="43"/>
      <c r="AV1379" s="43"/>
    </row>
    <row r="1380" ht="15.75" spans="1:48">
      <c r="A1380" s="12">
        <v>1376</v>
      </c>
      <c r="B1380" s="44">
        <v>761</v>
      </c>
      <c r="C1380" s="45" t="s">
        <v>89</v>
      </c>
      <c r="D1380" s="46"/>
      <c r="E1380" s="47" t="s">
        <v>50</v>
      </c>
      <c r="F1380" s="48">
        <v>1.83</v>
      </c>
      <c r="G1380" s="38">
        <v>0</v>
      </c>
      <c r="H1380" s="39"/>
      <c r="I1380" s="39"/>
      <c r="J1380" s="39"/>
      <c r="K1380" s="39"/>
      <c r="L1380" s="39"/>
      <c r="M1380" s="39"/>
      <c r="N1380" s="39"/>
      <c r="O1380" s="39"/>
      <c r="P1380" s="39"/>
      <c r="Q1380" s="39"/>
      <c r="R1380" s="39"/>
      <c r="S1380" s="39"/>
      <c r="T1380" s="39"/>
      <c r="U1380" s="39"/>
      <c r="V1380" s="39"/>
      <c r="W1380" s="39"/>
      <c r="X1380" s="49" t="s">
        <v>229</v>
      </c>
      <c r="Y1380" s="50">
        <v>6807.6</v>
      </c>
      <c r="Z1380" s="51">
        <v>6300</v>
      </c>
      <c r="AA1380" s="52">
        <f t="shared" si="31"/>
        <v>0.925436277102062</v>
      </c>
      <c r="AB1380" s="12">
        <v>6300</v>
      </c>
      <c r="AC1380" s="12">
        <v>0</v>
      </c>
      <c r="AD1380" s="43"/>
      <c r="AE1380" s="43"/>
      <c r="AF1380" s="43"/>
      <c r="AG1380" s="43"/>
      <c r="AH1380" s="43"/>
      <c r="AI1380" s="43"/>
      <c r="AJ1380" s="43"/>
      <c r="AK1380" s="43"/>
      <c r="AL1380" s="43"/>
      <c r="AM1380" s="43"/>
      <c r="AN1380" s="43"/>
      <c r="AO1380" s="43"/>
      <c r="AP1380" s="43"/>
      <c r="AQ1380" s="43"/>
      <c r="AR1380" s="43"/>
      <c r="AS1380" s="43"/>
      <c r="AT1380" s="43"/>
      <c r="AU1380" s="43"/>
      <c r="AV1380" s="43"/>
    </row>
    <row r="1381" ht="15.75" spans="1:48">
      <c r="A1381" s="12">
        <v>1377</v>
      </c>
      <c r="B1381" s="44">
        <v>761</v>
      </c>
      <c r="C1381" s="45" t="s">
        <v>89</v>
      </c>
      <c r="D1381" s="46"/>
      <c r="E1381" s="47" t="s">
        <v>50</v>
      </c>
      <c r="F1381" s="48">
        <v>0.5</v>
      </c>
      <c r="G1381" s="38">
        <v>0</v>
      </c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  <c r="S1381" s="39"/>
      <c r="T1381" s="39"/>
      <c r="U1381" s="39"/>
      <c r="V1381" s="39"/>
      <c r="W1381" s="39"/>
      <c r="X1381" s="49" t="s">
        <v>102</v>
      </c>
      <c r="Y1381" s="50">
        <v>2250</v>
      </c>
      <c r="Z1381" s="51">
        <v>2000</v>
      </c>
      <c r="AA1381" s="52">
        <f t="shared" si="31"/>
        <v>0.888888888888889</v>
      </c>
      <c r="AB1381" s="12">
        <v>2000</v>
      </c>
      <c r="AC1381" s="12">
        <v>0</v>
      </c>
      <c r="AD1381" s="43"/>
      <c r="AE1381" s="43"/>
      <c r="AF1381" s="43"/>
      <c r="AG1381" s="43"/>
      <c r="AH1381" s="43"/>
      <c r="AI1381" s="43"/>
      <c r="AJ1381" s="43"/>
      <c r="AK1381" s="43"/>
      <c r="AL1381" s="43"/>
      <c r="AM1381" s="43"/>
      <c r="AN1381" s="43"/>
      <c r="AO1381" s="43"/>
      <c r="AP1381" s="43"/>
      <c r="AQ1381" s="43"/>
      <c r="AR1381" s="43"/>
      <c r="AS1381" s="43"/>
      <c r="AT1381" s="43"/>
      <c r="AU1381" s="43"/>
      <c r="AV1381" s="43"/>
    </row>
    <row r="1382" ht="15.75" spans="1:48">
      <c r="A1382" s="12">
        <v>1378</v>
      </c>
      <c r="B1382" s="44">
        <v>2890</v>
      </c>
      <c r="C1382" s="45" t="s">
        <v>111</v>
      </c>
      <c r="D1382" s="46" t="s">
        <v>116</v>
      </c>
      <c r="E1382" s="47" t="s">
        <v>113</v>
      </c>
      <c r="F1382" s="48">
        <v>10.5</v>
      </c>
      <c r="G1382" s="38">
        <v>1.5</v>
      </c>
      <c r="H1382" s="39"/>
      <c r="I1382" s="39"/>
      <c r="J1382" s="39"/>
      <c r="K1382" s="39"/>
      <c r="L1382" s="39"/>
      <c r="M1382" s="39"/>
      <c r="N1382" s="39"/>
      <c r="O1382" s="39"/>
      <c r="P1382" s="39"/>
      <c r="Q1382" s="39">
        <v>1.33</v>
      </c>
      <c r="R1382" s="39"/>
      <c r="S1382" s="39"/>
      <c r="T1382" s="39"/>
      <c r="U1382" s="39">
        <v>0.17</v>
      </c>
      <c r="V1382" s="39"/>
      <c r="W1382" s="39"/>
      <c r="X1382" s="49" t="s">
        <v>284</v>
      </c>
      <c r="Y1382" s="50">
        <v>8400</v>
      </c>
      <c r="Z1382" s="51">
        <v>8400</v>
      </c>
      <c r="AA1382" s="52">
        <f t="shared" si="31"/>
        <v>1</v>
      </c>
      <c r="AB1382" s="12">
        <v>8392</v>
      </c>
      <c r="AC1382" s="12">
        <v>8</v>
      </c>
      <c r="AD1382" s="43"/>
      <c r="AE1382" s="43"/>
      <c r="AF1382" s="43"/>
      <c r="AG1382" s="43"/>
      <c r="AH1382" s="43"/>
      <c r="AI1382" s="43"/>
      <c r="AJ1382" s="43"/>
      <c r="AK1382" s="19">
        <v>5</v>
      </c>
      <c r="AL1382" s="43"/>
      <c r="AM1382" s="43"/>
      <c r="AN1382" s="19">
        <v>3</v>
      </c>
      <c r="AO1382" s="43"/>
      <c r="AP1382" s="43"/>
      <c r="AQ1382" s="43"/>
      <c r="AR1382" s="43"/>
      <c r="AS1382" s="43"/>
      <c r="AT1382" s="43"/>
      <c r="AU1382" s="43"/>
      <c r="AV1382" s="43"/>
    </row>
    <row r="1383" ht="15.75" spans="1:48">
      <c r="A1383" s="12">
        <v>1379</v>
      </c>
      <c r="B1383" s="44">
        <v>3111</v>
      </c>
      <c r="C1383" s="45" t="s">
        <v>124</v>
      </c>
      <c r="D1383" s="46" t="s">
        <v>217</v>
      </c>
      <c r="E1383" s="47" t="s">
        <v>113</v>
      </c>
      <c r="F1383" s="48">
        <v>4.83</v>
      </c>
      <c r="G1383" s="38">
        <v>0.5</v>
      </c>
      <c r="H1383" s="39"/>
      <c r="I1383" s="39"/>
      <c r="J1383" s="39"/>
      <c r="K1383" s="39"/>
      <c r="L1383" s="39"/>
      <c r="M1383" s="39"/>
      <c r="N1383" s="39"/>
      <c r="O1383" s="39"/>
      <c r="P1383" s="39"/>
      <c r="Q1383" s="39"/>
      <c r="R1383" s="39"/>
      <c r="S1383" s="39"/>
      <c r="T1383" s="39"/>
      <c r="U1383" s="39">
        <v>0.5</v>
      </c>
      <c r="V1383" s="39"/>
      <c r="W1383" s="39"/>
      <c r="X1383" s="49" t="s">
        <v>218</v>
      </c>
      <c r="Y1383" s="50">
        <v>11664.45</v>
      </c>
      <c r="Z1383" s="51">
        <v>12000</v>
      </c>
      <c r="AA1383" s="52">
        <f t="shared" si="31"/>
        <v>1.02876689428134</v>
      </c>
      <c r="AB1383" s="12">
        <v>12000</v>
      </c>
      <c r="AC1383" s="12">
        <v>0</v>
      </c>
      <c r="AD1383" s="43"/>
      <c r="AE1383" s="43"/>
      <c r="AF1383" s="43"/>
      <c r="AG1383" s="43"/>
      <c r="AH1383" s="43"/>
      <c r="AI1383" s="43"/>
      <c r="AJ1383" s="43"/>
      <c r="AK1383" s="43"/>
      <c r="AL1383" s="43"/>
      <c r="AM1383" s="43"/>
      <c r="AN1383" s="43"/>
      <c r="AO1383" s="43"/>
      <c r="AP1383" s="43"/>
      <c r="AQ1383" s="43"/>
      <c r="AR1383" s="43"/>
      <c r="AS1383" s="43"/>
      <c r="AT1383" s="43"/>
      <c r="AU1383" s="43"/>
      <c r="AV1383" s="43"/>
    </row>
    <row r="1384" ht="15.75" spans="1:48">
      <c r="A1384" s="12">
        <v>1380</v>
      </c>
      <c r="B1384" s="44">
        <v>3111</v>
      </c>
      <c r="C1384" s="45" t="s">
        <v>124</v>
      </c>
      <c r="D1384" s="46" t="s">
        <v>215</v>
      </c>
      <c r="E1384" s="47" t="s">
        <v>113</v>
      </c>
      <c r="F1384" s="48">
        <v>5.17</v>
      </c>
      <c r="G1384" s="38">
        <v>1.5</v>
      </c>
      <c r="H1384" s="39"/>
      <c r="I1384" s="39"/>
      <c r="J1384" s="39"/>
      <c r="K1384" s="39"/>
      <c r="L1384" s="39"/>
      <c r="M1384" s="39"/>
      <c r="N1384" s="39"/>
      <c r="O1384" s="39"/>
      <c r="P1384" s="39"/>
      <c r="Q1384" s="39">
        <v>1.33</v>
      </c>
      <c r="R1384" s="39"/>
      <c r="S1384" s="39"/>
      <c r="T1384" s="39"/>
      <c r="U1384" s="39">
        <v>0.17</v>
      </c>
      <c r="V1384" s="39"/>
      <c r="W1384" s="39"/>
      <c r="X1384" s="49" t="s">
        <v>117</v>
      </c>
      <c r="Y1384" s="50">
        <v>16052.85</v>
      </c>
      <c r="Z1384" s="51">
        <v>16200</v>
      </c>
      <c r="AA1384" s="52">
        <f t="shared" si="31"/>
        <v>1.00916659658565</v>
      </c>
      <c r="AB1384" s="12">
        <v>16200</v>
      </c>
      <c r="AC1384" s="12">
        <v>0</v>
      </c>
      <c r="AD1384" s="43"/>
      <c r="AE1384" s="43"/>
      <c r="AF1384" s="43"/>
      <c r="AG1384" s="43"/>
      <c r="AH1384" s="43"/>
      <c r="AI1384" s="43"/>
      <c r="AJ1384" s="43"/>
      <c r="AK1384" s="43"/>
      <c r="AL1384" s="43"/>
      <c r="AM1384" s="43"/>
      <c r="AN1384" s="43"/>
      <c r="AO1384" s="43"/>
      <c r="AP1384" s="43"/>
      <c r="AQ1384" s="43"/>
      <c r="AR1384" s="43"/>
      <c r="AS1384" s="43"/>
      <c r="AT1384" s="43"/>
      <c r="AU1384" s="43"/>
      <c r="AV1384" s="43"/>
    </row>
    <row r="1385" ht="15.75" spans="1:48">
      <c r="A1385" s="12">
        <v>1381</v>
      </c>
      <c r="B1385" s="44">
        <v>3959</v>
      </c>
      <c r="C1385" s="45" t="s">
        <v>123</v>
      </c>
      <c r="D1385" s="46"/>
      <c r="E1385" s="47" t="s">
        <v>113</v>
      </c>
      <c r="F1385" s="48">
        <v>4.66</v>
      </c>
      <c r="G1385" s="38">
        <v>1.33</v>
      </c>
      <c r="H1385" s="39"/>
      <c r="I1385" s="39"/>
      <c r="J1385" s="39"/>
      <c r="K1385" s="39"/>
      <c r="L1385" s="39"/>
      <c r="M1385" s="39"/>
      <c r="N1385" s="39"/>
      <c r="O1385" s="39"/>
      <c r="P1385" s="39"/>
      <c r="Q1385" s="39">
        <v>1.33</v>
      </c>
      <c r="R1385" s="39"/>
      <c r="S1385" s="39"/>
      <c r="T1385" s="39"/>
      <c r="U1385" s="39"/>
      <c r="V1385" s="39"/>
      <c r="W1385" s="39"/>
      <c r="X1385" s="49">
        <v>9276</v>
      </c>
      <c r="Y1385" s="50">
        <v>2330</v>
      </c>
      <c r="Z1385" s="51">
        <v>2293</v>
      </c>
      <c r="AA1385" s="52">
        <f t="shared" si="31"/>
        <v>0.98412017167382</v>
      </c>
      <c r="AB1385" s="12">
        <v>2293</v>
      </c>
      <c r="AC1385" s="12">
        <v>0</v>
      </c>
      <c r="AD1385" s="43"/>
      <c r="AE1385" s="43"/>
      <c r="AF1385" s="43"/>
      <c r="AG1385" s="43"/>
      <c r="AH1385" s="43"/>
      <c r="AI1385" s="43"/>
      <c r="AJ1385" s="43"/>
      <c r="AK1385" s="43"/>
      <c r="AL1385" s="43"/>
      <c r="AM1385" s="43"/>
      <c r="AN1385" s="43"/>
      <c r="AO1385" s="43"/>
      <c r="AP1385" s="43"/>
      <c r="AQ1385" s="43"/>
      <c r="AR1385" s="43"/>
      <c r="AS1385" s="43"/>
      <c r="AT1385" s="43"/>
      <c r="AU1385" s="43"/>
      <c r="AV1385" s="43"/>
    </row>
    <row r="1386" ht="15.75" spans="1:48">
      <c r="A1386" s="12">
        <v>1382</v>
      </c>
      <c r="B1386" s="44">
        <v>2649</v>
      </c>
      <c r="C1386" s="45" t="s">
        <v>121</v>
      </c>
      <c r="D1386" s="46"/>
      <c r="E1386" s="47" t="s">
        <v>113</v>
      </c>
      <c r="F1386" s="48">
        <v>8</v>
      </c>
      <c r="G1386" s="38">
        <v>1.33</v>
      </c>
      <c r="H1386" s="39"/>
      <c r="I1386" s="39"/>
      <c r="J1386" s="39"/>
      <c r="K1386" s="39"/>
      <c r="L1386" s="39"/>
      <c r="M1386" s="39"/>
      <c r="N1386" s="39"/>
      <c r="O1386" s="39"/>
      <c r="P1386" s="39"/>
      <c r="Q1386" s="39">
        <v>1.33</v>
      </c>
      <c r="R1386" s="39"/>
      <c r="S1386" s="39"/>
      <c r="T1386" s="39"/>
      <c r="U1386" s="39"/>
      <c r="V1386" s="39"/>
      <c r="W1386" s="39"/>
      <c r="X1386" s="49" t="s">
        <v>120</v>
      </c>
      <c r="Y1386" s="50">
        <v>2000</v>
      </c>
      <c r="Z1386" s="51">
        <v>1950</v>
      </c>
      <c r="AA1386" s="52">
        <f t="shared" si="31"/>
        <v>0.975</v>
      </c>
      <c r="AB1386" s="12">
        <v>1950</v>
      </c>
      <c r="AC1386" s="12">
        <v>0</v>
      </c>
      <c r="AD1386" s="43"/>
      <c r="AE1386" s="43"/>
      <c r="AF1386" s="43"/>
      <c r="AG1386" s="43"/>
      <c r="AH1386" s="43"/>
      <c r="AI1386" s="43"/>
      <c r="AJ1386" s="43"/>
      <c r="AK1386" s="43"/>
      <c r="AL1386" s="43"/>
      <c r="AM1386" s="43"/>
      <c r="AN1386" s="43"/>
      <c r="AO1386" s="43"/>
      <c r="AP1386" s="43"/>
      <c r="AQ1386" s="43"/>
      <c r="AR1386" s="43"/>
      <c r="AS1386" s="43"/>
      <c r="AT1386" s="43"/>
      <c r="AU1386" s="43"/>
      <c r="AV1386" s="43"/>
    </row>
    <row r="1387" ht="15.75" spans="1:48">
      <c r="A1387" s="12">
        <v>1383</v>
      </c>
      <c r="B1387" s="44">
        <v>2649</v>
      </c>
      <c r="C1387" s="45" t="s">
        <v>121</v>
      </c>
      <c r="D1387" s="46"/>
      <c r="E1387" s="47" t="s">
        <v>113</v>
      </c>
      <c r="F1387" s="48">
        <v>2.66</v>
      </c>
      <c r="G1387" s="38">
        <v>0</v>
      </c>
      <c r="H1387" s="39"/>
      <c r="I1387" s="39"/>
      <c r="J1387" s="39"/>
      <c r="K1387" s="39"/>
      <c r="L1387" s="39"/>
      <c r="M1387" s="39"/>
      <c r="N1387" s="39"/>
      <c r="O1387" s="39"/>
      <c r="P1387" s="39"/>
      <c r="Q1387" s="39"/>
      <c r="R1387" s="39"/>
      <c r="S1387" s="39"/>
      <c r="T1387" s="39"/>
      <c r="U1387" s="39"/>
      <c r="V1387" s="39"/>
      <c r="W1387" s="39"/>
      <c r="X1387" s="49" t="s">
        <v>122</v>
      </c>
      <c r="Y1387" s="50">
        <v>0</v>
      </c>
      <c r="Z1387" s="51"/>
      <c r="AA1387" s="52">
        <f t="shared" si="31"/>
        <v>0</v>
      </c>
      <c r="AB1387" s="12">
        <v>0</v>
      </c>
      <c r="AC1387" s="12">
        <v>0</v>
      </c>
      <c r="AD1387" s="43"/>
      <c r="AE1387" s="43"/>
      <c r="AF1387" s="43"/>
      <c r="AG1387" s="43"/>
      <c r="AH1387" s="43"/>
      <c r="AI1387" s="43"/>
      <c r="AJ1387" s="43"/>
      <c r="AK1387" s="43"/>
      <c r="AL1387" s="43"/>
      <c r="AM1387" s="43"/>
      <c r="AN1387" s="43"/>
      <c r="AO1387" s="43"/>
      <c r="AP1387" s="43"/>
      <c r="AQ1387" s="43"/>
      <c r="AR1387" s="43"/>
      <c r="AS1387" s="43"/>
      <c r="AT1387" s="43"/>
      <c r="AU1387" s="43"/>
      <c r="AV1387" s="43"/>
    </row>
    <row r="1388" ht="15.75" spans="1:48">
      <c r="A1388" s="12">
        <v>1384</v>
      </c>
      <c r="B1388" s="44">
        <v>4456</v>
      </c>
      <c r="C1388" s="45" t="s">
        <v>119</v>
      </c>
      <c r="D1388" s="46"/>
      <c r="E1388" s="47" t="s">
        <v>113</v>
      </c>
      <c r="F1388" s="48">
        <v>10.66</v>
      </c>
      <c r="G1388" s="38">
        <v>1.33</v>
      </c>
      <c r="H1388" s="39"/>
      <c r="I1388" s="39"/>
      <c r="J1388" s="39"/>
      <c r="K1388" s="39"/>
      <c r="L1388" s="39"/>
      <c r="M1388" s="39"/>
      <c r="N1388" s="39"/>
      <c r="O1388" s="39"/>
      <c r="P1388" s="39"/>
      <c r="Q1388" s="39">
        <v>1.33</v>
      </c>
      <c r="R1388" s="39"/>
      <c r="S1388" s="39"/>
      <c r="T1388" s="39"/>
      <c r="U1388" s="39"/>
      <c r="V1388" s="39"/>
      <c r="W1388" s="39"/>
      <c r="X1388" s="49" t="s">
        <v>120</v>
      </c>
      <c r="Y1388" s="50">
        <v>2665</v>
      </c>
      <c r="Z1388" s="51">
        <v>2550</v>
      </c>
      <c r="AA1388" s="52">
        <f t="shared" si="31"/>
        <v>0.956848030018762</v>
      </c>
      <c r="AB1388" s="12">
        <v>2550</v>
      </c>
      <c r="AC1388" s="12">
        <v>0</v>
      </c>
      <c r="AD1388" s="43"/>
      <c r="AE1388" s="43"/>
      <c r="AF1388" s="43"/>
      <c r="AG1388" s="43"/>
      <c r="AH1388" s="43"/>
      <c r="AI1388" s="43"/>
      <c r="AJ1388" s="43"/>
      <c r="AK1388" s="43"/>
      <c r="AL1388" s="43"/>
      <c r="AM1388" s="43"/>
      <c r="AN1388" s="43"/>
      <c r="AO1388" s="43"/>
      <c r="AP1388" s="43"/>
      <c r="AQ1388" s="43"/>
      <c r="AR1388" s="43"/>
      <c r="AS1388" s="43"/>
      <c r="AT1388" s="43"/>
      <c r="AU1388" s="43"/>
      <c r="AV1388" s="43"/>
    </row>
    <row r="1389" ht="15.75" spans="1:48">
      <c r="A1389" s="12">
        <v>1385</v>
      </c>
      <c r="B1389" s="44">
        <v>4325</v>
      </c>
      <c r="C1389" s="45" t="s">
        <v>118</v>
      </c>
      <c r="D1389" s="46">
        <v>4</v>
      </c>
      <c r="E1389" s="47" t="s">
        <v>113</v>
      </c>
      <c r="F1389" s="48">
        <v>10.5</v>
      </c>
      <c r="G1389" s="38">
        <v>1.5</v>
      </c>
      <c r="H1389" s="39"/>
      <c r="I1389" s="39"/>
      <c r="J1389" s="39"/>
      <c r="K1389" s="39"/>
      <c r="L1389" s="39"/>
      <c r="M1389" s="39"/>
      <c r="N1389" s="39"/>
      <c r="O1389" s="39"/>
      <c r="P1389" s="39"/>
      <c r="Q1389" s="39">
        <v>1.33</v>
      </c>
      <c r="R1389" s="39"/>
      <c r="S1389" s="39"/>
      <c r="T1389" s="39"/>
      <c r="U1389" s="39">
        <v>0.17</v>
      </c>
      <c r="V1389" s="39"/>
      <c r="W1389" s="39"/>
      <c r="X1389" s="49">
        <v>9116</v>
      </c>
      <c r="Y1389" s="50">
        <v>3150</v>
      </c>
      <c r="Z1389" s="51">
        <v>3180</v>
      </c>
      <c r="AA1389" s="52">
        <f t="shared" si="31"/>
        <v>1.00952380952381</v>
      </c>
      <c r="AB1389" s="12">
        <v>3180</v>
      </c>
      <c r="AC1389" s="12">
        <v>0</v>
      </c>
      <c r="AD1389" s="43"/>
      <c r="AE1389" s="43"/>
      <c r="AF1389" s="43"/>
      <c r="AG1389" s="43"/>
      <c r="AH1389" s="43"/>
      <c r="AI1389" s="43"/>
      <c r="AJ1389" s="43"/>
      <c r="AK1389" s="43"/>
      <c r="AL1389" s="43"/>
      <c r="AM1389" s="43"/>
      <c r="AN1389" s="43"/>
      <c r="AO1389" s="43"/>
      <c r="AP1389" s="43"/>
      <c r="AQ1389" s="43"/>
      <c r="AR1389" s="43"/>
      <c r="AS1389" s="43"/>
      <c r="AT1389" s="43"/>
      <c r="AU1389" s="43"/>
      <c r="AV1389" s="43"/>
    </row>
    <row r="1390" ht="15.75" spans="1:48">
      <c r="A1390" s="12">
        <v>1386</v>
      </c>
      <c r="B1390" s="44">
        <v>4418</v>
      </c>
      <c r="C1390" s="45" t="s">
        <v>125</v>
      </c>
      <c r="D1390" s="46">
        <v>11</v>
      </c>
      <c r="E1390" s="47" t="s">
        <v>113</v>
      </c>
      <c r="F1390" s="48">
        <v>10.5</v>
      </c>
      <c r="G1390" s="38">
        <v>1.5</v>
      </c>
      <c r="H1390" s="39"/>
      <c r="I1390" s="39"/>
      <c r="J1390" s="39"/>
      <c r="K1390" s="39"/>
      <c r="L1390" s="39"/>
      <c r="M1390" s="39"/>
      <c r="N1390" s="39"/>
      <c r="O1390" s="39"/>
      <c r="P1390" s="39"/>
      <c r="Q1390" s="39">
        <v>1.33</v>
      </c>
      <c r="R1390" s="39"/>
      <c r="S1390" s="39"/>
      <c r="T1390" s="39"/>
      <c r="U1390" s="39">
        <v>0.17</v>
      </c>
      <c r="V1390" s="39"/>
      <c r="W1390" s="39"/>
      <c r="X1390" s="49" t="s">
        <v>239</v>
      </c>
      <c r="Y1390" s="50">
        <v>5355</v>
      </c>
      <c r="Z1390" s="51">
        <v>5265</v>
      </c>
      <c r="AA1390" s="52">
        <f t="shared" si="31"/>
        <v>0.983193277310924</v>
      </c>
      <c r="AB1390" s="12">
        <v>5265</v>
      </c>
      <c r="AC1390" s="12">
        <v>0</v>
      </c>
      <c r="AD1390" s="43"/>
      <c r="AE1390" s="43"/>
      <c r="AF1390" s="43"/>
      <c r="AG1390" s="43"/>
      <c r="AH1390" s="43"/>
      <c r="AI1390" s="43"/>
      <c r="AJ1390" s="43"/>
      <c r="AK1390" s="43"/>
      <c r="AL1390" s="43"/>
      <c r="AM1390" s="43"/>
      <c r="AN1390" s="43"/>
      <c r="AO1390" s="43"/>
      <c r="AP1390" s="43"/>
      <c r="AQ1390" s="43"/>
      <c r="AR1390" s="43"/>
      <c r="AS1390" s="43"/>
      <c r="AT1390" s="43"/>
      <c r="AU1390" s="43"/>
      <c r="AV1390" s="43"/>
    </row>
    <row r="1391" ht="15.75" spans="1:48">
      <c r="A1391" s="12">
        <v>1387</v>
      </c>
      <c r="B1391" s="44">
        <v>655</v>
      </c>
      <c r="C1391" s="45" t="s">
        <v>198</v>
      </c>
      <c r="D1391" s="46">
        <v>12</v>
      </c>
      <c r="E1391" s="47" t="s">
        <v>113</v>
      </c>
      <c r="F1391" s="48">
        <v>10.5</v>
      </c>
      <c r="G1391" s="38">
        <v>1.5</v>
      </c>
      <c r="H1391" s="39"/>
      <c r="I1391" s="39"/>
      <c r="J1391" s="39"/>
      <c r="K1391" s="39"/>
      <c r="L1391" s="39"/>
      <c r="M1391" s="39"/>
      <c r="N1391" s="39"/>
      <c r="O1391" s="39"/>
      <c r="P1391" s="39"/>
      <c r="Q1391" s="39">
        <v>1.33</v>
      </c>
      <c r="R1391" s="39"/>
      <c r="S1391" s="39"/>
      <c r="T1391" s="39"/>
      <c r="U1391" s="39">
        <v>0.17</v>
      </c>
      <c r="V1391" s="39"/>
      <c r="W1391" s="39"/>
      <c r="X1391" s="49" t="s">
        <v>71</v>
      </c>
      <c r="Y1391" s="50">
        <v>3517.5</v>
      </c>
      <c r="Z1391" s="51">
        <v>3480</v>
      </c>
      <c r="AA1391" s="52">
        <f t="shared" si="31"/>
        <v>0.989339019189765</v>
      </c>
      <c r="AB1391" s="12">
        <v>3480</v>
      </c>
      <c r="AC1391" s="12">
        <v>0</v>
      </c>
      <c r="AD1391" s="43"/>
      <c r="AE1391" s="43"/>
      <c r="AF1391" s="43"/>
      <c r="AG1391" s="43"/>
      <c r="AH1391" s="43"/>
      <c r="AI1391" s="43"/>
      <c r="AJ1391" s="43"/>
      <c r="AK1391" s="43"/>
      <c r="AL1391" s="43"/>
      <c r="AM1391" s="43"/>
      <c r="AN1391" s="43"/>
      <c r="AO1391" s="43"/>
      <c r="AP1391" s="43"/>
      <c r="AQ1391" s="43"/>
      <c r="AR1391" s="43"/>
      <c r="AS1391" s="43"/>
      <c r="AT1391" s="43"/>
      <c r="AU1391" s="43"/>
      <c r="AV1391" s="43"/>
    </row>
    <row r="1392" ht="15.75" spans="1:48">
      <c r="A1392" s="12">
        <v>1388</v>
      </c>
      <c r="B1392" s="44">
        <v>656</v>
      </c>
      <c r="C1392" s="45" t="s">
        <v>195</v>
      </c>
      <c r="D1392" s="46"/>
      <c r="E1392" s="47" t="s">
        <v>113</v>
      </c>
      <c r="F1392" s="48">
        <v>10.33</v>
      </c>
      <c r="G1392" s="38">
        <v>1.67</v>
      </c>
      <c r="H1392" s="39"/>
      <c r="I1392" s="39"/>
      <c r="J1392" s="39"/>
      <c r="K1392" s="39">
        <v>0.17</v>
      </c>
      <c r="L1392" s="39"/>
      <c r="M1392" s="39"/>
      <c r="N1392" s="39"/>
      <c r="O1392" s="39"/>
      <c r="P1392" s="39"/>
      <c r="Q1392" s="39">
        <v>1.33</v>
      </c>
      <c r="R1392" s="39"/>
      <c r="S1392" s="39"/>
      <c r="T1392" s="39"/>
      <c r="U1392" s="39">
        <v>0.17</v>
      </c>
      <c r="V1392" s="39"/>
      <c r="W1392" s="39"/>
      <c r="X1392" s="49" t="s">
        <v>199</v>
      </c>
      <c r="Y1392" s="50">
        <v>3615.5</v>
      </c>
      <c r="Z1392" s="51">
        <v>3600</v>
      </c>
      <c r="AA1392" s="52">
        <f t="shared" si="31"/>
        <v>0.995712902779698</v>
      </c>
      <c r="AB1392" s="12">
        <v>3600</v>
      </c>
      <c r="AC1392" s="12">
        <v>0</v>
      </c>
      <c r="AD1392" s="43"/>
      <c r="AE1392" s="43"/>
      <c r="AF1392" s="43"/>
      <c r="AG1392" s="43"/>
      <c r="AH1392" s="43"/>
      <c r="AI1392" s="43"/>
      <c r="AJ1392" s="43"/>
      <c r="AK1392" s="43"/>
      <c r="AL1392" s="43"/>
      <c r="AM1392" s="43"/>
      <c r="AN1392" s="43"/>
      <c r="AO1392" s="43"/>
      <c r="AP1392" s="43"/>
      <c r="AQ1392" s="43"/>
      <c r="AR1392" s="43"/>
      <c r="AS1392" s="43"/>
      <c r="AT1392" s="43"/>
      <c r="AU1392" s="43"/>
      <c r="AV1392" s="43"/>
    </row>
    <row r="1393" ht="15.75" spans="1:48">
      <c r="A1393" s="12">
        <v>1389</v>
      </c>
      <c r="B1393" s="44" t="s">
        <v>267</v>
      </c>
      <c r="C1393" s="45" t="e">
        <v>#N/A</v>
      </c>
      <c r="D1393" s="46">
        <v>10</v>
      </c>
      <c r="E1393" s="47" t="s">
        <v>113</v>
      </c>
      <c r="F1393" s="48">
        <v>10.5</v>
      </c>
      <c r="G1393" s="38">
        <v>1.5</v>
      </c>
      <c r="H1393" s="39"/>
      <c r="I1393" s="39"/>
      <c r="J1393" s="39"/>
      <c r="K1393" s="39"/>
      <c r="L1393" s="39"/>
      <c r="M1393" s="39"/>
      <c r="N1393" s="39"/>
      <c r="O1393" s="39"/>
      <c r="P1393" s="39"/>
      <c r="Q1393" s="39">
        <v>1.33</v>
      </c>
      <c r="R1393" s="39"/>
      <c r="S1393" s="39"/>
      <c r="T1393" s="39"/>
      <c r="U1393" s="39">
        <v>0.17</v>
      </c>
      <c r="V1393" s="39"/>
      <c r="W1393" s="39"/>
      <c r="X1393" s="49">
        <v>127</v>
      </c>
      <c r="Y1393" s="50">
        <v>5250</v>
      </c>
      <c r="Z1393" s="51">
        <v>5265</v>
      </c>
      <c r="AA1393" s="52">
        <f t="shared" ref="AA1393:AA1424" si="32">IFERROR(Z1393/Y1393,0)</f>
        <v>1.00285714285714</v>
      </c>
      <c r="AB1393" s="12">
        <v>5265</v>
      </c>
      <c r="AC1393" s="12">
        <v>0</v>
      </c>
      <c r="AD1393" s="43"/>
      <c r="AE1393" s="43"/>
      <c r="AF1393" s="43"/>
      <c r="AG1393" s="43"/>
      <c r="AH1393" s="43"/>
      <c r="AI1393" s="43"/>
      <c r="AJ1393" s="43"/>
      <c r="AK1393" s="43"/>
      <c r="AL1393" s="43"/>
      <c r="AM1393" s="43"/>
      <c r="AN1393" s="43"/>
      <c r="AO1393" s="43"/>
      <c r="AP1393" s="43"/>
      <c r="AQ1393" s="43"/>
      <c r="AR1393" s="43"/>
      <c r="AS1393" s="43"/>
      <c r="AT1393" s="43"/>
      <c r="AU1393" s="43"/>
      <c r="AV1393" s="43"/>
    </row>
    <row r="1394" ht="15.75" spans="1:48">
      <c r="A1394" s="12">
        <v>1390</v>
      </c>
      <c r="B1394" s="44">
        <v>3959</v>
      </c>
      <c r="C1394" s="45" t="s">
        <v>123</v>
      </c>
      <c r="D1394" s="46"/>
      <c r="E1394" s="47"/>
      <c r="F1394" s="48">
        <v>1.5</v>
      </c>
      <c r="G1394" s="38">
        <v>0</v>
      </c>
      <c r="H1394" s="39"/>
      <c r="I1394" s="39"/>
      <c r="J1394" s="39"/>
      <c r="K1394" s="39"/>
      <c r="L1394" s="39"/>
      <c r="M1394" s="39"/>
      <c r="N1394" s="39"/>
      <c r="O1394" s="39"/>
      <c r="P1394" s="39"/>
      <c r="Q1394" s="39"/>
      <c r="R1394" s="39"/>
      <c r="S1394" s="39"/>
      <c r="T1394" s="39"/>
      <c r="U1394" s="39"/>
      <c r="V1394" s="39"/>
      <c r="W1394" s="39"/>
      <c r="X1394" s="49" t="s">
        <v>127</v>
      </c>
      <c r="Y1394" s="50">
        <v>1950</v>
      </c>
      <c r="Z1394" s="51">
        <v>2025</v>
      </c>
      <c r="AA1394" s="52">
        <f t="shared" si="32"/>
        <v>1.03846153846154</v>
      </c>
      <c r="AB1394" s="12">
        <v>2025</v>
      </c>
      <c r="AC1394" s="12">
        <v>0</v>
      </c>
      <c r="AD1394" s="43"/>
      <c r="AE1394" s="43"/>
      <c r="AF1394" s="43"/>
      <c r="AG1394" s="43"/>
      <c r="AH1394" s="43"/>
      <c r="AI1394" s="43"/>
      <c r="AJ1394" s="43"/>
      <c r="AK1394" s="43"/>
      <c r="AL1394" s="43"/>
      <c r="AM1394" s="43"/>
      <c r="AN1394" s="43"/>
      <c r="AO1394" s="43"/>
      <c r="AP1394" s="43"/>
      <c r="AQ1394" s="43"/>
      <c r="AR1394" s="43"/>
      <c r="AS1394" s="43"/>
      <c r="AT1394" s="43"/>
      <c r="AU1394" s="43"/>
      <c r="AV1394" s="43"/>
    </row>
    <row r="1395" ht="15.75" spans="1:48">
      <c r="A1395" s="12">
        <v>1391</v>
      </c>
      <c r="B1395" s="44">
        <v>3959</v>
      </c>
      <c r="C1395" s="45" t="s">
        <v>123</v>
      </c>
      <c r="D1395" s="46"/>
      <c r="E1395" s="47"/>
      <c r="F1395" s="48">
        <v>4.5</v>
      </c>
      <c r="G1395" s="38">
        <v>0</v>
      </c>
      <c r="H1395" s="39"/>
      <c r="I1395" s="39"/>
      <c r="J1395" s="39"/>
      <c r="K1395" s="39"/>
      <c r="L1395" s="39"/>
      <c r="M1395" s="39"/>
      <c r="N1395" s="39"/>
      <c r="O1395" s="39"/>
      <c r="P1395" s="39"/>
      <c r="Q1395" s="39"/>
      <c r="R1395" s="39"/>
      <c r="S1395" s="39"/>
      <c r="T1395" s="39"/>
      <c r="U1395" s="39"/>
      <c r="V1395" s="39"/>
      <c r="W1395" s="39"/>
      <c r="X1395" s="49" t="s">
        <v>341</v>
      </c>
      <c r="Y1395" s="50">
        <v>0</v>
      </c>
      <c r="Z1395" s="51">
        <v>2210</v>
      </c>
      <c r="AA1395" s="52">
        <f t="shared" si="32"/>
        <v>0</v>
      </c>
      <c r="AB1395" s="12">
        <v>2210</v>
      </c>
      <c r="AC1395" s="12">
        <v>0</v>
      </c>
      <c r="AD1395" s="43"/>
      <c r="AE1395" s="43"/>
      <c r="AF1395" s="43"/>
      <c r="AG1395" s="43"/>
      <c r="AH1395" s="43"/>
      <c r="AI1395" s="43"/>
      <c r="AJ1395" s="43"/>
      <c r="AK1395" s="43"/>
      <c r="AL1395" s="43"/>
      <c r="AM1395" s="43"/>
      <c r="AN1395" s="43"/>
      <c r="AO1395" s="43"/>
      <c r="AP1395" s="43"/>
      <c r="AQ1395" s="43"/>
      <c r="AR1395" s="43"/>
      <c r="AS1395" s="43"/>
      <c r="AT1395" s="43"/>
      <c r="AU1395" s="43"/>
      <c r="AV1395" s="43"/>
    </row>
    <row r="1396" ht="15.75" spans="1:48">
      <c r="A1396" s="12">
        <v>1392</v>
      </c>
      <c r="B1396" s="44">
        <v>4019</v>
      </c>
      <c r="C1396" s="45" t="s">
        <v>134</v>
      </c>
      <c r="D1396" s="46" t="s">
        <v>73</v>
      </c>
      <c r="E1396" s="47" t="s">
        <v>113</v>
      </c>
      <c r="F1396" s="48">
        <v>10.17</v>
      </c>
      <c r="G1396" s="38">
        <v>1.83</v>
      </c>
      <c r="H1396" s="39"/>
      <c r="I1396" s="39"/>
      <c r="J1396" s="39"/>
      <c r="K1396" s="39">
        <v>0.33</v>
      </c>
      <c r="L1396" s="39"/>
      <c r="M1396" s="39"/>
      <c r="N1396" s="39"/>
      <c r="O1396" s="39"/>
      <c r="P1396" s="39"/>
      <c r="Q1396" s="39">
        <v>1.33</v>
      </c>
      <c r="R1396" s="39"/>
      <c r="S1396" s="39"/>
      <c r="T1396" s="39"/>
      <c r="U1396" s="39">
        <v>0.17</v>
      </c>
      <c r="V1396" s="39"/>
      <c r="W1396" s="39"/>
      <c r="X1396" s="49" t="s">
        <v>74</v>
      </c>
      <c r="Y1396" s="50">
        <v>16526.25</v>
      </c>
      <c r="Z1396" s="51">
        <v>16460</v>
      </c>
      <c r="AA1396" s="52">
        <f t="shared" si="32"/>
        <v>0.995991226079722</v>
      </c>
      <c r="AB1396" s="12">
        <v>16430</v>
      </c>
      <c r="AC1396" s="12">
        <v>30</v>
      </c>
      <c r="AD1396" s="43"/>
      <c r="AE1396" s="43"/>
      <c r="AF1396" s="43"/>
      <c r="AG1396" s="19">
        <v>30</v>
      </c>
      <c r="AH1396" s="43"/>
      <c r="AI1396" s="43"/>
      <c r="AJ1396" s="43"/>
      <c r="AK1396" s="43"/>
      <c r="AL1396" s="43"/>
      <c r="AM1396" s="43"/>
      <c r="AN1396" s="43"/>
      <c r="AO1396" s="43"/>
      <c r="AP1396" s="43"/>
      <c r="AQ1396" s="43"/>
      <c r="AR1396" s="43"/>
      <c r="AS1396" s="43"/>
      <c r="AT1396" s="43"/>
      <c r="AU1396" s="43"/>
      <c r="AV1396" s="43"/>
    </row>
    <row r="1397" ht="15.75" spans="1:48">
      <c r="A1397" s="12">
        <v>1393</v>
      </c>
      <c r="B1397" s="44">
        <v>4352</v>
      </c>
      <c r="C1397" s="45" t="s">
        <v>132</v>
      </c>
      <c r="D1397" s="46" t="s">
        <v>81</v>
      </c>
      <c r="E1397" s="47" t="s">
        <v>113</v>
      </c>
      <c r="F1397" s="48">
        <v>10.5</v>
      </c>
      <c r="G1397" s="38">
        <v>1.5</v>
      </c>
      <c r="H1397" s="39"/>
      <c r="I1397" s="39"/>
      <c r="J1397" s="39"/>
      <c r="K1397" s="39"/>
      <c r="L1397" s="39"/>
      <c r="M1397" s="39"/>
      <c r="N1397" s="39"/>
      <c r="O1397" s="39"/>
      <c r="P1397" s="39"/>
      <c r="Q1397" s="39">
        <v>1.33</v>
      </c>
      <c r="R1397" s="39"/>
      <c r="S1397" s="39"/>
      <c r="T1397" s="39"/>
      <c r="U1397" s="39">
        <v>0.17</v>
      </c>
      <c r="V1397" s="39"/>
      <c r="W1397" s="39"/>
      <c r="X1397" s="49" t="s">
        <v>332</v>
      </c>
      <c r="Y1397" s="50">
        <v>63000</v>
      </c>
      <c r="Z1397" s="51">
        <v>68800</v>
      </c>
      <c r="AA1397" s="52">
        <f t="shared" si="32"/>
        <v>1.09206349206349</v>
      </c>
      <c r="AB1397" s="12">
        <v>68772</v>
      </c>
      <c r="AC1397" s="12">
        <v>28</v>
      </c>
      <c r="AD1397" s="43"/>
      <c r="AE1397" s="43"/>
      <c r="AF1397" s="43"/>
      <c r="AG1397" s="19">
        <v>28</v>
      </c>
      <c r="AH1397" s="43"/>
      <c r="AI1397" s="43"/>
      <c r="AJ1397" s="43"/>
      <c r="AK1397" s="43"/>
      <c r="AL1397" s="43"/>
      <c r="AM1397" s="43"/>
      <c r="AN1397" s="43"/>
      <c r="AO1397" s="43"/>
      <c r="AP1397" s="43"/>
      <c r="AQ1397" s="43"/>
      <c r="AR1397" s="43"/>
      <c r="AS1397" s="43"/>
      <c r="AT1397" s="43"/>
      <c r="AU1397" s="43"/>
      <c r="AV1397" s="43"/>
    </row>
    <row r="1398" ht="15.75" spans="1:48">
      <c r="A1398" s="12">
        <v>1394</v>
      </c>
      <c r="B1398" s="44">
        <v>4496</v>
      </c>
      <c r="C1398" s="45" t="s">
        <v>133</v>
      </c>
      <c r="D1398" s="46" t="s">
        <v>207</v>
      </c>
      <c r="E1398" s="47" t="s">
        <v>113</v>
      </c>
      <c r="F1398" s="48">
        <v>10.33</v>
      </c>
      <c r="G1398" s="38">
        <v>1.66</v>
      </c>
      <c r="H1398" s="39"/>
      <c r="I1398" s="39"/>
      <c r="J1398" s="39"/>
      <c r="K1398" s="39"/>
      <c r="L1398" s="39"/>
      <c r="M1398" s="39"/>
      <c r="N1398" s="39"/>
      <c r="O1398" s="39"/>
      <c r="P1398" s="39"/>
      <c r="Q1398" s="39">
        <v>1.33</v>
      </c>
      <c r="R1398" s="39"/>
      <c r="S1398" s="39"/>
      <c r="T1398" s="39"/>
      <c r="U1398" s="39">
        <v>0.33</v>
      </c>
      <c r="V1398" s="39"/>
      <c r="W1398" s="39"/>
      <c r="X1398" s="49" t="s">
        <v>79</v>
      </c>
      <c r="Y1398" s="50">
        <v>68797.8</v>
      </c>
      <c r="Z1398" s="51">
        <v>61120</v>
      </c>
      <c r="AA1398" s="52">
        <f t="shared" si="32"/>
        <v>0.888400501178817</v>
      </c>
      <c r="AB1398" s="12">
        <v>61080</v>
      </c>
      <c r="AC1398" s="12">
        <v>40</v>
      </c>
      <c r="AD1398" s="43"/>
      <c r="AE1398" s="43"/>
      <c r="AF1398" s="43"/>
      <c r="AG1398" s="19">
        <v>40</v>
      </c>
      <c r="AH1398" s="43"/>
      <c r="AI1398" s="43"/>
      <c r="AJ1398" s="43"/>
      <c r="AK1398" s="43"/>
      <c r="AL1398" s="43"/>
      <c r="AM1398" s="43"/>
      <c r="AN1398" s="43"/>
      <c r="AO1398" s="43"/>
      <c r="AP1398" s="43"/>
      <c r="AQ1398" s="43"/>
      <c r="AR1398" s="43"/>
      <c r="AS1398" s="43"/>
      <c r="AT1398" s="43"/>
      <c r="AU1398" s="43"/>
      <c r="AV1398" s="43"/>
    </row>
    <row r="1399" ht="15.75" spans="1:48">
      <c r="A1399" s="12">
        <v>1395</v>
      </c>
      <c r="B1399" s="44">
        <v>4496</v>
      </c>
      <c r="C1399" s="45" t="s">
        <v>133</v>
      </c>
      <c r="D1399" s="46" t="s">
        <v>83</v>
      </c>
      <c r="E1399" s="47" t="s">
        <v>113</v>
      </c>
      <c r="F1399" s="48">
        <v>10.33</v>
      </c>
      <c r="G1399" s="38">
        <v>1.66</v>
      </c>
      <c r="H1399" s="39"/>
      <c r="I1399" s="39"/>
      <c r="J1399" s="39"/>
      <c r="K1399" s="39"/>
      <c r="L1399" s="39"/>
      <c r="M1399" s="39"/>
      <c r="N1399" s="39"/>
      <c r="O1399" s="39"/>
      <c r="P1399" s="39"/>
      <c r="Q1399" s="39">
        <v>1.33</v>
      </c>
      <c r="R1399" s="39"/>
      <c r="S1399" s="39"/>
      <c r="T1399" s="39"/>
      <c r="U1399" s="39">
        <v>0.33</v>
      </c>
      <c r="V1399" s="39"/>
      <c r="W1399" s="39"/>
      <c r="X1399" s="49" t="s">
        <v>342</v>
      </c>
      <c r="Y1399" s="50">
        <v>46485</v>
      </c>
      <c r="Z1399" s="51">
        <v>46500</v>
      </c>
      <c r="AA1399" s="52">
        <f t="shared" si="32"/>
        <v>1.00032268473701</v>
      </c>
      <c r="AB1399" s="12">
        <v>46470</v>
      </c>
      <c r="AC1399" s="12">
        <v>30</v>
      </c>
      <c r="AD1399" s="43"/>
      <c r="AE1399" s="43"/>
      <c r="AF1399" s="43"/>
      <c r="AG1399" s="19">
        <v>30</v>
      </c>
      <c r="AH1399" s="43"/>
      <c r="AI1399" s="43"/>
      <c r="AJ1399" s="43"/>
      <c r="AK1399" s="43"/>
      <c r="AL1399" s="43"/>
      <c r="AM1399" s="43"/>
      <c r="AN1399" s="43"/>
      <c r="AO1399" s="43"/>
      <c r="AP1399" s="43"/>
      <c r="AQ1399" s="43"/>
      <c r="AR1399" s="43"/>
      <c r="AS1399" s="43"/>
      <c r="AT1399" s="43"/>
      <c r="AU1399" s="43"/>
      <c r="AV1399" s="43"/>
    </row>
    <row r="1400" ht="15.75" spans="1:48">
      <c r="A1400" s="12">
        <v>1396</v>
      </c>
      <c r="B1400" s="44">
        <v>4496</v>
      </c>
      <c r="C1400" s="45" t="s">
        <v>133</v>
      </c>
      <c r="D1400" s="46" t="s">
        <v>76</v>
      </c>
      <c r="E1400" s="47" t="s">
        <v>113</v>
      </c>
      <c r="F1400" s="48">
        <v>10.33</v>
      </c>
      <c r="G1400" s="38">
        <v>1.66</v>
      </c>
      <c r="H1400" s="39"/>
      <c r="I1400" s="39"/>
      <c r="J1400" s="39"/>
      <c r="K1400" s="39"/>
      <c r="L1400" s="39"/>
      <c r="M1400" s="39"/>
      <c r="N1400" s="39"/>
      <c r="O1400" s="39"/>
      <c r="P1400" s="39"/>
      <c r="Q1400" s="39">
        <v>1.33</v>
      </c>
      <c r="R1400" s="39"/>
      <c r="S1400" s="39"/>
      <c r="T1400" s="39"/>
      <c r="U1400" s="39">
        <v>0.33</v>
      </c>
      <c r="V1400" s="39"/>
      <c r="W1400" s="39"/>
      <c r="X1400" s="49" t="s">
        <v>77</v>
      </c>
      <c r="Y1400" s="50">
        <v>61980</v>
      </c>
      <c r="Z1400" s="51">
        <v>58112</v>
      </c>
      <c r="AA1400" s="52">
        <f t="shared" si="32"/>
        <v>0.937592771861891</v>
      </c>
      <c r="AB1400" s="12">
        <v>58096</v>
      </c>
      <c r="AC1400" s="12">
        <v>16</v>
      </c>
      <c r="AD1400" s="43"/>
      <c r="AE1400" s="43"/>
      <c r="AF1400" s="43"/>
      <c r="AG1400" s="19">
        <v>16</v>
      </c>
      <c r="AH1400" s="43"/>
      <c r="AI1400" s="43"/>
      <c r="AJ1400" s="43"/>
      <c r="AK1400" s="43"/>
      <c r="AL1400" s="43"/>
      <c r="AM1400" s="43"/>
      <c r="AN1400" s="43"/>
      <c r="AO1400" s="43"/>
      <c r="AP1400" s="43"/>
      <c r="AQ1400" s="43"/>
      <c r="AR1400" s="43"/>
      <c r="AS1400" s="43"/>
      <c r="AT1400" s="43"/>
      <c r="AU1400" s="43"/>
      <c r="AV1400" s="43"/>
    </row>
    <row r="1401" ht="15.75" spans="1:48">
      <c r="A1401" s="12">
        <v>1397</v>
      </c>
      <c r="B1401" s="44">
        <v>3919</v>
      </c>
      <c r="C1401" s="45" t="s">
        <v>137</v>
      </c>
      <c r="D1401" s="46"/>
      <c r="E1401" s="47" t="s">
        <v>113</v>
      </c>
      <c r="F1401" s="48">
        <v>10.67</v>
      </c>
      <c r="G1401" s="38">
        <v>1.33</v>
      </c>
      <c r="H1401" s="39"/>
      <c r="I1401" s="39"/>
      <c r="J1401" s="39"/>
      <c r="K1401" s="39"/>
      <c r="L1401" s="39"/>
      <c r="M1401" s="39"/>
      <c r="N1401" s="39"/>
      <c r="O1401" s="39"/>
      <c r="P1401" s="39"/>
      <c r="Q1401" s="39">
        <v>1.33</v>
      </c>
      <c r="R1401" s="39"/>
      <c r="S1401" s="39"/>
      <c r="T1401" s="39"/>
      <c r="U1401" s="39"/>
      <c r="V1401" s="39"/>
      <c r="W1401" s="39"/>
      <c r="X1401" s="49" t="s">
        <v>343</v>
      </c>
      <c r="Y1401" s="50">
        <v>0</v>
      </c>
      <c r="Z1401" s="51"/>
      <c r="AA1401" s="52">
        <f t="shared" si="32"/>
        <v>0</v>
      </c>
      <c r="AB1401" s="12">
        <v>0</v>
      </c>
      <c r="AC1401" s="12">
        <v>0</v>
      </c>
      <c r="AD1401" s="43"/>
      <c r="AE1401" s="43"/>
      <c r="AF1401" s="43"/>
      <c r="AG1401" s="43"/>
      <c r="AH1401" s="43"/>
      <c r="AI1401" s="43"/>
      <c r="AJ1401" s="43"/>
      <c r="AK1401" s="43"/>
      <c r="AL1401" s="43"/>
      <c r="AM1401" s="43"/>
      <c r="AN1401" s="43"/>
      <c r="AO1401" s="43"/>
      <c r="AP1401" s="43"/>
      <c r="AQ1401" s="43"/>
      <c r="AR1401" s="43"/>
      <c r="AS1401" s="43"/>
      <c r="AT1401" s="43"/>
      <c r="AU1401" s="43"/>
      <c r="AV1401" s="43"/>
    </row>
    <row r="1402" ht="15.75" spans="1:48">
      <c r="A1402" s="12">
        <v>1398</v>
      </c>
      <c r="B1402" s="44">
        <v>4017</v>
      </c>
      <c r="C1402" s="45" t="s">
        <v>148</v>
      </c>
      <c r="D1402" s="46">
        <v>17</v>
      </c>
      <c r="E1402" s="47" t="s">
        <v>113</v>
      </c>
      <c r="F1402" s="48">
        <v>9.67</v>
      </c>
      <c r="G1402" s="38">
        <v>2.34</v>
      </c>
      <c r="H1402" s="39"/>
      <c r="I1402" s="39"/>
      <c r="J1402" s="39"/>
      <c r="K1402" s="39">
        <v>0.17</v>
      </c>
      <c r="L1402" s="39"/>
      <c r="M1402" s="39"/>
      <c r="N1402" s="39"/>
      <c r="O1402" s="39"/>
      <c r="P1402" s="39"/>
      <c r="Q1402" s="39">
        <v>1.33</v>
      </c>
      <c r="R1402" s="39"/>
      <c r="S1402" s="39"/>
      <c r="T1402" s="39">
        <v>0.67</v>
      </c>
      <c r="U1402" s="39">
        <v>0.17</v>
      </c>
      <c r="V1402" s="39"/>
      <c r="W1402" s="39"/>
      <c r="X1402" s="49">
        <v>977</v>
      </c>
      <c r="Y1402" s="50">
        <v>2901</v>
      </c>
      <c r="Z1402" s="51">
        <v>1825</v>
      </c>
      <c r="AA1402" s="52">
        <f t="shared" si="32"/>
        <v>0.629093416063426</v>
      </c>
      <c r="AB1402" s="12">
        <v>1612</v>
      </c>
      <c r="AC1402" s="12">
        <v>213</v>
      </c>
      <c r="AD1402" s="19">
        <v>213</v>
      </c>
      <c r="AE1402" s="43"/>
      <c r="AF1402" s="43"/>
      <c r="AG1402" s="43"/>
      <c r="AH1402" s="43"/>
      <c r="AI1402" s="43"/>
      <c r="AJ1402" s="43"/>
      <c r="AK1402" s="43"/>
      <c r="AL1402" s="43"/>
      <c r="AM1402" s="43"/>
      <c r="AN1402" s="43"/>
      <c r="AO1402" s="43"/>
      <c r="AP1402" s="43"/>
      <c r="AQ1402" s="43"/>
      <c r="AR1402" s="43"/>
      <c r="AS1402" s="43"/>
      <c r="AT1402" s="43"/>
      <c r="AU1402" s="43"/>
      <c r="AV1402" s="43"/>
    </row>
    <row r="1403" ht="15.75" spans="1:48">
      <c r="A1403" s="12">
        <v>1399</v>
      </c>
      <c r="B1403" s="44">
        <v>4335</v>
      </c>
      <c r="C1403" s="45" t="s">
        <v>154</v>
      </c>
      <c r="D1403" s="46">
        <v>7</v>
      </c>
      <c r="E1403" s="47" t="s">
        <v>113</v>
      </c>
      <c r="F1403" s="48">
        <v>2</v>
      </c>
      <c r="G1403" s="38">
        <v>7.83</v>
      </c>
      <c r="H1403" s="39"/>
      <c r="I1403" s="39"/>
      <c r="J1403" s="39"/>
      <c r="K1403" s="39"/>
      <c r="L1403" s="39"/>
      <c r="M1403" s="39"/>
      <c r="N1403" s="39"/>
      <c r="O1403" s="39"/>
      <c r="P1403" s="39"/>
      <c r="Q1403" s="39">
        <v>1.33</v>
      </c>
      <c r="R1403" s="39"/>
      <c r="S1403" s="39">
        <v>6.5</v>
      </c>
      <c r="T1403" s="39"/>
      <c r="U1403" s="39"/>
      <c r="V1403" s="39"/>
      <c r="W1403" s="39"/>
      <c r="X1403" s="49" t="s">
        <v>95</v>
      </c>
      <c r="Y1403" s="50">
        <v>2800</v>
      </c>
      <c r="Z1403" s="51">
        <v>2450</v>
      </c>
      <c r="AA1403" s="52">
        <f t="shared" si="32"/>
        <v>0.875</v>
      </c>
      <c r="AB1403" s="12">
        <v>2450</v>
      </c>
      <c r="AC1403" s="12">
        <v>0</v>
      </c>
      <c r="AD1403" s="43"/>
      <c r="AE1403" s="43"/>
      <c r="AF1403" s="43"/>
      <c r="AG1403" s="43"/>
      <c r="AH1403" s="43"/>
      <c r="AI1403" s="43"/>
      <c r="AJ1403" s="43"/>
      <c r="AK1403" s="43"/>
      <c r="AL1403" s="43"/>
      <c r="AM1403" s="43"/>
      <c r="AN1403" s="43"/>
      <c r="AO1403" s="43"/>
      <c r="AP1403" s="43"/>
      <c r="AQ1403" s="43"/>
      <c r="AR1403" s="43"/>
      <c r="AS1403" s="43"/>
      <c r="AT1403" s="43"/>
      <c r="AU1403" s="43"/>
      <c r="AV1403" s="43"/>
    </row>
    <row r="1404" ht="15.75" spans="1:48">
      <c r="A1404" s="12">
        <v>1400</v>
      </c>
      <c r="B1404" s="44">
        <v>4490</v>
      </c>
      <c r="C1404" s="45" t="s">
        <v>91</v>
      </c>
      <c r="D1404" s="46">
        <v>15</v>
      </c>
      <c r="E1404" s="47" t="s">
        <v>113</v>
      </c>
      <c r="F1404" s="48">
        <v>5.67</v>
      </c>
      <c r="G1404" s="38">
        <v>2.33</v>
      </c>
      <c r="H1404" s="39"/>
      <c r="I1404" s="39"/>
      <c r="J1404" s="39"/>
      <c r="K1404" s="39"/>
      <c r="L1404" s="39"/>
      <c r="M1404" s="39"/>
      <c r="N1404" s="39"/>
      <c r="O1404" s="39"/>
      <c r="P1404" s="39"/>
      <c r="Q1404" s="39">
        <v>1.33</v>
      </c>
      <c r="R1404" s="39"/>
      <c r="S1404" s="39"/>
      <c r="T1404" s="39">
        <v>0.83</v>
      </c>
      <c r="U1404" s="39">
        <v>0.17</v>
      </c>
      <c r="V1404" s="39"/>
      <c r="W1404" s="39"/>
      <c r="X1404" s="49">
        <v>9149</v>
      </c>
      <c r="Y1404" s="50">
        <v>2041.2</v>
      </c>
      <c r="Z1404" s="51">
        <v>1918</v>
      </c>
      <c r="AA1404" s="52">
        <f t="shared" si="32"/>
        <v>0.939643347050754</v>
      </c>
      <c r="AB1404" s="12">
        <v>1813</v>
      </c>
      <c r="AC1404" s="12">
        <v>105</v>
      </c>
      <c r="AD1404" s="19">
        <v>105</v>
      </c>
      <c r="AE1404" s="43"/>
      <c r="AF1404" s="43"/>
      <c r="AG1404" s="43"/>
      <c r="AH1404" s="43"/>
      <c r="AI1404" s="43"/>
      <c r="AJ1404" s="43"/>
      <c r="AK1404" s="43"/>
      <c r="AL1404" s="43"/>
      <c r="AM1404" s="43"/>
      <c r="AN1404" s="43"/>
      <c r="AO1404" s="43"/>
      <c r="AP1404" s="43"/>
      <c r="AQ1404" s="43"/>
      <c r="AR1404" s="43"/>
      <c r="AS1404" s="43"/>
      <c r="AT1404" s="43"/>
      <c r="AU1404" s="43"/>
      <c r="AV1404" s="43"/>
    </row>
    <row r="1405" ht="15.75" spans="1:48">
      <c r="A1405" s="12">
        <v>1401</v>
      </c>
      <c r="B1405" s="44">
        <v>947</v>
      </c>
      <c r="C1405" s="45" t="s">
        <v>143</v>
      </c>
      <c r="D1405" s="46">
        <v>8</v>
      </c>
      <c r="E1405" s="47" t="s">
        <v>113</v>
      </c>
      <c r="F1405" s="48">
        <v>6.5</v>
      </c>
      <c r="G1405" s="38">
        <v>1.83</v>
      </c>
      <c r="H1405" s="39"/>
      <c r="I1405" s="39"/>
      <c r="J1405" s="39"/>
      <c r="K1405" s="39"/>
      <c r="L1405" s="39"/>
      <c r="M1405" s="39"/>
      <c r="N1405" s="39"/>
      <c r="O1405" s="39"/>
      <c r="P1405" s="39"/>
      <c r="Q1405" s="39">
        <v>1.33</v>
      </c>
      <c r="R1405" s="39"/>
      <c r="S1405" s="39"/>
      <c r="T1405" s="39">
        <v>0.33</v>
      </c>
      <c r="U1405" s="39">
        <v>0.17</v>
      </c>
      <c r="V1405" s="39"/>
      <c r="W1405" s="39"/>
      <c r="X1405" s="49"/>
      <c r="Y1405" s="50">
        <v>0</v>
      </c>
      <c r="Z1405" s="51"/>
      <c r="AA1405" s="52">
        <f t="shared" si="32"/>
        <v>0</v>
      </c>
      <c r="AB1405" s="12">
        <v>0</v>
      </c>
      <c r="AC1405" s="12">
        <v>0</v>
      </c>
      <c r="AD1405" s="43"/>
      <c r="AE1405" s="43"/>
      <c r="AF1405" s="43"/>
      <c r="AG1405" s="43"/>
      <c r="AH1405" s="43"/>
      <c r="AI1405" s="43"/>
      <c r="AJ1405" s="43"/>
      <c r="AK1405" s="43"/>
      <c r="AL1405" s="43"/>
      <c r="AM1405" s="43"/>
      <c r="AN1405" s="43"/>
      <c r="AO1405" s="43"/>
      <c r="AP1405" s="43"/>
      <c r="AQ1405" s="43"/>
      <c r="AR1405" s="43"/>
      <c r="AS1405" s="43"/>
      <c r="AT1405" s="43"/>
      <c r="AU1405" s="43"/>
      <c r="AV1405" s="43"/>
    </row>
    <row r="1406" ht="15.75" spans="1:48">
      <c r="A1406" s="12">
        <v>1402</v>
      </c>
      <c r="B1406" s="44">
        <v>551</v>
      </c>
      <c r="C1406" s="45" t="s">
        <v>146</v>
      </c>
      <c r="D1406" s="46">
        <v>2</v>
      </c>
      <c r="E1406" s="47" t="s">
        <v>113</v>
      </c>
      <c r="F1406" s="48">
        <v>7.5</v>
      </c>
      <c r="G1406" s="38">
        <v>2</v>
      </c>
      <c r="H1406" s="39"/>
      <c r="I1406" s="39"/>
      <c r="J1406" s="39">
        <v>0.33</v>
      </c>
      <c r="K1406" s="39"/>
      <c r="L1406" s="39"/>
      <c r="M1406" s="39"/>
      <c r="N1406" s="39"/>
      <c r="O1406" s="39"/>
      <c r="P1406" s="39"/>
      <c r="Q1406" s="39">
        <v>1.33</v>
      </c>
      <c r="R1406" s="39"/>
      <c r="S1406" s="39"/>
      <c r="T1406" s="39">
        <v>0.17</v>
      </c>
      <c r="U1406" s="39">
        <v>0.17</v>
      </c>
      <c r="V1406" s="39"/>
      <c r="W1406" s="39"/>
      <c r="X1406" s="49">
        <v>8234</v>
      </c>
      <c r="Y1406" s="50">
        <v>4950</v>
      </c>
      <c r="Z1406" s="51">
        <v>5000</v>
      </c>
      <c r="AA1406" s="52">
        <f t="shared" si="32"/>
        <v>1.01010101010101</v>
      </c>
      <c r="AB1406" s="12">
        <v>4959</v>
      </c>
      <c r="AC1406" s="12">
        <v>41</v>
      </c>
      <c r="AD1406" s="19">
        <v>41</v>
      </c>
      <c r="AE1406" s="43"/>
      <c r="AF1406" s="43"/>
      <c r="AG1406" s="43"/>
      <c r="AH1406" s="43"/>
      <c r="AI1406" s="43"/>
      <c r="AJ1406" s="43"/>
      <c r="AK1406" s="43"/>
      <c r="AL1406" s="43"/>
      <c r="AM1406" s="43"/>
      <c r="AN1406" s="43"/>
      <c r="AO1406" s="43"/>
      <c r="AP1406" s="43"/>
      <c r="AQ1406" s="43"/>
      <c r="AR1406" s="43"/>
      <c r="AS1406" s="43"/>
      <c r="AT1406" s="43"/>
      <c r="AU1406" s="43"/>
      <c r="AV1406" s="43"/>
    </row>
    <row r="1407" ht="15.75" spans="1:48">
      <c r="A1407" s="12">
        <v>1403</v>
      </c>
      <c r="B1407" s="44">
        <v>2865</v>
      </c>
      <c r="C1407" s="45" t="s">
        <v>149</v>
      </c>
      <c r="D1407" s="46">
        <v>6</v>
      </c>
      <c r="E1407" s="47" t="s">
        <v>113</v>
      </c>
      <c r="F1407" s="48">
        <v>5.5</v>
      </c>
      <c r="G1407" s="38">
        <v>1.5</v>
      </c>
      <c r="H1407" s="39"/>
      <c r="I1407" s="39"/>
      <c r="J1407" s="39"/>
      <c r="K1407" s="39"/>
      <c r="L1407" s="39"/>
      <c r="M1407" s="39"/>
      <c r="N1407" s="39"/>
      <c r="O1407" s="39"/>
      <c r="P1407" s="39"/>
      <c r="Q1407" s="39">
        <v>1.33</v>
      </c>
      <c r="R1407" s="39"/>
      <c r="S1407" s="39"/>
      <c r="T1407" s="39"/>
      <c r="U1407" s="39">
        <v>0.17</v>
      </c>
      <c r="V1407" s="39"/>
      <c r="W1407" s="39"/>
      <c r="X1407" s="49">
        <v>1090</v>
      </c>
      <c r="Y1407" s="50">
        <v>3630</v>
      </c>
      <c r="Z1407" s="51">
        <v>3750</v>
      </c>
      <c r="AA1407" s="52">
        <f t="shared" si="32"/>
        <v>1.03305785123967</v>
      </c>
      <c r="AB1407" s="12">
        <v>3750</v>
      </c>
      <c r="AC1407" s="12">
        <v>0</v>
      </c>
      <c r="AD1407" s="43"/>
      <c r="AE1407" s="43"/>
      <c r="AF1407" s="43"/>
      <c r="AG1407" s="43"/>
      <c r="AH1407" s="43"/>
      <c r="AI1407" s="43"/>
      <c r="AJ1407" s="43"/>
      <c r="AK1407" s="43"/>
      <c r="AL1407" s="43"/>
      <c r="AM1407" s="43"/>
      <c r="AN1407" s="43"/>
      <c r="AO1407" s="43"/>
      <c r="AP1407" s="43"/>
      <c r="AQ1407" s="43"/>
      <c r="AR1407" s="43"/>
      <c r="AS1407" s="43"/>
      <c r="AT1407" s="43"/>
      <c r="AU1407" s="43"/>
      <c r="AV1407" s="43"/>
    </row>
    <row r="1408" ht="15.75" spans="1:48">
      <c r="A1408" s="12">
        <v>1404</v>
      </c>
      <c r="B1408" s="44">
        <v>4342</v>
      </c>
      <c r="C1408" s="45" t="s">
        <v>147</v>
      </c>
      <c r="D1408" s="46"/>
      <c r="E1408" s="47" t="s">
        <v>113</v>
      </c>
      <c r="F1408" s="48">
        <v>10</v>
      </c>
      <c r="G1408" s="38">
        <v>2</v>
      </c>
      <c r="H1408" s="39"/>
      <c r="I1408" s="39"/>
      <c r="J1408" s="39"/>
      <c r="K1408" s="39"/>
      <c r="L1408" s="39"/>
      <c r="M1408" s="39"/>
      <c r="N1408" s="39"/>
      <c r="O1408" s="39"/>
      <c r="P1408" s="39"/>
      <c r="Q1408" s="39">
        <v>1.33</v>
      </c>
      <c r="R1408" s="39"/>
      <c r="S1408" s="39"/>
      <c r="T1408" s="39">
        <v>0.5</v>
      </c>
      <c r="U1408" s="39">
        <v>0.17</v>
      </c>
      <c r="V1408" s="39"/>
      <c r="W1408" s="39"/>
      <c r="X1408" s="49" t="s">
        <v>98</v>
      </c>
      <c r="Y1408" s="50">
        <v>4700</v>
      </c>
      <c r="Z1408" s="51">
        <v>4500</v>
      </c>
      <c r="AA1408" s="52">
        <f t="shared" si="32"/>
        <v>0.957446808510638</v>
      </c>
      <c r="AB1408" s="12">
        <v>4500</v>
      </c>
      <c r="AC1408" s="12">
        <v>0</v>
      </c>
      <c r="AD1408" s="43"/>
      <c r="AE1408" s="43"/>
      <c r="AF1408" s="43"/>
      <c r="AG1408" s="43"/>
      <c r="AH1408" s="43"/>
      <c r="AI1408" s="43"/>
      <c r="AJ1408" s="43"/>
      <c r="AK1408" s="43"/>
      <c r="AL1408" s="43"/>
      <c r="AM1408" s="43"/>
      <c r="AN1408" s="43"/>
      <c r="AO1408" s="43"/>
      <c r="AP1408" s="43"/>
      <c r="AQ1408" s="43"/>
      <c r="AR1408" s="43"/>
      <c r="AS1408" s="43"/>
      <c r="AT1408" s="43"/>
      <c r="AU1408" s="43"/>
      <c r="AV1408" s="43"/>
    </row>
    <row r="1409" ht="15.75" spans="1:48">
      <c r="A1409" s="12">
        <v>1405</v>
      </c>
      <c r="B1409" s="44">
        <v>692</v>
      </c>
      <c r="C1409" s="45" t="s">
        <v>142</v>
      </c>
      <c r="D1409" s="46"/>
      <c r="E1409" s="47" t="s">
        <v>113</v>
      </c>
      <c r="F1409" s="48">
        <v>8.67</v>
      </c>
      <c r="G1409" s="38">
        <v>3.33</v>
      </c>
      <c r="H1409" s="39"/>
      <c r="I1409" s="39"/>
      <c r="J1409" s="39"/>
      <c r="K1409" s="39"/>
      <c r="L1409" s="39"/>
      <c r="M1409" s="39"/>
      <c r="N1409" s="39"/>
      <c r="O1409" s="39"/>
      <c r="P1409" s="39"/>
      <c r="Q1409" s="39">
        <v>1.33</v>
      </c>
      <c r="R1409" s="39"/>
      <c r="S1409" s="39"/>
      <c r="T1409" s="39">
        <v>1.83</v>
      </c>
      <c r="U1409" s="39">
        <v>0.17</v>
      </c>
      <c r="V1409" s="39"/>
      <c r="W1409" s="39"/>
      <c r="X1409" s="49" t="s">
        <v>98</v>
      </c>
      <c r="Y1409" s="50">
        <v>4074.9</v>
      </c>
      <c r="Z1409" s="51">
        <v>3780</v>
      </c>
      <c r="AA1409" s="52">
        <f t="shared" si="32"/>
        <v>0.92763012589266</v>
      </c>
      <c r="AB1409" s="12">
        <v>3780</v>
      </c>
      <c r="AC1409" s="12">
        <v>0</v>
      </c>
      <c r="AD1409" s="43"/>
      <c r="AE1409" s="43"/>
      <c r="AF1409" s="43"/>
      <c r="AG1409" s="43"/>
      <c r="AH1409" s="43"/>
      <c r="AI1409" s="43"/>
      <c r="AJ1409" s="43"/>
      <c r="AK1409" s="43"/>
      <c r="AL1409" s="43"/>
      <c r="AM1409" s="43"/>
      <c r="AN1409" s="43"/>
      <c r="AO1409" s="43"/>
      <c r="AP1409" s="43"/>
      <c r="AQ1409" s="43"/>
      <c r="AR1409" s="43"/>
      <c r="AS1409" s="43"/>
      <c r="AT1409" s="43"/>
      <c r="AU1409" s="43"/>
      <c r="AV1409" s="43"/>
    </row>
    <row r="1410" ht="15.75" spans="1:48">
      <c r="A1410" s="12">
        <v>1406</v>
      </c>
      <c r="B1410" s="44">
        <v>4110</v>
      </c>
      <c r="C1410" s="45" t="s">
        <v>135</v>
      </c>
      <c r="D1410" s="46"/>
      <c r="E1410" s="47" t="s">
        <v>113</v>
      </c>
      <c r="F1410" s="48">
        <v>9</v>
      </c>
      <c r="G1410" s="38">
        <v>3</v>
      </c>
      <c r="H1410" s="39"/>
      <c r="I1410" s="39"/>
      <c r="J1410" s="39"/>
      <c r="K1410" s="39"/>
      <c r="L1410" s="39"/>
      <c r="M1410" s="39"/>
      <c r="N1410" s="39"/>
      <c r="O1410" s="39"/>
      <c r="P1410" s="39"/>
      <c r="Q1410" s="39">
        <v>1.33</v>
      </c>
      <c r="R1410" s="39"/>
      <c r="S1410" s="39"/>
      <c r="T1410" s="39">
        <v>1.5</v>
      </c>
      <c r="U1410" s="39">
        <v>0.17</v>
      </c>
      <c r="V1410" s="39"/>
      <c r="W1410" s="39"/>
      <c r="X1410" s="49">
        <v>2801</v>
      </c>
      <c r="Y1410" s="50">
        <v>5445</v>
      </c>
      <c r="Z1410" s="51">
        <v>5400</v>
      </c>
      <c r="AA1410" s="52">
        <f t="shared" si="32"/>
        <v>0.991735537190083</v>
      </c>
      <c r="AB1410" s="12">
        <v>5111</v>
      </c>
      <c r="AC1410" s="12">
        <v>289</v>
      </c>
      <c r="AD1410" s="19">
        <v>289</v>
      </c>
      <c r="AE1410" s="43"/>
      <c r="AF1410" s="43"/>
      <c r="AG1410" s="43"/>
      <c r="AH1410" s="43"/>
      <c r="AI1410" s="43"/>
      <c r="AJ1410" s="43"/>
      <c r="AK1410" s="43"/>
      <c r="AL1410" s="43"/>
      <c r="AM1410" s="43"/>
      <c r="AN1410" s="43"/>
      <c r="AO1410" s="43"/>
      <c r="AP1410" s="43"/>
      <c r="AQ1410" s="43"/>
      <c r="AR1410" s="43"/>
      <c r="AS1410" s="43"/>
      <c r="AT1410" s="43"/>
      <c r="AU1410" s="43"/>
      <c r="AV1410" s="43"/>
    </row>
    <row r="1411" ht="15.75" spans="1:48">
      <c r="A1411" s="12">
        <v>1407</v>
      </c>
      <c r="B1411" s="44">
        <v>4384</v>
      </c>
      <c r="C1411" s="45" t="s">
        <v>145</v>
      </c>
      <c r="D1411" s="46"/>
      <c r="E1411" s="47" t="s">
        <v>113</v>
      </c>
      <c r="F1411" s="48">
        <v>9.83</v>
      </c>
      <c r="G1411" s="38">
        <v>1.84</v>
      </c>
      <c r="H1411" s="39"/>
      <c r="I1411" s="39"/>
      <c r="J1411" s="39">
        <v>0.17</v>
      </c>
      <c r="K1411" s="39">
        <v>0.17</v>
      </c>
      <c r="L1411" s="39"/>
      <c r="M1411" s="39"/>
      <c r="N1411" s="39"/>
      <c r="O1411" s="39"/>
      <c r="P1411" s="39"/>
      <c r="Q1411" s="39">
        <v>1.33</v>
      </c>
      <c r="R1411" s="39"/>
      <c r="S1411" s="39"/>
      <c r="T1411" s="39"/>
      <c r="U1411" s="39">
        <v>0.17</v>
      </c>
      <c r="V1411" s="39"/>
      <c r="W1411" s="39"/>
      <c r="X1411" s="49" t="s">
        <v>96</v>
      </c>
      <c r="Y1411" s="50">
        <v>14253.5</v>
      </c>
      <c r="Z1411" s="51">
        <v>14320</v>
      </c>
      <c r="AA1411" s="52">
        <f t="shared" si="32"/>
        <v>1.00466552074929</v>
      </c>
      <c r="AB1411" s="12">
        <v>14320</v>
      </c>
      <c r="AC1411" s="12">
        <v>0</v>
      </c>
      <c r="AD1411" s="43"/>
      <c r="AE1411" s="43"/>
      <c r="AF1411" s="43"/>
      <c r="AG1411" s="43"/>
      <c r="AH1411" s="43"/>
      <c r="AI1411" s="43"/>
      <c r="AJ1411" s="43"/>
      <c r="AK1411" s="43"/>
      <c r="AL1411" s="43"/>
      <c r="AM1411" s="43"/>
      <c r="AN1411" s="43"/>
      <c r="AO1411" s="43"/>
      <c r="AP1411" s="43"/>
      <c r="AQ1411" s="43"/>
      <c r="AR1411" s="43"/>
      <c r="AS1411" s="43"/>
      <c r="AT1411" s="43"/>
      <c r="AU1411" s="43"/>
      <c r="AV1411" s="43"/>
    </row>
    <row r="1412" ht="15.75" spans="1:48">
      <c r="A1412" s="12">
        <v>1408</v>
      </c>
      <c r="B1412" s="44">
        <v>4384</v>
      </c>
      <c r="C1412" s="45" t="s">
        <v>145</v>
      </c>
      <c r="D1412" s="46"/>
      <c r="E1412" s="47" t="s">
        <v>113</v>
      </c>
      <c r="F1412" s="48">
        <v>0.33</v>
      </c>
      <c r="G1412" s="38">
        <v>0</v>
      </c>
      <c r="H1412" s="39"/>
      <c r="I1412" s="39"/>
      <c r="J1412" s="39"/>
      <c r="K1412" s="39"/>
      <c r="L1412" s="39"/>
      <c r="M1412" s="39"/>
      <c r="N1412" s="39"/>
      <c r="O1412" s="39"/>
      <c r="P1412" s="39"/>
      <c r="Q1412" s="39"/>
      <c r="R1412" s="39"/>
      <c r="S1412" s="39"/>
      <c r="T1412" s="39"/>
      <c r="U1412" s="39"/>
      <c r="V1412" s="39"/>
      <c r="W1412" s="39"/>
      <c r="X1412" s="49" t="s">
        <v>98</v>
      </c>
      <c r="Y1412" s="50">
        <v>155.1</v>
      </c>
      <c r="Z1412" s="51">
        <v>180</v>
      </c>
      <c r="AA1412" s="52">
        <f t="shared" si="32"/>
        <v>1.1605415860735</v>
      </c>
      <c r="AB1412" s="12">
        <v>180</v>
      </c>
      <c r="AC1412" s="12">
        <v>0</v>
      </c>
      <c r="AD1412" s="43"/>
      <c r="AE1412" s="43"/>
      <c r="AF1412" s="43"/>
      <c r="AG1412" s="43"/>
      <c r="AH1412" s="43"/>
      <c r="AI1412" s="43"/>
      <c r="AJ1412" s="43"/>
      <c r="AK1412" s="43"/>
      <c r="AL1412" s="43"/>
      <c r="AM1412" s="43"/>
      <c r="AN1412" s="43"/>
      <c r="AO1412" s="43"/>
      <c r="AP1412" s="43"/>
      <c r="AQ1412" s="43"/>
      <c r="AR1412" s="43"/>
      <c r="AS1412" s="43"/>
      <c r="AT1412" s="43"/>
      <c r="AU1412" s="43"/>
      <c r="AV1412" s="43"/>
    </row>
    <row r="1413" ht="15.75" spans="1:48">
      <c r="A1413" s="12">
        <v>1409</v>
      </c>
      <c r="B1413" s="44">
        <v>4489</v>
      </c>
      <c r="C1413" s="45" t="s">
        <v>88</v>
      </c>
      <c r="D1413" s="46"/>
      <c r="E1413" s="47" t="s">
        <v>113</v>
      </c>
      <c r="F1413" s="48">
        <v>10.33</v>
      </c>
      <c r="G1413" s="38">
        <v>1.67</v>
      </c>
      <c r="H1413" s="39"/>
      <c r="I1413" s="39"/>
      <c r="J1413" s="39"/>
      <c r="K1413" s="39"/>
      <c r="L1413" s="39"/>
      <c r="M1413" s="39"/>
      <c r="N1413" s="39"/>
      <c r="O1413" s="39"/>
      <c r="P1413" s="39"/>
      <c r="Q1413" s="39">
        <v>1.33</v>
      </c>
      <c r="R1413" s="39"/>
      <c r="S1413" s="39"/>
      <c r="T1413" s="39">
        <v>0.17</v>
      </c>
      <c r="U1413" s="39">
        <v>0.17</v>
      </c>
      <c r="V1413" s="39"/>
      <c r="W1413" s="39"/>
      <c r="X1413" s="49">
        <v>5770</v>
      </c>
      <c r="Y1413" s="50">
        <v>6249.65</v>
      </c>
      <c r="Z1413" s="51">
        <v>6230</v>
      </c>
      <c r="AA1413" s="52">
        <f t="shared" si="32"/>
        <v>0.99685582392614</v>
      </c>
      <c r="AB1413" s="12">
        <v>6194</v>
      </c>
      <c r="AC1413" s="12">
        <v>36</v>
      </c>
      <c r="AD1413" s="19">
        <v>36</v>
      </c>
      <c r="AE1413" s="43"/>
      <c r="AF1413" s="43"/>
      <c r="AG1413" s="43"/>
      <c r="AH1413" s="43"/>
      <c r="AI1413" s="43"/>
      <c r="AJ1413" s="43"/>
      <c r="AK1413" s="43"/>
      <c r="AL1413" s="43"/>
      <c r="AM1413" s="43"/>
      <c r="AN1413" s="43"/>
      <c r="AO1413" s="43"/>
      <c r="AP1413" s="43"/>
      <c r="AQ1413" s="43"/>
      <c r="AR1413" s="43"/>
      <c r="AS1413" s="43"/>
      <c r="AT1413" s="43"/>
      <c r="AU1413" s="43"/>
      <c r="AV1413" s="43"/>
    </row>
    <row r="1414" ht="15.75" spans="1:48">
      <c r="A1414" s="12">
        <v>1410</v>
      </c>
      <c r="B1414" s="44">
        <v>4490</v>
      </c>
      <c r="C1414" s="45" t="s">
        <v>91</v>
      </c>
      <c r="D1414" s="46"/>
      <c r="E1414" s="47" t="s">
        <v>113</v>
      </c>
      <c r="F1414" s="48">
        <v>4</v>
      </c>
      <c r="G1414" s="38">
        <v>0</v>
      </c>
      <c r="H1414" s="39"/>
      <c r="I1414" s="39"/>
      <c r="J1414" s="39"/>
      <c r="K1414" s="39"/>
      <c r="L1414" s="39"/>
      <c r="M1414" s="39"/>
      <c r="N1414" s="39"/>
      <c r="O1414" s="39"/>
      <c r="P1414" s="39"/>
      <c r="Q1414" s="39"/>
      <c r="R1414" s="39"/>
      <c r="S1414" s="39"/>
      <c r="T1414" s="39"/>
      <c r="U1414" s="39"/>
      <c r="V1414" s="39"/>
      <c r="W1414" s="39"/>
      <c r="X1414" s="49" t="s">
        <v>103</v>
      </c>
      <c r="Y1414" s="50">
        <v>3360</v>
      </c>
      <c r="Z1414" s="51">
        <v>1918</v>
      </c>
      <c r="AA1414" s="52">
        <f t="shared" si="32"/>
        <v>0.570833333333333</v>
      </c>
      <c r="AB1414" s="12">
        <v>1918</v>
      </c>
      <c r="AC1414" s="12">
        <v>0</v>
      </c>
      <c r="AD1414" s="43"/>
      <c r="AE1414" s="43"/>
      <c r="AF1414" s="43"/>
      <c r="AG1414" s="43"/>
      <c r="AH1414" s="43"/>
      <c r="AI1414" s="43"/>
      <c r="AJ1414" s="43"/>
      <c r="AK1414" s="43"/>
      <c r="AL1414" s="43"/>
      <c r="AM1414" s="43"/>
      <c r="AN1414" s="43"/>
      <c r="AO1414" s="43"/>
      <c r="AP1414" s="43"/>
      <c r="AQ1414" s="43"/>
      <c r="AR1414" s="43"/>
      <c r="AS1414" s="43"/>
      <c r="AT1414" s="43"/>
      <c r="AU1414" s="43"/>
      <c r="AV1414" s="43"/>
    </row>
    <row r="1415" ht="15.75" spans="1:48">
      <c r="A1415" s="12">
        <v>1411</v>
      </c>
      <c r="B1415" s="44">
        <v>4335</v>
      </c>
      <c r="C1415" s="45" t="s">
        <v>154</v>
      </c>
      <c r="D1415" s="46"/>
      <c r="E1415" s="47" t="s">
        <v>113</v>
      </c>
      <c r="F1415" s="48">
        <v>2.17</v>
      </c>
      <c r="G1415" s="38">
        <v>0</v>
      </c>
      <c r="H1415" s="39"/>
      <c r="I1415" s="39"/>
      <c r="J1415" s="39"/>
      <c r="K1415" s="39"/>
      <c r="L1415" s="39"/>
      <c r="M1415" s="39"/>
      <c r="N1415" s="39"/>
      <c r="O1415" s="39"/>
      <c r="P1415" s="39"/>
      <c r="Q1415" s="39"/>
      <c r="R1415" s="39"/>
      <c r="S1415" s="39"/>
      <c r="T1415" s="39"/>
      <c r="U1415" s="39"/>
      <c r="V1415" s="39"/>
      <c r="W1415" s="39"/>
      <c r="X1415" s="49" t="s">
        <v>103</v>
      </c>
      <c r="Y1415" s="50">
        <v>1822.8</v>
      </c>
      <c r="Z1415" s="51">
        <v>1800</v>
      </c>
      <c r="AA1415" s="52">
        <f t="shared" si="32"/>
        <v>0.987491770901909</v>
      </c>
      <c r="AB1415" s="12">
        <v>1800</v>
      </c>
      <c r="AC1415" s="12">
        <v>0</v>
      </c>
      <c r="AD1415" s="43"/>
      <c r="AE1415" s="43"/>
      <c r="AF1415" s="43"/>
      <c r="AG1415" s="43"/>
      <c r="AH1415" s="43"/>
      <c r="AI1415" s="43"/>
      <c r="AJ1415" s="43"/>
      <c r="AK1415" s="43"/>
      <c r="AL1415" s="43"/>
      <c r="AM1415" s="43"/>
      <c r="AN1415" s="43"/>
      <c r="AO1415" s="43"/>
      <c r="AP1415" s="43"/>
      <c r="AQ1415" s="43"/>
      <c r="AR1415" s="43"/>
      <c r="AS1415" s="43"/>
      <c r="AT1415" s="43"/>
      <c r="AU1415" s="43"/>
      <c r="AV1415" s="43"/>
    </row>
    <row r="1416" ht="15.75" spans="1:48">
      <c r="A1416" s="12">
        <v>1412</v>
      </c>
      <c r="B1416" s="44">
        <v>947</v>
      </c>
      <c r="C1416" s="45" t="s">
        <v>143</v>
      </c>
      <c r="D1416" s="46"/>
      <c r="E1416" s="47" t="s">
        <v>113</v>
      </c>
      <c r="F1416" s="48">
        <v>3.67</v>
      </c>
      <c r="G1416" s="38">
        <v>0</v>
      </c>
      <c r="H1416" s="39"/>
      <c r="I1416" s="39"/>
      <c r="J1416" s="39"/>
      <c r="K1416" s="39"/>
      <c r="L1416" s="39"/>
      <c r="M1416" s="39"/>
      <c r="N1416" s="39"/>
      <c r="O1416" s="39"/>
      <c r="P1416" s="39"/>
      <c r="Q1416" s="39"/>
      <c r="R1416" s="39"/>
      <c r="S1416" s="39"/>
      <c r="T1416" s="39"/>
      <c r="U1416" s="39"/>
      <c r="V1416" s="39"/>
      <c r="W1416" s="39"/>
      <c r="X1416" s="49" t="s">
        <v>103</v>
      </c>
      <c r="Y1416" s="50">
        <v>3082.8</v>
      </c>
      <c r="Z1416" s="51">
        <v>3120</v>
      </c>
      <c r="AA1416" s="52">
        <f t="shared" si="32"/>
        <v>1.01206695212145</v>
      </c>
      <c r="AB1416" s="12">
        <v>3120</v>
      </c>
      <c r="AC1416" s="12">
        <v>0</v>
      </c>
      <c r="AD1416" s="43"/>
      <c r="AE1416" s="43"/>
      <c r="AF1416" s="43"/>
      <c r="AG1416" s="43"/>
      <c r="AH1416" s="43"/>
      <c r="AI1416" s="43"/>
      <c r="AJ1416" s="43"/>
      <c r="AK1416" s="43"/>
      <c r="AL1416" s="43"/>
      <c r="AM1416" s="43"/>
      <c r="AN1416" s="43"/>
      <c r="AO1416" s="43"/>
      <c r="AP1416" s="43"/>
      <c r="AQ1416" s="43"/>
      <c r="AR1416" s="43"/>
      <c r="AS1416" s="43"/>
      <c r="AT1416" s="43"/>
      <c r="AU1416" s="43"/>
      <c r="AV1416" s="43"/>
    </row>
    <row r="1417" ht="15.75" spans="1:48">
      <c r="A1417" s="12">
        <v>1413</v>
      </c>
      <c r="B1417" s="44" t="s">
        <v>275</v>
      </c>
      <c r="C1417" s="45" t="s">
        <v>253</v>
      </c>
      <c r="D1417" s="46"/>
      <c r="E1417" s="47" t="s">
        <v>113</v>
      </c>
      <c r="F1417" s="48">
        <v>7</v>
      </c>
      <c r="G1417" s="38">
        <v>1</v>
      </c>
      <c r="H1417" s="39"/>
      <c r="I1417" s="39"/>
      <c r="J1417" s="39"/>
      <c r="K1417" s="39"/>
      <c r="L1417" s="39"/>
      <c r="M1417" s="39"/>
      <c r="N1417" s="39"/>
      <c r="O1417" s="39"/>
      <c r="P1417" s="39"/>
      <c r="Q1417" s="39">
        <v>1</v>
      </c>
      <c r="R1417" s="39"/>
      <c r="S1417" s="39"/>
      <c r="T1417" s="39"/>
      <c r="U1417" s="39"/>
      <c r="V1417" s="39"/>
      <c r="W1417" s="39"/>
      <c r="X1417" s="49" t="s">
        <v>105</v>
      </c>
      <c r="Y1417" s="50">
        <v>4620</v>
      </c>
      <c r="Z1417" s="51">
        <v>3800</v>
      </c>
      <c r="AA1417" s="52">
        <f t="shared" si="32"/>
        <v>0.822510822510823</v>
      </c>
      <c r="AB1417" s="12">
        <v>3800</v>
      </c>
      <c r="AC1417" s="12">
        <v>0</v>
      </c>
      <c r="AD1417" s="43"/>
      <c r="AE1417" s="43"/>
      <c r="AF1417" s="43"/>
      <c r="AG1417" s="43"/>
      <c r="AH1417" s="43"/>
      <c r="AI1417" s="43"/>
      <c r="AJ1417" s="43"/>
      <c r="AK1417" s="43"/>
      <c r="AL1417" s="43"/>
      <c r="AM1417" s="43"/>
      <c r="AN1417" s="43"/>
      <c r="AO1417" s="43"/>
      <c r="AP1417" s="43"/>
      <c r="AQ1417" s="43"/>
      <c r="AR1417" s="43"/>
      <c r="AS1417" s="43"/>
      <c r="AT1417" s="43"/>
      <c r="AU1417" s="43"/>
      <c r="AV1417" s="43"/>
    </row>
    <row r="1418" ht="15.75" spans="1:48">
      <c r="A1418" s="12">
        <v>1414</v>
      </c>
      <c r="B1418" s="44">
        <v>849</v>
      </c>
      <c r="C1418" s="45" t="s">
        <v>108</v>
      </c>
      <c r="D1418" s="46"/>
      <c r="E1418" s="47" t="s">
        <v>113</v>
      </c>
      <c r="F1418" s="48">
        <v>10.67</v>
      </c>
      <c r="G1418" s="38">
        <v>1.33</v>
      </c>
      <c r="H1418" s="39"/>
      <c r="I1418" s="39"/>
      <c r="J1418" s="39"/>
      <c r="K1418" s="39"/>
      <c r="L1418" s="39"/>
      <c r="M1418" s="39"/>
      <c r="N1418" s="39"/>
      <c r="O1418" s="39"/>
      <c r="P1418" s="39"/>
      <c r="Q1418" s="39">
        <v>1.33</v>
      </c>
      <c r="R1418" s="39"/>
      <c r="S1418" s="39"/>
      <c r="T1418" s="39"/>
      <c r="U1418" s="39"/>
      <c r="V1418" s="39"/>
      <c r="W1418" s="39"/>
      <c r="X1418" s="49" t="s">
        <v>103</v>
      </c>
      <c r="Y1418" s="50">
        <v>8962.8</v>
      </c>
      <c r="Z1418" s="51">
        <v>6194</v>
      </c>
      <c r="AA1418" s="52">
        <f t="shared" si="32"/>
        <v>0.691078680769402</v>
      </c>
      <c r="AB1418" s="12">
        <v>6194</v>
      </c>
      <c r="AC1418" s="12">
        <v>0</v>
      </c>
      <c r="AD1418" s="43"/>
      <c r="AE1418" s="43"/>
      <c r="AF1418" s="43"/>
      <c r="AG1418" s="43"/>
      <c r="AH1418" s="43"/>
      <c r="AI1418" s="43"/>
      <c r="AJ1418" s="43"/>
      <c r="AK1418" s="43"/>
      <c r="AL1418" s="43"/>
      <c r="AM1418" s="43"/>
      <c r="AN1418" s="43"/>
      <c r="AO1418" s="43"/>
      <c r="AP1418" s="43"/>
      <c r="AQ1418" s="43"/>
      <c r="AR1418" s="43"/>
      <c r="AS1418" s="43"/>
      <c r="AT1418" s="43"/>
      <c r="AU1418" s="43"/>
      <c r="AV1418" s="43"/>
    </row>
    <row r="1419" ht="15.75" spans="1:48">
      <c r="A1419" s="12">
        <v>1415</v>
      </c>
      <c r="B1419" s="44">
        <v>551</v>
      </c>
      <c r="C1419" s="45" t="s">
        <v>146</v>
      </c>
      <c r="D1419" s="46"/>
      <c r="E1419" s="47" t="s">
        <v>113</v>
      </c>
      <c r="F1419" s="48">
        <v>2.5</v>
      </c>
      <c r="G1419" s="38">
        <v>0</v>
      </c>
      <c r="H1419" s="39"/>
      <c r="I1419" s="39"/>
      <c r="J1419" s="39"/>
      <c r="K1419" s="39"/>
      <c r="L1419" s="39"/>
      <c r="M1419" s="39"/>
      <c r="N1419" s="39"/>
      <c r="O1419" s="39"/>
      <c r="P1419" s="39"/>
      <c r="Q1419" s="39"/>
      <c r="R1419" s="39"/>
      <c r="S1419" s="39"/>
      <c r="T1419" s="39"/>
      <c r="U1419" s="39"/>
      <c r="V1419" s="39"/>
      <c r="W1419" s="39"/>
      <c r="X1419" s="49" t="s">
        <v>105</v>
      </c>
      <c r="Y1419" s="50">
        <v>1650</v>
      </c>
      <c r="Z1419" s="51">
        <v>1700</v>
      </c>
      <c r="AA1419" s="52">
        <f t="shared" si="32"/>
        <v>1.03030303030303</v>
      </c>
      <c r="AB1419" s="12">
        <v>1700</v>
      </c>
      <c r="AC1419" s="12">
        <v>0</v>
      </c>
      <c r="AD1419" s="43"/>
      <c r="AE1419" s="43"/>
      <c r="AF1419" s="43"/>
      <c r="AG1419" s="43"/>
      <c r="AH1419" s="43"/>
      <c r="AI1419" s="43"/>
      <c r="AJ1419" s="43"/>
      <c r="AK1419" s="43"/>
      <c r="AL1419" s="43"/>
      <c r="AM1419" s="43"/>
      <c r="AN1419" s="43"/>
      <c r="AO1419" s="43"/>
      <c r="AP1419" s="43"/>
      <c r="AQ1419" s="43"/>
      <c r="AR1419" s="43"/>
      <c r="AS1419" s="43"/>
      <c r="AT1419" s="43"/>
      <c r="AU1419" s="43"/>
      <c r="AV1419" s="43"/>
    </row>
    <row r="1420" ht="15.75" spans="1:48">
      <c r="A1420" s="12">
        <v>1416</v>
      </c>
      <c r="B1420" s="44">
        <v>850</v>
      </c>
      <c r="C1420" s="45" t="s">
        <v>109</v>
      </c>
      <c r="D1420" s="46"/>
      <c r="E1420" s="47" t="s">
        <v>113</v>
      </c>
      <c r="F1420" s="48">
        <v>10.67</v>
      </c>
      <c r="G1420" s="38">
        <v>1.33</v>
      </c>
      <c r="H1420" s="39"/>
      <c r="I1420" s="39"/>
      <c r="J1420" s="39"/>
      <c r="K1420" s="39"/>
      <c r="L1420" s="39"/>
      <c r="M1420" s="39"/>
      <c r="N1420" s="39"/>
      <c r="O1420" s="39"/>
      <c r="P1420" s="39"/>
      <c r="Q1420" s="39">
        <v>1.33</v>
      </c>
      <c r="R1420" s="39"/>
      <c r="S1420" s="39"/>
      <c r="T1420" s="39"/>
      <c r="U1420" s="39"/>
      <c r="V1420" s="39"/>
      <c r="W1420" s="39"/>
      <c r="X1420" s="49" t="s">
        <v>103</v>
      </c>
      <c r="Y1420" s="50">
        <v>8962.8</v>
      </c>
      <c r="Z1420" s="51">
        <v>5400</v>
      </c>
      <c r="AA1420" s="52">
        <f t="shared" si="32"/>
        <v>0.602490293211943</v>
      </c>
      <c r="AB1420" s="12">
        <v>5400</v>
      </c>
      <c r="AC1420" s="12">
        <v>0</v>
      </c>
      <c r="AD1420" s="43"/>
      <c r="AE1420" s="43"/>
      <c r="AF1420" s="43"/>
      <c r="AG1420" s="43"/>
      <c r="AH1420" s="43"/>
      <c r="AI1420" s="43"/>
      <c r="AJ1420" s="43"/>
      <c r="AK1420" s="43"/>
      <c r="AL1420" s="43"/>
      <c r="AM1420" s="43"/>
      <c r="AN1420" s="43"/>
      <c r="AO1420" s="43"/>
      <c r="AP1420" s="43"/>
      <c r="AQ1420" s="43"/>
      <c r="AR1420" s="43"/>
      <c r="AS1420" s="43"/>
      <c r="AT1420" s="43"/>
      <c r="AU1420" s="43"/>
      <c r="AV1420" s="43"/>
    </row>
    <row r="1421" ht="15.75" spans="1:48">
      <c r="A1421" s="12">
        <v>1417</v>
      </c>
      <c r="B1421" s="44">
        <v>666</v>
      </c>
      <c r="C1421" s="45" t="s">
        <v>151</v>
      </c>
      <c r="D1421" s="46"/>
      <c r="E1421" s="47" t="s">
        <v>113</v>
      </c>
      <c r="F1421" s="48">
        <v>4.83</v>
      </c>
      <c r="G1421" s="38">
        <v>2.83</v>
      </c>
      <c r="H1421" s="39"/>
      <c r="I1421" s="39"/>
      <c r="J1421" s="39"/>
      <c r="K1421" s="39"/>
      <c r="L1421" s="39"/>
      <c r="M1421" s="39"/>
      <c r="N1421" s="39"/>
      <c r="O1421" s="39"/>
      <c r="P1421" s="39"/>
      <c r="Q1421" s="39">
        <v>1.33</v>
      </c>
      <c r="R1421" s="39"/>
      <c r="S1421" s="39"/>
      <c r="T1421" s="39">
        <v>1.33</v>
      </c>
      <c r="U1421" s="39">
        <v>0.17</v>
      </c>
      <c r="V1421" s="39"/>
      <c r="W1421" s="39"/>
      <c r="X1421" s="49" t="s">
        <v>101</v>
      </c>
      <c r="Y1421" s="50">
        <v>9273.6</v>
      </c>
      <c r="Z1421" s="51">
        <v>7920</v>
      </c>
      <c r="AA1421" s="52">
        <f t="shared" si="32"/>
        <v>0.854037267080745</v>
      </c>
      <c r="AB1421" s="12">
        <v>7920</v>
      </c>
      <c r="AC1421" s="12">
        <v>0</v>
      </c>
      <c r="AD1421" s="43"/>
      <c r="AE1421" s="43"/>
      <c r="AF1421" s="43"/>
      <c r="AG1421" s="43"/>
      <c r="AH1421" s="43"/>
      <c r="AI1421" s="43"/>
      <c r="AJ1421" s="43"/>
      <c r="AK1421" s="43"/>
      <c r="AL1421" s="43"/>
      <c r="AM1421" s="43"/>
      <c r="AN1421" s="43"/>
      <c r="AO1421" s="43"/>
      <c r="AP1421" s="43"/>
      <c r="AQ1421" s="43"/>
      <c r="AR1421" s="43"/>
      <c r="AS1421" s="43"/>
      <c r="AT1421" s="43"/>
      <c r="AU1421" s="43"/>
      <c r="AV1421" s="43"/>
    </row>
    <row r="1422" ht="15.75" spans="1:48">
      <c r="A1422" s="12">
        <v>1418</v>
      </c>
      <c r="B1422" s="44">
        <v>666</v>
      </c>
      <c r="C1422" s="45" t="s">
        <v>151</v>
      </c>
      <c r="D1422" s="46"/>
      <c r="E1422" s="47" t="s">
        <v>113</v>
      </c>
      <c r="F1422" s="48">
        <v>0.67</v>
      </c>
      <c r="G1422" s="38">
        <v>0</v>
      </c>
      <c r="H1422" s="39"/>
      <c r="I1422" s="39"/>
      <c r="J1422" s="39"/>
      <c r="K1422" s="39"/>
      <c r="L1422" s="39"/>
      <c r="M1422" s="39"/>
      <c r="N1422" s="39"/>
      <c r="O1422" s="39"/>
      <c r="P1422" s="39"/>
      <c r="Q1422" s="39"/>
      <c r="R1422" s="39"/>
      <c r="S1422" s="39"/>
      <c r="T1422" s="39"/>
      <c r="U1422" s="39"/>
      <c r="V1422" s="39"/>
      <c r="W1422" s="39"/>
      <c r="X1422" s="49" t="s">
        <v>229</v>
      </c>
      <c r="Y1422" s="50">
        <v>2492.4</v>
      </c>
      <c r="Z1422" s="51">
        <v>2700</v>
      </c>
      <c r="AA1422" s="52">
        <f t="shared" si="32"/>
        <v>1.08329321136254</v>
      </c>
      <c r="AB1422" s="12">
        <v>2700</v>
      </c>
      <c r="AC1422" s="12">
        <v>0</v>
      </c>
      <c r="AD1422" s="43"/>
      <c r="AE1422" s="43"/>
      <c r="AF1422" s="43"/>
      <c r="AG1422" s="43"/>
      <c r="AH1422" s="43"/>
      <c r="AI1422" s="43"/>
      <c r="AJ1422" s="43"/>
      <c r="AK1422" s="43"/>
      <c r="AL1422" s="43"/>
      <c r="AM1422" s="43"/>
      <c r="AN1422" s="43"/>
      <c r="AO1422" s="43"/>
      <c r="AP1422" s="43"/>
      <c r="AQ1422" s="43"/>
      <c r="AR1422" s="43"/>
      <c r="AS1422" s="43"/>
      <c r="AT1422" s="43"/>
      <c r="AU1422" s="43"/>
      <c r="AV1422" s="43"/>
    </row>
    <row r="1423" ht="15.75" spans="1:48">
      <c r="A1423" s="12">
        <v>1419</v>
      </c>
      <c r="B1423" s="44">
        <v>666</v>
      </c>
      <c r="C1423" s="45" t="s">
        <v>151</v>
      </c>
      <c r="D1423" s="46"/>
      <c r="E1423" s="47" t="s">
        <v>113</v>
      </c>
      <c r="F1423" s="48">
        <v>0.67</v>
      </c>
      <c r="G1423" s="38">
        <v>0</v>
      </c>
      <c r="H1423" s="39"/>
      <c r="I1423" s="39"/>
      <c r="J1423" s="39"/>
      <c r="K1423" s="39"/>
      <c r="L1423" s="39"/>
      <c r="M1423" s="39"/>
      <c r="N1423" s="39"/>
      <c r="O1423" s="39"/>
      <c r="P1423" s="39"/>
      <c r="Q1423" s="39"/>
      <c r="R1423" s="39"/>
      <c r="S1423" s="39"/>
      <c r="T1423" s="39"/>
      <c r="U1423" s="39"/>
      <c r="V1423" s="39"/>
      <c r="W1423" s="39"/>
      <c r="X1423" s="49" t="s">
        <v>102</v>
      </c>
      <c r="Y1423" s="50">
        <v>3015</v>
      </c>
      <c r="Z1423" s="51">
        <v>3000</v>
      </c>
      <c r="AA1423" s="52">
        <f t="shared" si="32"/>
        <v>0.995024875621891</v>
      </c>
      <c r="AB1423" s="12">
        <v>3000</v>
      </c>
      <c r="AC1423" s="12">
        <v>0</v>
      </c>
      <c r="AD1423" s="43"/>
      <c r="AE1423" s="43"/>
      <c r="AF1423" s="43"/>
      <c r="AG1423" s="43"/>
      <c r="AH1423" s="43"/>
      <c r="AI1423" s="43"/>
      <c r="AJ1423" s="43"/>
      <c r="AK1423" s="43"/>
      <c r="AL1423" s="43"/>
      <c r="AM1423" s="43"/>
      <c r="AN1423" s="43"/>
      <c r="AO1423" s="43"/>
      <c r="AP1423" s="43"/>
      <c r="AQ1423" s="43"/>
      <c r="AR1423" s="43"/>
      <c r="AS1423" s="43"/>
      <c r="AT1423" s="43"/>
      <c r="AU1423" s="43"/>
      <c r="AV1423" s="43"/>
    </row>
    <row r="1424" ht="15.75" spans="1:48">
      <c r="A1424" s="12">
        <v>1420</v>
      </c>
      <c r="B1424" s="44">
        <v>666</v>
      </c>
      <c r="C1424" s="45" t="s">
        <v>151</v>
      </c>
      <c r="D1424" s="46"/>
      <c r="E1424" s="47" t="s">
        <v>113</v>
      </c>
      <c r="F1424" s="48">
        <v>3</v>
      </c>
      <c r="G1424" s="38">
        <v>0</v>
      </c>
      <c r="H1424" s="39"/>
      <c r="I1424" s="39"/>
      <c r="J1424" s="39"/>
      <c r="K1424" s="39"/>
      <c r="L1424" s="39"/>
      <c r="M1424" s="39"/>
      <c r="N1424" s="39"/>
      <c r="O1424" s="39"/>
      <c r="P1424" s="39"/>
      <c r="Q1424" s="39"/>
      <c r="R1424" s="39"/>
      <c r="S1424" s="39"/>
      <c r="T1424" s="39"/>
      <c r="U1424" s="39"/>
      <c r="V1424" s="39"/>
      <c r="W1424" s="39"/>
      <c r="X1424" s="49" t="s">
        <v>104</v>
      </c>
      <c r="Y1424" s="50">
        <v>45000</v>
      </c>
      <c r="Z1424" s="51">
        <v>59960</v>
      </c>
      <c r="AA1424" s="52">
        <f t="shared" si="32"/>
        <v>1.33244444444444</v>
      </c>
      <c r="AB1424" s="12">
        <v>59960</v>
      </c>
      <c r="AC1424" s="12">
        <v>0</v>
      </c>
      <c r="AD1424" s="43"/>
      <c r="AE1424" s="43"/>
      <c r="AF1424" s="43"/>
      <c r="AG1424" s="43"/>
      <c r="AH1424" s="43"/>
      <c r="AI1424" s="43"/>
      <c r="AJ1424" s="43"/>
      <c r="AK1424" s="43"/>
      <c r="AL1424" s="43"/>
      <c r="AM1424" s="43"/>
      <c r="AN1424" s="43"/>
      <c r="AO1424" s="43"/>
      <c r="AP1424" s="43"/>
      <c r="AQ1424" s="43"/>
      <c r="AR1424" s="43"/>
      <c r="AS1424" s="43"/>
      <c r="AT1424" s="43"/>
      <c r="AU1424" s="43"/>
      <c r="AV1424" s="43"/>
    </row>
    <row r="1425" ht="15.75" spans="1:48">
      <c r="A1425" s="12">
        <v>1421</v>
      </c>
      <c r="B1425" s="44">
        <v>2865</v>
      </c>
      <c r="C1425" s="45" t="s">
        <v>149</v>
      </c>
      <c r="D1425" s="46"/>
      <c r="E1425" s="47" t="s">
        <v>113</v>
      </c>
      <c r="F1425" s="48">
        <v>5</v>
      </c>
      <c r="G1425" s="38">
        <v>0</v>
      </c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  <c r="S1425" s="39"/>
      <c r="T1425" s="39"/>
      <c r="U1425" s="39"/>
      <c r="V1425" s="39"/>
      <c r="W1425" s="39"/>
      <c r="X1425" s="49" t="s">
        <v>105</v>
      </c>
      <c r="Y1425" s="50">
        <v>3300</v>
      </c>
      <c r="Z1425" s="51">
        <v>3250</v>
      </c>
      <c r="AA1425" s="52">
        <f>IFERROR(Z1425/Y1425,0)</f>
        <v>0.984848484848485</v>
      </c>
      <c r="AB1425" s="12">
        <v>3250</v>
      </c>
      <c r="AC1425" s="12">
        <v>0</v>
      </c>
      <c r="AD1425" s="43"/>
      <c r="AE1425" s="43"/>
      <c r="AF1425" s="43"/>
      <c r="AG1425" s="43"/>
      <c r="AH1425" s="43"/>
      <c r="AI1425" s="43"/>
      <c r="AJ1425" s="43"/>
      <c r="AK1425" s="43"/>
      <c r="AL1425" s="43"/>
      <c r="AM1425" s="43"/>
      <c r="AN1425" s="43"/>
      <c r="AO1425" s="43"/>
      <c r="AP1425" s="43"/>
      <c r="AQ1425" s="43"/>
      <c r="AR1425" s="43"/>
      <c r="AS1425" s="43"/>
      <c r="AT1425" s="43"/>
      <c r="AU1425" s="43"/>
      <c r="AV1425" s="43"/>
    </row>
    <row r="1426" ht="15.75" spans="1:48">
      <c r="A1426" s="12">
        <v>1422</v>
      </c>
      <c r="B1426" s="44">
        <v>2284</v>
      </c>
      <c r="C1426" s="45" t="s">
        <v>59</v>
      </c>
      <c r="D1426" s="46"/>
      <c r="E1426" s="47" t="s">
        <v>50</v>
      </c>
      <c r="F1426" s="48">
        <v>10.83</v>
      </c>
      <c r="G1426" s="38">
        <v>1.17</v>
      </c>
      <c r="H1426" s="39"/>
      <c r="I1426" s="39"/>
      <c r="J1426" s="39"/>
      <c r="K1426" s="39"/>
      <c r="L1426" s="39"/>
      <c r="M1426" s="39"/>
      <c r="N1426" s="39"/>
      <c r="O1426" s="39"/>
      <c r="P1426" s="39"/>
      <c r="Q1426" s="39">
        <v>1.17</v>
      </c>
      <c r="R1426" s="39"/>
      <c r="S1426" s="39"/>
      <c r="T1426" s="39"/>
      <c r="U1426" s="39"/>
      <c r="V1426" s="39"/>
      <c r="W1426" s="39"/>
      <c r="X1426" s="49" t="s">
        <v>140</v>
      </c>
      <c r="Y1426" s="50">
        <v>0</v>
      </c>
      <c r="Z1426" s="51"/>
      <c r="AA1426" s="52">
        <f>IFERROR(Z1426/Y1426,0)</f>
        <v>0</v>
      </c>
      <c r="AB1426" s="12">
        <v>0</v>
      </c>
      <c r="AC1426" s="12">
        <v>0</v>
      </c>
      <c r="AD1426" s="43"/>
      <c r="AE1426" s="43"/>
      <c r="AF1426" s="43"/>
      <c r="AG1426" s="43"/>
      <c r="AH1426" s="43"/>
      <c r="AI1426" s="43"/>
      <c r="AJ1426" s="43"/>
      <c r="AK1426" s="43"/>
      <c r="AL1426" s="43"/>
      <c r="AM1426" s="43"/>
      <c r="AN1426" s="43"/>
      <c r="AO1426" s="43"/>
      <c r="AP1426" s="43"/>
      <c r="AQ1426" s="43"/>
      <c r="AR1426" s="43"/>
      <c r="AS1426" s="43"/>
      <c r="AT1426" s="43"/>
      <c r="AU1426" s="43"/>
      <c r="AV1426" s="43"/>
    </row>
    <row r="1427" ht="15.75" spans="1:48">
      <c r="A1427" s="12">
        <v>1423</v>
      </c>
      <c r="B1427" s="66" t="s">
        <v>344</v>
      </c>
      <c r="C1427" s="45" t="s">
        <v>345</v>
      </c>
      <c r="D1427" s="46"/>
      <c r="E1427" s="47" t="s">
        <v>50</v>
      </c>
      <c r="F1427" s="48">
        <v>1.5</v>
      </c>
      <c r="G1427" s="38">
        <v>6.5</v>
      </c>
      <c r="H1427" s="39"/>
      <c r="I1427" s="39"/>
      <c r="J1427" s="39"/>
      <c r="K1427" s="39"/>
      <c r="L1427" s="39"/>
      <c r="M1427" s="39"/>
      <c r="N1427" s="39"/>
      <c r="O1427" s="39"/>
      <c r="P1427" s="39"/>
      <c r="Q1427" s="39">
        <v>0.83</v>
      </c>
      <c r="R1427" s="39"/>
      <c r="S1427" s="39"/>
      <c r="T1427" s="39"/>
      <c r="U1427" s="39"/>
      <c r="V1427" s="39">
        <v>5.67</v>
      </c>
      <c r="W1427" s="39"/>
      <c r="X1427" s="49" t="s">
        <v>58</v>
      </c>
      <c r="Y1427" s="50">
        <v>525</v>
      </c>
      <c r="Z1427" s="51">
        <v>240</v>
      </c>
      <c r="AA1427" s="52">
        <f>IFERROR(Z1427/Y1427,0)</f>
        <v>0.457142857142857</v>
      </c>
      <c r="AB1427" s="12">
        <v>240</v>
      </c>
      <c r="AC1427" s="12">
        <v>0</v>
      </c>
      <c r="AD1427" s="43"/>
      <c r="AE1427" s="43"/>
      <c r="AF1427" s="43"/>
      <c r="AG1427" s="43"/>
      <c r="AH1427" s="43"/>
      <c r="AI1427" s="43"/>
      <c r="AJ1427" s="43"/>
      <c r="AK1427" s="43"/>
      <c r="AL1427" s="43"/>
      <c r="AM1427" s="43"/>
      <c r="AN1427" s="43"/>
      <c r="AO1427" s="43"/>
      <c r="AP1427" s="43"/>
      <c r="AQ1427" s="43"/>
      <c r="AR1427" s="43"/>
      <c r="AS1427" s="43"/>
      <c r="AT1427" s="43"/>
      <c r="AU1427" s="43"/>
      <c r="AV1427" s="43"/>
    </row>
    <row r="1428" ht="15.75" spans="1:48">
      <c r="A1428" s="12">
        <v>1424</v>
      </c>
      <c r="B1428" s="67" t="s">
        <v>346</v>
      </c>
      <c r="C1428" s="45" t="s">
        <v>347</v>
      </c>
      <c r="D1428" s="46"/>
      <c r="E1428" s="47" t="s">
        <v>50</v>
      </c>
      <c r="F1428" s="48">
        <v>1.5</v>
      </c>
      <c r="G1428" s="38">
        <v>6.5</v>
      </c>
      <c r="H1428" s="39"/>
      <c r="I1428" s="39"/>
      <c r="J1428" s="39"/>
      <c r="K1428" s="39"/>
      <c r="L1428" s="39"/>
      <c r="M1428" s="39"/>
      <c r="N1428" s="39"/>
      <c r="O1428" s="39"/>
      <c r="P1428" s="39"/>
      <c r="Q1428" s="39">
        <v>0.83</v>
      </c>
      <c r="R1428" s="39"/>
      <c r="S1428" s="39"/>
      <c r="T1428" s="39"/>
      <c r="U1428" s="39"/>
      <c r="V1428" s="39">
        <v>5.67</v>
      </c>
      <c r="W1428" s="39"/>
      <c r="X1428" s="49" t="s">
        <v>58</v>
      </c>
      <c r="Y1428" s="50">
        <v>525</v>
      </c>
      <c r="Z1428" s="51">
        <v>240</v>
      </c>
      <c r="AA1428" s="52">
        <f>IFERROR(Z1428/Y1428,0)</f>
        <v>0.457142857142857</v>
      </c>
      <c r="AB1428" s="12">
        <v>240</v>
      </c>
      <c r="AC1428" s="12">
        <v>0</v>
      </c>
      <c r="AD1428" s="43"/>
      <c r="AE1428" s="43"/>
      <c r="AF1428" s="43"/>
      <c r="AG1428" s="43"/>
      <c r="AH1428" s="43"/>
      <c r="AI1428" s="43"/>
      <c r="AJ1428" s="43"/>
      <c r="AK1428" s="43"/>
      <c r="AL1428" s="43"/>
      <c r="AM1428" s="43"/>
      <c r="AN1428" s="43"/>
      <c r="AO1428" s="43"/>
      <c r="AP1428" s="43"/>
      <c r="AQ1428" s="43"/>
      <c r="AR1428" s="43"/>
      <c r="AS1428" s="43"/>
      <c r="AT1428" s="43"/>
      <c r="AU1428" s="43"/>
      <c r="AV1428" s="43"/>
    </row>
    <row r="1429" ht="15.75" spans="1:48">
      <c r="A1429" s="12">
        <v>1425</v>
      </c>
      <c r="B1429" s="66" t="s">
        <v>348</v>
      </c>
      <c r="C1429" s="45" t="s">
        <v>349</v>
      </c>
      <c r="D1429" s="46"/>
      <c r="E1429" s="47" t="s">
        <v>50</v>
      </c>
      <c r="F1429" s="48">
        <v>1.5</v>
      </c>
      <c r="G1429" s="38">
        <v>6.5</v>
      </c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  <c r="S1429" s="39"/>
      <c r="T1429" s="39"/>
      <c r="U1429" s="39"/>
      <c r="V1429" s="39">
        <v>6.5</v>
      </c>
      <c r="W1429" s="39"/>
      <c r="X1429" s="49" t="s">
        <v>194</v>
      </c>
      <c r="Y1429" s="50">
        <v>502.5</v>
      </c>
      <c r="Z1429" s="51">
        <v>300</v>
      </c>
      <c r="AA1429" s="52">
        <f t="shared" ref="AA1429:AA1460" si="33">IFERROR(Z1429/Y1429,0)</f>
        <v>0.597014925373134</v>
      </c>
      <c r="AB1429" s="12">
        <v>300</v>
      </c>
      <c r="AC1429" s="12">
        <v>0</v>
      </c>
      <c r="AD1429" s="43"/>
      <c r="AE1429" s="43"/>
      <c r="AF1429" s="43"/>
      <c r="AG1429" s="43"/>
      <c r="AH1429" s="43"/>
      <c r="AI1429" s="43"/>
      <c r="AJ1429" s="43"/>
      <c r="AK1429" s="43"/>
      <c r="AL1429" s="43"/>
      <c r="AM1429" s="43"/>
      <c r="AN1429" s="43"/>
      <c r="AO1429" s="43"/>
      <c r="AP1429" s="43"/>
      <c r="AQ1429" s="43"/>
      <c r="AR1429" s="43"/>
      <c r="AS1429" s="43"/>
      <c r="AT1429" s="43"/>
      <c r="AU1429" s="43"/>
      <c r="AV1429" s="43"/>
    </row>
    <row r="1430" ht="15.75" spans="1:48">
      <c r="A1430" s="12">
        <v>1426</v>
      </c>
      <c r="B1430" s="66" t="s">
        <v>350</v>
      </c>
      <c r="C1430" s="45" t="s">
        <v>351</v>
      </c>
      <c r="D1430" s="46"/>
      <c r="E1430" s="47" t="s">
        <v>50</v>
      </c>
      <c r="F1430" s="48">
        <v>1.5</v>
      </c>
      <c r="G1430" s="38">
        <v>6.5</v>
      </c>
      <c r="H1430" s="39"/>
      <c r="I1430" s="39"/>
      <c r="J1430" s="39"/>
      <c r="K1430" s="39"/>
      <c r="L1430" s="39"/>
      <c r="M1430" s="39"/>
      <c r="N1430" s="39"/>
      <c r="O1430" s="39"/>
      <c r="P1430" s="39"/>
      <c r="Q1430" s="39"/>
      <c r="R1430" s="39"/>
      <c r="S1430" s="39"/>
      <c r="T1430" s="39"/>
      <c r="U1430" s="39"/>
      <c r="V1430" s="39">
        <v>6.5</v>
      </c>
      <c r="W1430" s="39"/>
      <c r="X1430" s="49" t="s">
        <v>194</v>
      </c>
      <c r="Y1430" s="50">
        <v>502.5</v>
      </c>
      <c r="Z1430" s="51">
        <v>300</v>
      </c>
      <c r="AA1430" s="52">
        <f t="shared" si="33"/>
        <v>0.597014925373134</v>
      </c>
      <c r="AB1430" s="12">
        <v>300</v>
      </c>
      <c r="AC1430" s="12">
        <v>0</v>
      </c>
      <c r="AD1430" s="43"/>
      <c r="AE1430" s="43"/>
      <c r="AF1430" s="43"/>
      <c r="AG1430" s="43"/>
      <c r="AH1430" s="43"/>
      <c r="AI1430" s="43"/>
      <c r="AJ1430" s="43"/>
      <c r="AK1430" s="43"/>
      <c r="AL1430" s="43"/>
      <c r="AM1430" s="43"/>
      <c r="AN1430" s="43"/>
      <c r="AO1430" s="43"/>
      <c r="AP1430" s="43"/>
      <c r="AQ1430" s="43"/>
      <c r="AR1430" s="43"/>
      <c r="AS1430" s="43"/>
      <c r="AT1430" s="43"/>
      <c r="AU1430" s="43"/>
      <c r="AV1430" s="43"/>
    </row>
    <row r="1431" ht="15.75" spans="1:48">
      <c r="A1431" s="12">
        <v>1427</v>
      </c>
      <c r="B1431" s="44" t="s">
        <v>290</v>
      </c>
      <c r="C1431" s="45" t="e">
        <v>#N/A</v>
      </c>
      <c r="D1431" s="46">
        <v>11</v>
      </c>
      <c r="E1431" s="47" t="s">
        <v>50</v>
      </c>
      <c r="F1431" s="48">
        <v>10.33</v>
      </c>
      <c r="G1431" s="38">
        <v>1.67</v>
      </c>
      <c r="H1431" s="39"/>
      <c r="I1431" s="39"/>
      <c r="J1431" s="39"/>
      <c r="K1431" s="39">
        <v>0.33</v>
      </c>
      <c r="L1431" s="39"/>
      <c r="M1431" s="39"/>
      <c r="N1431" s="39"/>
      <c r="O1431" s="39"/>
      <c r="P1431" s="39"/>
      <c r="Q1431" s="39">
        <v>1.17</v>
      </c>
      <c r="R1431" s="39"/>
      <c r="S1431" s="39"/>
      <c r="T1431" s="39"/>
      <c r="U1431" s="39">
        <v>0.17</v>
      </c>
      <c r="V1431" s="39"/>
      <c r="W1431" s="39"/>
      <c r="X1431" s="49" t="s">
        <v>69</v>
      </c>
      <c r="Y1431" s="50">
        <v>5268.3</v>
      </c>
      <c r="Z1431" s="51">
        <v>5130</v>
      </c>
      <c r="AA1431" s="52">
        <f t="shared" si="33"/>
        <v>0.973748647571323</v>
      </c>
      <c r="AB1431" s="12">
        <v>5130</v>
      </c>
      <c r="AC1431" s="12">
        <v>0</v>
      </c>
      <c r="AD1431" s="43"/>
      <c r="AE1431" s="43"/>
      <c r="AF1431" s="43"/>
      <c r="AG1431" s="43"/>
      <c r="AH1431" s="43"/>
      <c r="AI1431" s="43"/>
      <c r="AJ1431" s="43"/>
      <c r="AK1431" s="43"/>
      <c r="AL1431" s="43"/>
      <c r="AM1431" s="43"/>
      <c r="AN1431" s="43"/>
      <c r="AO1431" s="43"/>
      <c r="AP1431" s="43"/>
      <c r="AQ1431" s="43"/>
      <c r="AR1431" s="43"/>
      <c r="AS1431" s="43"/>
      <c r="AT1431" s="43"/>
      <c r="AU1431" s="43"/>
      <c r="AV1431" s="43"/>
    </row>
    <row r="1432" ht="15.75" spans="1:48">
      <c r="A1432" s="12">
        <v>1428</v>
      </c>
      <c r="B1432" s="44" t="s">
        <v>289</v>
      </c>
      <c r="C1432" s="45" t="e">
        <v>#N/A</v>
      </c>
      <c r="D1432" s="46">
        <v>10</v>
      </c>
      <c r="E1432" s="47" t="s">
        <v>50</v>
      </c>
      <c r="F1432" s="48">
        <v>10.67</v>
      </c>
      <c r="G1432" s="38">
        <v>1.34</v>
      </c>
      <c r="H1432" s="39"/>
      <c r="I1432" s="39"/>
      <c r="J1432" s="39"/>
      <c r="K1432" s="39"/>
      <c r="L1432" s="39"/>
      <c r="M1432" s="39"/>
      <c r="N1432" s="39"/>
      <c r="O1432" s="39"/>
      <c r="P1432" s="39"/>
      <c r="Q1432" s="39">
        <v>1.17</v>
      </c>
      <c r="R1432" s="39"/>
      <c r="S1432" s="39"/>
      <c r="T1432" s="39"/>
      <c r="U1432" s="39">
        <v>0.17</v>
      </c>
      <c r="V1432" s="39"/>
      <c r="W1432" s="39"/>
      <c r="X1432" s="49">
        <v>127</v>
      </c>
      <c r="Y1432" s="50">
        <v>5335</v>
      </c>
      <c r="Z1432" s="51">
        <v>4860</v>
      </c>
      <c r="AA1432" s="52">
        <f t="shared" si="33"/>
        <v>0.910965323336457</v>
      </c>
      <c r="AB1432" s="12">
        <v>4860</v>
      </c>
      <c r="AC1432" s="12">
        <v>0</v>
      </c>
      <c r="AD1432" s="43"/>
      <c r="AE1432" s="43"/>
      <c r="AF1432" s="43"/>
      <c r="AG1432" s="43"/>
      <c r="AH1432" s="43"/>
      <c r="AI1432" s="43"/>
      <c r="AJ1432" s="43"/>
      <c r="AK1432" s="43"/>
      <c r="AL1432" s="43"/>
      <c r="AM1432" s="43"/>
      <c r="AN1432" s="43"/>
      <c r="AO1432" s="43"/>
      <c r="AP1432" s="43"/>
      <c r="AQ1432" s="43"/>
      <c r="AR1432" s="43"/>
      <c r="AS1432" s="43"/>
      <c r="AT1432" s="43"/>
      <c r="AU1432" s="43"/>
      <c r="AV1432" s="43"/>
    </row>
    <row r="1433" ht="15.75" spans="1:48">
      <c r="A1433" s="12">
        <v>1429</v>
      </c>
      <c r="B1433" s="44">
        <v>3526</v>
      </c>
      <c r="C1433" s="45" t="s">
        <v>65</v>
      </c>
      <c r="D1433" s="46"/>
      <c r="E1433" s="47" t="s">
        <v>50</v>
      </c>
      <c r="F1433" s="48">
        <v>10.83</v>
      </c>
      <c r="G1433" s="38">
        <v>1.17</v>
      </c>
      <c r="H1433" s="39"/>
      <c r="I1433" s="39"/>
      <c r="J1433" s="39"/>
      <c r="K1433" s="39"/>
      <c r="L1433" s="39"/>
      <c r="M1433" s="39"/>
      <c r="N1433" s="39"/>
      <c r="O1433" s="39"/>
      <c r="P1433" s="39"/>
      <c r="Q1433" s="39">
        <v>1.17</v>
      </c>
      <c r="R1433" s="39"/>
      <c r="S1433" s="39"/>
      <c r="T1433" s="39"/>
      <c r="U1433" s="39"/>
      <c r="V1433" s="39"/>
      <c r="W1433" s="39"/>
      <c r="X1433" s="49" t="s">
        <v>191</v>
      </c>
      <c r="Y1433" s="50">
        <v>3628.05</v>
      </c>
      <c r="Z1433" s="51">
        <v>3400</v>
      </c>
      <c r="AA1433" s="52">
        <f t="shared" si="33"/>
        <v>0.937142542136961</v>
      </c>
      <c r="AB1433" s="12">
        <v>3400</v>
      </c>
      <c r="AC1433" s="12">
        <v>0</v>
      </c>
      <c r="AD1433" s="43"/>
      <c r="AE1433" s="43"/>
      <c r="AF1433" s="43"/>
      <c r="AG1433" s="43"/>
      <c r="AH1433" s="43"/>
      <c r="AI1433" s="43"/>
      <c r="AJ1433" s="43"/>
      <c r="AK1433" s="43"/>
      <c r="AL1433" s="43"/>
      <c r="AM1433" s="43"/>
      <c r="AN1433" s="43"/>
      <c r="AO1433" s="43"/>
      <c r="AP1433" s="43"/>
      <c r="AQ1433" s="43"/>
      <c r="AR1433" s="43"/>
      <c r="AS1433" s="43"/>
      <c r="AT1433" s="43"/>
      <c r="AU1433" s="43"/>
      <c r="AV1433" s="43"/>
    </row>
    <row r="1434" ht="15.75" spans="1:48">
      <c r="A1434" s="12">
        <v>1430</v>
      </c>
      <c r="B1434" s="44">
        <v>3353</v>
      </c>
      <c r="C1434" s="45" t="s">
        <v>48</v>
      </c>
      <c r="D1434" s="46">
        <v>19</v>
      </c>
      <c r="E1434" s="47" t="s">
        <v>50</v>
      </c>
      <c r="F1434" s="48">
        <v>4.5</v>
      </c>
      <c r="G1434" s="38">
        <v>1.34</v>
      </c>
      <c r="H1434" s="39"/>
      <c r="I1434" s="39"/>
      <c r="J1434" s="39"/>
      <c r="K1434" s="39"/>
      <c r="L1434" s="39"/>
      <c r="M1434" s="39"/>
      <c r="N1434" s="39"/>
      <c r="O1434" s="39"/>
      <c r="P1434" s="39"/>
      <c r="Q1434" s="39">
        <v>1.17</v>
      </c>
      <c r="R1434" s="39"/>
      <c r="S1434" s="39"/>
      <c r="T1434" s="39"/>
      <c r="U1434" s="39">
        <v>0.17</v>
      </c>
      <c r="V1434" s="39"/>
      <c r="W1434" s="39"/>
      <c r="X1434" s="49" t="s">
        <v>226</v>
      </c>
      <c r="Y1434" s="50">
        <v>1507.5</v>
      </c>
      <c r="Z1434" s="51">
        <v>1560</v>
      </c>
      <c r="AA1434" s="52">
        <f t="shared" si="33"/>
        <v>1.03482587064677</v>
      </c>
      <c r="AB1434" s="12">
        <v>1560</v>
      </c>
      <c r="AC1434" s="12">
        <v>0</v>
      </c>
      <c r="AD1434" s="43"/>
      <c r="AE1434" s="43"/>
      <c r="AF1434" s="43"/>
      <c r="AG1434" s="43"/>
      <c r="AH1434" s="43"/>
      <c r="AI1434" s="43"/>
      <c r="AJ1434" s="43"/>
      <c r="AK1434" s="43"/>
      <c r="AL1434" s="43"/>
      <c r="AM1434" s="43"/>
      <c r="AN1434" s="43"/>
      <c r="AO1434" s="43"/>
      <c r="AP1434" s="43"/>
      <c r="AQ1434" s="43"/>
      <c r="AR1434" s="43"/>
      <c r="AS1434" s="43"/>
      <c r="AT1434" s="43"/>
      <c r="AU1434" s="43"/>
      <c r="AV1434" s="43"/>
    </row>
    <row r="1435" ht="15.75" spans="1:48">
      <c r="A1435" s="12">
        <v>1431</v>
      </c>
      <c r="B1435" s="44">
        <v>3353</v>
      </c>
      <c r="C1435" s="45" t="s">
        <v>48</v>
      </c>
      <c r="D1435" s="46"/>
      <c r="E1435" s="47" t="s">
        <v>50</v>
      </c>
      <c r="F1435" s="48">
        <v>6.17</v>
      </c>
      <c r="G1435" s="38">
        <v>0</v>
      </c>
      <c r="H1435" s="39"/>
      <c r="I1435" s="39"/>
      <c r="J1435" s="39"/>
      <c r="K1435" s="39"/>
      <c r="L1435" s="39"/>
      <c r="M1435" s="39"/>
      <c r="N1435" s="39"/>
      <c r="O1435" s="39"/>
      <c r="P1435" s="39"/>
      <c r="Q1435" s="39"/>
      <c r="R1435" s="39"/>
      <c r="S1435" s="39"/>
      <c r="T1435" s="39"/>
      <c r="U1435" s="39"/>
      <c r="V1435" s="39"/>
      <c r="W1435" s="39"/>
      <c r="X1435" s="49" t="s">
        <v>155</v>
      </c>
      <c r="Y1435" s="50">
        <v>0</v>
      </c>
      <c r="Z1435" s="51"/>
      <c r="AA1435" s="52">
        <f t="shared" si="33"/>
        <v>0</v>
      </c>
      <c r="AB1435" s="12">
        <v>0</v>
      </c>
      <c r="AC1435" s="12">
        <v>0</v>
      </c>
      <c r="AD1435" s="43"/>
      <c r="AE1435" s="43"/>
      <c r="AF1435" s="43"/>
      <c r="AG1435" s="43"/>
      <c r="AH1435" s="43"/>
      <c r="AI1435" s="43"/>
      <c r="AJ1435" s="43"/>
      <c r="AK1435" s="43"/>
      <c r="AL1435" s="43"/>
      <c r="AM1435" s="43"/>
      <c r="AN1435" s="43"/>
      <c r="AO1435" s="43"/>
      <c r="AP1435" s="43"/>
      <c r="AQ1435" s="43"/>
      <c r="AR1435" s="43"/>
      <c r="AS1435" s="43"/>
      <c r="AT1435" s="43"/>
      <c r="AU1435" s="43"/>
      <c r="AV1435" s="43"/>
    </row>
    <row r="1436" ht="15.75" spans="1:48">
      <c r="A1436" s="12">
        <v>1432</v>
      </c>
      <c r="B1436" s="44">
        <v>3352</v>
      </c>
      <c r="C1436" s="45" t="s">
        <v>66</v>
      </c>
      <c r="D1436" s="46"/>
      <c r="E1436" s="47" t="s">
        <v>50</v>
      </c>
      <c r="F1436" s="48">
        <v>10.83</v>
      </c>
      <c r="G1436" s="38">
        <v>1.17</v>
      </c>
      <c r="H1436" s="39"/>
      <c r="I1436" s="39"/>
      <c r="J1436" s="39"/>
      <c r="K1436" s="39"/>
      <c r="L1436" s="39"/>
      <c r="M1436" s="39"/>
      <c r="N1436" s="39"/>
      <c r="O1436" s="39"/>
      <c r="P1436" s="39"/>
      <c r="Q1436" s="39">
        <v>1.17</v>
      </c>
      <c r="R1436" s="39"/>
      <c r="S1436" s="39"/>
      <c r="T1436" s="39"/>
      <c r="U1436" s="39"/>
      <c r="V1436" s="39"/>
      <c r="W1436" s="39"/>
      <c r="X1436" s="49" t="s">
        <v>67</v>
      </c>
      <c r="Y1436" s="50">
        <v>2707.5</v>
      </c>
      <c r="Z1436" s="51">
        <v>2700</v>
      </c>
      <c r="AA1436" s="52">
        <f t="shared" si="33"/>
        <v>0.997229916897507</v>
      </c>
      <c r="AB1436" s="12">
        <v>2700</v>
      </c>
      <c r="AC1436" s="12">
        <v>0</v>
      </c>
      <c r="AD1436" s="43"/>
      <c r="AE1436" s="43"/>
      <c r="AF1436" s="43"/>
      <c r="AG1436" s="43"/>
      <c r="AH1436" s="43"/>
      <c r="AI1436" s="43"/>
      <c r="AJ1436" s="43"/>
      <c r="AK1436" s="43"/>
      <c r="AL1436" s="43"/>
      <c r="AM1436" s="43"/>
      <c r="AN1436" s="43"/>
      <c r="AO1436" s="43"/>
      <c r="AP1436" s="43"/>
      <c r="AQ1436" s="43"/>
      <c r="AR1436" s="43"/>
      <c r="AS1436" s="43"/>
      <c r="AT1436" s="43"/>
      <c r="AU1436" s="43"/>
      <c r="AV1436" s="43"/>
    </row>
    <row r="1437" ht="15.75" spans="1:48">
      <c r="A1437" s="12">
        <v>1433</v>
      </c>
      <c r="B1437" s="44">
        <v>2516</v>
      </c>
      <c r="C1437" s="45" t="s">
        <v>189</v>
      </c>
      <c r="D1437" s="46" t="s">
        <v>49</v>
      </c>
      <c r="E1437" s="47" t="s">
        <v>50</v>
      </c>
      <c r="F1437" s="48">
        <v>10.5</v>
      </c>
      <c r="G1437" s="38">
        <v>1.51</v>
      </c>
      <c r="H1437" s="39"/>
      <c r="I1437" s="39"/>
      <c r="J1437" s="39"/>
      <c r="K1437" s="39">
        <v>0.17</v>
      </c>
      <c r="L1437" s="39"/>
      <c r="M1437" s="39"/>
      <c r="N1437" s="39"/>
      <c r="O1437" s="39"/>
      <c r="P1437" s="39"/>
      <c r="Q1437" s="39">
        <v>1.17</v>
      </c>
      <c r="R1437" s="39"/>
      <c r="S1437" s="39"/>
      <c r="T1437" s="39"/>
      <c r="U1437" s="39">
        <v>0.17</v>
      </c>
      <c r="V1437" s="39"/>
      <c r="W1437" s="39"/>
      <c r="X1437" s="49" t="s">
        <v>278</v>
      </c>
      <c r="Y1437" s="50">
        <v>8400</v>
      </c>
      <c r="Z1437" s="51">
        <v>8400</v>
      </c>
      <c r="AA1437" s="52">
        <f t="shared" si="33"/>
        <v>1</v>
      </c>
      <c r="AB1437" s="12">
        <v>8369</v>
      </c>
      <c r="AC1437" s="12">
        <v>31</v>
      </c>
      <c r="AD1437" s="43"/>
      <c r="AE1437" s="43"/>
      <c r="AF1437" s="43"/>
      <c r="AG1437" s="43"/>
      <c r="AH1437" s="43"/>
      <c r="AI1437" s="43"/>
      <c r="AJ1437" s="43"/>
      <c r="AK1437" s="19">
        <v>3</v>
      </c>
      <c r="AL1437" s="43"/>
      <c r="AM1437" s="43"/>
      <c r="AN1437" s="19">
        <v>28</v>
      </c>
      <c r="AO1437" s="43"/>
      <c r="AP1437" s="43"/>
      <c r="AQ1437" s="43"/>
      <c r="AR1437" s="43"/>
      <c r="AS1437" s="43"/>
      <c r="AT1437" s="43"/>
      <c r="AU1437" s="43"/>
      <c r="AV1437" s="43"/>
    </row>
    <row r="1438" ht="15.75" spans="1:48">
      <c r="A1438" s="12">
        <v>1434</v>
      </c>
      <c r="B1438" s="44">
        <v>3187</v>
      </c>
      <c r="C1438" s="45" t="s">
        <v>52</v>
      </c>
      <c r="D1438" s="46" t="s">
        <v>202</v>
      </c>
      <c r="E1438" s="47" t="s">
        <v>50</v>
      </c>
      <c r="F1438" s="48">
        <v>10.33</v>
      </c>
      <c r="G1438" s="38">
        <v>1.67</v>
      </c>
      <c r="H1438" s="39"/>
      <c r="I1438" s="39"/>
      <c r="J1438" s="39"/>
      <c r="K1438" s="39"/>
      <c r="L1438" s="39"/>
      <c r="M1438" s="39"/>
      <c r="N1438" s="39"/>
      <c r="O1438" s="39"/>
      <c r="P1438" s="39"/>
      <c r="Q1438" s="39">
        <v>1.17</v>
      </c>
      <c r="R1438" s="39"/>
      <c r="S1438" s="39"/>
      <c r="T1438" s="39"/>
      <c r="U1438" s="39">
        <v>0.5</v>
      </c>
      <c r="V1438" s="39"/>
      <c r="W1438" s="39"/>
      <c r="X1438" s="49" t="s">
        <v>51</v>
      </c>
      <c r="Y1438" s="50">
        <v>32074.65</v>
      </c>
      <c r="Z1438" s="51">
        <v>32700</v>
      </c>
      <c r="AA1438" s="52">
        <f t="shared" si="33"/>
        <v>1.01949670534207</v>
      </c>
      <c r="AB1438" s="12">
        <v>32700</v>
      </c>
      <c r="AC1438" s="12">
        <v>0</v>
      </c>
      <c r="AD1438" s="43"/>
      <c r="AE1438" s="43"/>
      <c r="AF1438" s="43"/>
      <c r="AG1438" s="43"/>
      <c r="AH1438" s="43"/>
      <c r="AI1438" s="43"/>
      <c r="AJ1438" s="43"/>
      <c r="AK1438" s="43"/>
      <c r="AL1438" s="43"/>
      <c r="AM1438" s="43"/>
      <c r="AN1438" s="43"/>
      <c r="AO1438" s="43"/>
      <c r="AP1438" s="43"/>
      <c r="AQ1438" s="43"/>
      <c r="AR1438" s="43"/>
      <c r="AS1438" s="43"/>
      <c r="AT1438" s="43"/>
      <c r="AU1438" s="43"/>
      <c r="AV1438" s="43"/>
    </row>
    <row r="1439" ht="15.75" spans="1:48">
      <c r="A1439" s="12">
        <v>1435</v>
      </c>
      <c r="B1439" s="44">
        <v>4031</v>
      </c>
      <c r="C1439" s="45" t="s">
        <v>64</v>
      </c>
      <c r="D1439" s="46" t="s">
        <v>53</v>
      </c>
      <c r="E1439" s="47" t="s">
        <v>50</v>
      </c>
      <c r="F1439" s="48">
        <v>9.33</v>
      </c>
      <c r="G1439" s="38">
        <v>1.67</v>
      </c>
      <c r="H1439" s="39"/>
      <c r="I1439" s="39"/>
      <c r="J1439" s="39"/>
      <c r="K1439" s="39">
        <v>0.33</v>
      </c>
      <c r="L1439" s="39"/>
      <c r="M1439" s="39"/>
      <c r="N1439" s="39"/>
      <c r="O1439" s="39"/>
      <c r="P1439" s="39"/>
      <c r="Q1439" s="39">
        <v>1.17</v>
      </c>
      <c r="R1439" s="39"/>
      <c r="S1439" s="39"/>
      <c r="T1439" s="39"/>
      <c r="U1439" s="39">
        <v>0.17</v>
      </c>
      <c r="V1439" s="39"/>
      <c r="W1439" s="39"/>
      <c r="X1439" s="49" t="s">
        <v>55</v>
      </c>
      <c r="Y1439" s="50">
        <v>22531.95</v>
      </c>
      <c r="Z1439" s="51">
        <v>22980</v>
      </c>
      <c r="AA1439" s="52">
        <f t="shared" si="33"/>
        <v>1.01988509649631</v>
      </c>
      <c r="AB1439" s="12">
        <v>22980</v>
      </c>
      <c r="AC1439" s="12">
        <v>0</v>
      </c>
      <c r="AD1439" s="43"/>
      <c r="AE1439" s="43"/>
      <c r="AF1439" s="43"/>
      <c r="AG1439" s="43"/>
      <c r="AH1439" s="43"/>
      <c r="AI1439" s="43"/>
      <c r="AJ1439" s="43"/>
      <c r="AK1439" s="43"/>
      <c r="AL1439" s="43"/>
      <c r="AM1439" s="43"/>
      <c r="AN1439" s="43"/>
      <c r="AO1439" s="43"/>
      <c r="AP1439" s="43"/>
      <c r="AQ1439" s="43"/>
      <c r="AR1439" s="43"/>
      <c r="AS1439" s="43"/>
      <c r="AT1439" s="43"/>
      <c r="AU1439" s="43"/>
      <c r="AV1439" s="43"/>
    </row>
    <row r="1440" ht="15.75" spans="1:48">
      <c r="A1440" s="12">
        <v>1436</v>
      </c>
      <c r="B1440" s="44">
        <v>4031</v>
      </c>
      <c r="C1440" s="45" t="s">
        <v>64</v>
      </c>
      <c r="D1440" s="46" t="s">
        <v>112</v>
      </c>
      <c r="E1440" s="47" t="s">
        <v>50</v>
      </c>
      <c r="F1440" s="48">
        <v>1</v>
      </c>
      <c r="G1440" s="38">
        <v>0</v>
      </c>
      <c r="H1440" s="39"/>
      <c r="I1440" s="39"/>
      <c r="J1440" s="39"/>
      <c r="K1440" s="39"/>
      <c r="L1440" s="39"/>
      <c r="M1440" s="39"/>
      <c r="N1440" s="39"/>
      <c r="O1440" s="39"/>
      <c r="P1440" s="39"/>
      <c r="Q1440" s="39"/>
      <c r="R1440" s="39"/>
      <c r="S1440" s="39"/>
      <c r="T1440" s="39"/>
      <c r="U1440" s="39"/>
      <c r="V1440" s="39"/>
      <c r="W1440" s="39"/>
      <c r="X1440" s="49" t="s">
        <v>55</v>
      </c>
      <c r="Y1440" s="50">
        <v>796.95</v>
      </c>
      <c r="Z1440" s="51">
        <v>840</v>
      </c>
      <c r="AA1440" s="52">
        <f t="shared" si="33"/>
        <v>1.05401844532279</v>
      </c>
      <c r="AB1440" s="12">
        <v>840</v>
      </c>
      <c r="AC1440" s="12">
        <v>0</v>
      </c>
      <c r="AD1440" s="43"/>
      <c r="AE1440" s="43"/>
      <c r="AF1440" s="43"/>
      <c r="AG1440" s="43"/>
      <c r="AH1440" s="43"/>
      <c r="AI1440" s="43"/>
      <c r="AJ1440" s="43"/>
      <c r="AK1440" s="43"/>
      <c r="AL1440" s="43"/>
      <c r="AM1440" s="43"/>
      <c r="AN1440" s="43"/>
      <c r="AO1440" s="43"/>
      <c r="AP1440" s="43"/>
      <c r="AQ1440" s="43"/>
      <c r="AR1440" s="43"/>
      <c r="AS1440" s="43"/>
      <c r="AT1440" s="43"/>
      <c r="AU1440" s="43"/>
      <c r="AV1440" s="43"/>
    </row>
    <row r="1441" ht="15.75" spans="1:48">
      <c r="A1441" s="12">
        <v>1437</v>
      </c>
      <c r="B1441" s="44">
        <v>4185</v>
      </c>
      <c r="C1441" s="45" t="s">
        <v>72</v>
      </c>
      <c r="D1441" s="46" t="s">
        <v>81</v>
      </c>
      <c r="E1441" s="47" t="s">
        <v>50</v>
      </c>
      <c r="F1441" s="48">
        <v>10.33</v>
      </c>
      <c r="G1441" s="38">
        <v>1.67</v>
      </c>
      <c r="H1441" s="39"/>
      <c r="I1441" s="39"/>
      <c r="J1441" s="39"/>
      <c r="K1441" s="39">
        <v>0.33</v>
      </c>
      <c r="L1441" s="39"/>
      <c r="M1441" s="39"/>
      <c r="N1441" s="39"/>
      <c r="O1441" s="39"/>
      <c r="P1441" s="39"/>
      <c r="Q1441" s="39">
        <v>1.17</v>
      </c>
      <c r="R1441" s="39"/>
      <c r="S1441" s="39"/>
      <c r="T1441" s="39"/>
      <c r="U1441" s="39">
        <v>0.17</v>
      </c>
      <c r="V1441" s="39"/>
      <c r="W1441" s="39"/>
      <c r="X1441" s="49" t="s">
        <v>332</v>
      </c>
      <c r="Y1441" s="50">
        <v>61980</v>
      </c>
      <c r="Z1441" s="51">
        <v>67960</v>
      </c>
      <c r="AA1441" s="52">
        <f t="shared" si="33"/>
        <v>1.09648273636657</v>
      </c>
      <c r="AB1441" s="12">
        <v>67920</v>
      </c>
      <c r="AC1441" s="12">
        <v>40</v>
      </c>
      <c r="AD1441" s="43"/>
      <c r="AE1441" s="43"/>
      <c r="AF1441" s="43"/>
      <c r="AG1441" s="43"/>
      <c r="AH1441" s="19">
        <v>40</v>
      </c>
      <c r="AI1441" s="43"/>
      <c r="AJ1441" s="43"/>
      <c r="AK1441" s="43"/>
      <c r="AL1441" s="43"/>
      <c r="AM1441" s="43"/>
      <c r="AN1441" s="43"/>
      <c r="AO1441" s="43"/>
      <c r="AP1441" s="43"/>
      <c r="AQ1441" s="43"/>
      <c r="AR1441" s="43"/>
      <c r="AS1441" s="43"/>
      <c r="AT1441" s="43"/>
      <c r="AU1441" s="43"/>
      <c r="AV1441" s="43"/>
    </row>
    <row r="1442" ht="15.75" spans="1:48">
      <c r="A1442" s="12">
        <v>1438</v>
      </c>
      <c r="B1442" s="44">
        <v>4173</v>
      </c>
      <c r="C1442" s="45" t="s">
        <v>75</v>
      </c>
      <c r="D1442" s="46" t="s">
        <v>76</v>
      </c>
      <c r="E1442" s="47" t="s">
        <v>50</v>
      </c>
      <c r="F1442" s="48">
        <v>10</v>
      </c>
      <c r="G1442" s="38">
        <v>2.01</v>
      </c>
      <c r="H1442" s="39"/>
      <c r="I1442" s="39"/>
      <c r="J1442" s="39"/>
      <c r="K1442" s="39">
        <v>0.67</v>
      </c>
      <c r="L1442" s="39"/>
      <c r="M1442" s="39"/>
      <c r="N1442" s="39"/>
      <c r="O1442" s="39"/>
      <c r="P1442" s="39"/>
      <c r="Q1442" s="39">
        <v>1.17</v>
      </c>
      <c r="R1442" s="39"/>
      <c r="S1442" s="39"/>
      <c r="T1442" s="39"/>
      <c r="U1442" s="39">
        <v>0.17</v>
      </c>
      <c r="V1442" s="39"/>
      <c r="W1442" s="39"/>
      <c r="X1442" s="49" t="s">
        <v>77</v>
      </c>
      <c r="Y1442" s="50">
        <v>60000</v>
      </c>
      <c r="Z1442" s="51">
        <v>54240</v>
      </c>
      <c r="AA1442" s="52">
        <f t="shared" si="33"/>
        <v>0.904</v>
      </c>
      <c r="AB1442" s="12">
        <v>54080</v>
      </c>
      <c r="AC1442" s="12">
        <v>160</v>
      </c>
      <c r="AD1442" s="43"/>
      <c r="AE1442" s="43"/>
      <c r="AF1442" s="43"/>
      <c r="AG1442" s="43"/>
      <c r="AH1442" s="19">
        <v>160</v>
      </c>
      <c r="AI1442" s="43"/>
      <c r="AJ1442" s="43"/>
      <c r="AK1442" s="43"/>
      <c r="AL1442" s="43"/>
      <c r="AM1442" s="43"/>
      <c r="AN1442" s="43"/>
      <c r="AO1442" s="43"/>
      <c r="AP1442" s="43"/>
      <c r="AQ1442" s="43"/>
      <c r="AR1442" s="43"/>
      <c r="AS1442" s="43"/>
      <c r="AT1442" s="43"/>
      <c r="AU1442" s="43"/>
      <c r="AV1442" s="43"/>
    </row>
    <row r="1443" ht="15.75" spans="1:48">
      <c r="A1443" s="12">
        <v>1439</v>
      </c>
      <c r="B1443" s="44">
        <v>4173</v>
      </c>
      <c r="C1443" s="45" t="s">
        <v>75</v>
      </c>
      <c r="D1443" s="46" t="s">
        <v>83</v>
      </c>
      <c r="E1443" s="47" t="s">
        <v>50</v>
      </c>
      <c r="F1443" s="48">
        <v>10.17</v>
      </c>
      <c r="G1443" s="38">
        <v>1.84</v>
      </c>
      <c r="H1443" s="39"/>
      <c r="I1443" s="39"/>
      <c r="J1443" s="39"/>
      <c r="K1443" s="39">
        <v>0.5</v>
      </c>
      <c r="L1443" s="39"/>
      <c r="M1443" s="39"/>
      <c r="N1443" s="39"/>
      <c r="O1443" s="39"/>
      <c r="P1443" s="39"/>
      <c r="Q1443" s="39">
        <v>1.17</v>
      </c>
      <c r="R1443" s="39"/>
      <c r="S1443" s="39"/>
      <c r="T1443" s="39"/>
      <c r="U1443" s="39">
        <v>0.17</v>
      </c>
      <c r="V1443" s="39"/>
      <c r="W1443" s="39"/>
      <c r="X1443" s="49" t="s">
        <v>342</v>
      </c>
      <c r="Y1443" s="50">
        <v>45765</v>
      </c>
      <c r="Z1443" s="51">
        <v>43182</v>
      </c>
      <c r="AA1443" s="52">
        <f t="shared" si="33"/>
        <v>0.943559488692232</v>
      </c>
      <c r="AB1443" s="12">
        <v>43008</v>
      </c>
      <c r="AC1443" s="12">
        <v>174</v>
      </c>
      <c r="AD1443" s="43"/>
      <c r="AE1443" s="43"/>
      <c r="AF1443" s="43"/>
      <c r="AG1443" s="43"/>
      <c r="AH1443" s="19">
        <v>78</v>
      </c>
      <c r="AI1443" s="43"/>
      <c r="AJ1443" s="43"/>
      <c r="AK1443" s="43"/>
      <c r="AL1443" s="43"/>
      <c r="AM1443" s="43"/>
      <c r="AN1443" s="19">
        <v>96</v>
      </c>
      <c r="AO1443" s="43"/>
      <c r="AP1443" s="43"/>
      <c r="AQ1443" s="43"/>
      <c r="AR1443" s="43"/>
      <c r="AS1443" s="43"/>
      <c r="AT1443" s="43"/>
      <c r="AU1443" s="43"/>
      <c r="AV1443" s="43"/>
    </row>
    <row r="1444" ht="15.75" spans="1:48">
      <c r="A1444" s="12">
        <v>1440</v>
      </c>
      <c r="B1444" s="44">
        <v>2959</v>
      </c>
      <c r="C1444" s="45" t="s">
        <v>86</v>
      </c>
      <c r="D1444" s="46"/>
      <c r="E1444" s="47" t="s">
        <v>50</v>
      </c>
      <c r="F1444" s="48">
        <v>10.83</v>
      </c>
      <c r="G1444" s="38">
        <v>1.17</v>
      </c>
      <c r="H1444" s="39"/>
      <c r="I1444" s="39"/>
      <c r="J1444" s="39"/>
      <c r="K1444" s="39"/>
      <c r="L1444" s="39"/>
      <c r="M1444" s="39"/>
      <c r="N1444" s="39"/>
      <c r="O1444" s="39"/>
      <c r="P1444" s="39"/>
      <c r="Q1444" s="39">
        <v>1.17</v>
      </c>
      <c r="R1444" s="39"/>
      <c r="S1444" s="39"/>
      <c r="T1444" s="39"/>
      <c r="U1444" s="39"/>
      <c r="V1444" s="39"/>
      <c r="W1444" s="39"/>
      <c r="X1444" s="49" t="s">
        <v>140</v>
      </c>
      <c r="Y1444" s="50">
        <v>0</v>
      </c>
      <c r="Z1444" s="51"/>
      <c r="AA1444" s="52">
        <f t="shared" si="33"/>
        <v>0</v>
      </c>
      <c r="AB1444" s="12">
        <v>0</v>
      </c>
      <c r="AC1444" s="12">
        <v>0</v>
      </c>
      <c r="AD1444" s="43"/>
      <c r="AE1444" s="43"/>
      <c r="AF1444" s="43"/>
      <c r="AG1444" s="43"/>
      <c r="AH1444" s="43"/>
      <c r="AI1444" s="43"/>
      <c r="AJ1444" s="43"/>
      <c r="AK1444" s="43"/>
      <c r="AL1444" s="43"/>
      <c r="AM1444" s="43"/>
      <c r="AN1444" s="43"/>
      <c r="AO1444" s="43"/>
      <c r="AP1444" s="43"/>
      <c r="AQ1444" s="43"/>
      <c r="AR1444" s="43"/>
      <c r="AS1444" s="43"/>
      <c r="AT1444" s="43"/>
      <c r="AU1444" s="43"/>
      <c r="AV1444" s="43"/>
    </row>
    <row r="1445" ht="15.75" spans="1:48">
      <c r="A1445" s="12">
        <v>1441</v>
      </c>
      <c r="B1445" s="44">
        <v>4173</v>
      </c>
      <c r="C1445" s="45" t="s">
        <v>75</v>
      </c>
      <c r="D1445" s="46" t="s">
        <v>78</v>
      </c>
      <c r="E1445" s="47" t="s">
        <v>50</v>
      </c>
      <c r="F1445" s="48">
        <v>10.67</v>
      </c>
      <c r="G1445" s="38">
        <v>1.34</v>
      </c>
      <c r="H1445" s="39"/>
      <c r="I1445" s="39"/>
      <c r="J1445" s="39"/>
      <c r="K1445" s="39"/>
      <c r="L1445" s="39"/>
      <c r="M1445" s="39"/>
      <c r="N1445" s="39"/>
      <c r="O1445" s="39"/>
      <c r="P1445" s="39"/>
      <c r="Q1445" s="39">
        <v>1.17</v>
      </c>
      <c r="R1445" s="39"/>
      <c r="S1445" s="39"/>
      <c r="T1445" s="39"/>
      <c r="U1445" s="39">
        <v>0.17</v>
      </c>
      <c r="V1445" s="39"/>
      <c r="W1445" s="39"/>
      <c r="X1445" s="49" t="s">
        <v>79</v>
      </c>
      <c r="Y1445" s="50">
        <v>71062.2</v>
      </c>
      <c r="Z1445" s="51">
        <v>59888</v>
      </c>
      <c r="AA1445" s="52">
        <f t="shared" si="33"/>
        <v>0.842754657187647</v>
      </c>
      <c r="AB1445" s="12">
        <v>59776</v>
      </c>
      <c r="AC1445" s="12">
        <v>112</v>
      </c>
      <c r="AD1445" s="43"/>
      <c r="AE1445" s="43"/>
      <c r="AF1445" s="43"/>
      <c r="AG1445" s="43"/>
      <c r="AH1445" s="19">
        <v>112</v>
      </c>
      <c r="AI1445" s="43"/>
      <c r="AJ1445" s="43"/>
      <c r="AK1445" s="43"/>
      <c r="AL1445" s="43"/>
      <c r="AM1445" s="43"/>
      <c r="AN1445" s="43"/>
      <c r="AO1445" s="43"/>
      <c r="AP1445" s="43"/>
      <c r="AQ1445" s="43"/>
      <c r="AR1445" s="43"/>
      <c r="AS1445" s="43"/>
      <c r="AT1445" s="43"/>
      <c r="AU1445" s="43"/>
      <c r="AV1445" s="43"/>
    </row>
    <row r="1446" ht="15.75" spans="1:48">
      <c r="A1446" s="12">
        <v>1442</v>
      </c>
      <c r="B1446" s="44">
        <v>4478</v>
      </c>
      <c r="C1446" s="45" t="s">
        <v>128</v>
      </c>
      <c r="D1446" s="46" t="s">
        <v>129</v>
      </c>
      <c r="E1446" s="47" t="s">
        <v>50</v>
      </c>
      <c r="F1446" s="48">
        <v>2.67</v>
      </c>
      <c r="G1446" s="38">
        <v>1.34</v>
      </c>
      <c r="H1446" s="39"/>
      <c r="I1446" s="39"/>
      <c r="J1446" s="39"/>
      <c r="K1446" s="39"/>
      <c r="L1446" s="39"/>
      <c r="M1446" s="39"/>
      <c r="N1446" s="39"/>
      <c r="O1446" s="39"/>
      <c r="P1446" s="39"/>
      <c r="Q1446" s="39">
        <v>1.17</v>
      </c>
      <c r="R1446" s="39"/>
      <c r="S1446" s="39"/>
      <c r="T1446" s="39"/>
      <c r="U1446" s="39">
        <v>0.17</v>
      </c>
      <c r="V1446" s="39"/>
      <c r="W1446" s="39"/>
      <c r="X1446" s="49" t="s">
        <v>311</v>
      </c>
      <c r="Y1446" s="50">
        <v>5340</v>
      </c>
      <c r="Z1446" s="51">
        <v>5208</v>
      </c>
      <c r="AA1446" s="52">
        <f t="shared" si="33"/>
        <v>0.975280898876404</v>
      </c>
      <c r="AB1446" s="12">
        <v>5200</v>
      </c>
      <c r="AC1446" s="12">
        <v>8</v>
      </c>
      <c r="AD1446" s="43"/>
      <c r="AE1446" s="43"/>
      <c r="AF1446" s="43"/>
      <c r="AG1446" s="43"/>
      <c r="AH1446" s="19">
        <v>8</v>
      </c>
      <c r="AI1446" s="43"/>
      <c r="AJ1446" s="43"/>
      <c r="AK1446" s="43"/>
      <c r="AL1446" s="43"/>
      <c r="AM1446" s="43"/>
      <c r="AN1446" s="43"/>
      <c r="AO1446" s="43"/>
      <c r="AP1446" s="43"/>
      <c r="AQ1446" s="43"/>
      <c r="AR1446" s="43"/>
      <c r="AS1446" s="43"/>
      <c r="AT1446" s="43"/>
      <c r="AU1446" s="43"/>
      <c r="AV1446" s="43"/>
    </row>
    <row r="1447" ht="15.75" spans="1:48">
      <c r="A1447" s="12">
        <v>1443</v>
      </c>
      <c r="B1447" s="44">
        <v>4478</v>
      </c>
      <c r="C1447" s="45" t="s">
        <v>128</v>
      </c>
      <c r="D1447" s="46" t="s">
        <v>129</v>
      </c>
      <c r="E1447" s="47" t="s">
        <v>50</v>
      </c>
      <c r="F1447" s="48">
        <v>8</v>
      </c>
      <c r="G1447" s="38">
        <v>0</v>
      </c>
      <c r="H1447" s="39"/>
      <c r="I1447" s="39"/>
      <c r="J1447" s="39"/>
      <c r="K1447" s="39"/>
      <c r="L1447" s="39"/>
      <c r="M1447" s="39"/>
      <c r="N1447" s="39"/>
      <c r="O1447" s="39"/>
      <c r="P1447" s="39"/>
      <c r="Q1447" s="39"/>
      <c r="R1447" s="39"/>
      <c r="S1447" s="39"/>
      <c r="T1447" s="39"/>
      <c r="U1447" s="39"/>
      <c r="V1447" s="39"/>
      <c r="W1447" s="39"/>
      <c r="X1447" s="49" t="s">
        <v>136</v>
      </c>
      <c r="Y1447" s="50">
        <v>19200</v>
      </c>
      <c r="Z1447" s="51">
        <v>15600</v>
      </c>
      <c r="AA1447" s="52">
        <f t="shared" si="33"/>
        <v>0.8125</v>
      </c>
      <c r="AB1447" s="12">
        <v>15600</v>
      </c>
      <c r="AC1447" s="12">
        <v>0</v>
      </c>
      <c r="AD1447" s="43"/>
      <c r="AE1447" s="43"/>
      <c r="AF1447" s="43"/>
      <c r="AG1447" s="43"/>
      <c r="AH1447" s="43"/>
      <c r="AI1447" s="43"/>
      <c r="AJ1447" s="43"/>
      <c r="AK1447" s="43"/>
      <c r="AL1447" s="43"/>
      <c r="AM1447" s="43"/>
      <c r="AN1447" s="43"/>
      <c r="AO1447" s="43"/>
      <c r="AP1447" s="43"/>
      <c r="AQ1447" s="43"/>
      <c r="AR1447" s="43"/>
      <c r="AS1447" s="43"/>
      <c r="AT1447" s="43"/>
      <c r="AU1447" s="43"/>
      <c r="AV1447" s="43"/>
    </row>
    <row r="1448" ht="15.75" spans="1:48">
      <c r="A1448" s="12">
        <v>1444</v>
      </c>
      <c r="B1448" s="44">
        <v>4344</v>
      </c>
      <c r="C1448" s="45" t="s">
        <v>85</v>
      </c>
      <c r="D1448" s="46" t="s">
        <v>138</v>
      </c>
      <c r="E1448" s="47" t="s">
        <v>50</v>
      </c>
      <c r="F1448" s="48">
        <v>5.17</v>
      </c>
      <c r="G1448" s="38">
        <v>1.67</v>
      </c>
      <c r="H1448" s="39"/>
      <c r="I1448" s="39"/>
      <c r="J1448" s="39"/>
      <c r="K1448" s="39">
        <v>0.33</v>
      </c>
      <c r="L1448" s="39"/>
      <c r="M1448" s="39"/>
      <c r="N1448" s="39"/>
      <c r="O1448" s="39"/>
      <c r="P1448" s="39"/>
      <c r="Q1448" s="39">
        <v>1.17</v>
      </c>
      <c r="R1448" s="39"/>
      <c r="S1448" s="39"/>
      <c r="T1448" s="39"/>
      <c r="U1448" s="39">
        <v>0.17</v>
      </c>
      <c r="V1448" s="39"/>
      <c r="W1448" s="39"/>
      <c r="X1448" s="49" t="s">
        <v>208</v>
      </c>
      <c r="Y1448" s="50">
        <v>7884.25</v>
      </c>
      <c r="Z1448" s="51">
        <v>7800</v>
      </c>
      <c r="AA1448" s="52">
        <f t="shared" si="33"/>
        <v>0.989314138947902</v>
      </c>
      <c r="AB1448" s="12">
        <v>7760</v>
      </c>
      <c r="AC1448" s="12">
        <v>40</v>
      </c>
      <c r="AD1448" s="43"/>
      <c r="AE1448" s="43"/>
      <c r="AF1448" s="43"/>
      <c r="AG1448" s="43"/>
      <c r="AH1448" s="19">
        <v>40</v>
      </c>
      <c r="AI1448" s="43"/>
      <c r="AJ1448" s="43"/>
      <c r="AK1448" s="43"/>
      <c r="AL1448" s="43"/>
      <c r="AM1448" s="43"/>
      <c r="AN1448" s="43"/>
      <c r="AO1448" s="43"/>
      <c r="AP1448" s="43"/>
      <c r="AQ1448" s="43"/>
      <c r="AR1448" s="43"/>
      <c r="AS1448" s="43"/>
      <c r="AT1448" s="43"/>
      <c r="AU1448" s="43"/>
      <c r="AV1448" s="43"/>
    </row>
    <row r="1449" ht="15.75" spans="1:48">
      <c r="A1449" s="12">
        <v>1445</v>
      </c>
      <c r="B1449" s="44">
        <v>4344</v>
      </c>
      <c r="C1449" s="45" t="s">
        <v>85</v>
      </c>
      <c r="D1449" s="46" t="s">
        <v>73</v>
      </c>
      <c r="E1449" s="47" t="s">
        <v>50</v>
      </c>
      <c r="F1449" s="48">
        <v>4.33</v>
      </c>
      <c r="G1449" s="38">
        <v>0.84</v>
      </c>
      <c r="H1449" s="39"/>
      <c r="I1449" s="39"/>
      <c r="J1449" s="39"/>
      <c r="K1449" s="39">
        <v>0.17</v>
      </c>
      <c r="L1449" s="39"/>
      <c r="M1449" s="39"/>
      <c r="N1449" s="39"/>
      <c r="O1449" s="39"/>
      <c r="P1449" s="39"/>
      <c r="Q1449" s="39"/>
      <c r="R1449" s="39"/>
      <c r="S1449" s="39"/>
      <c r="T1449" s="39"/>
      <c r="U1449" s="39">
        <v>0.67</v>
      </c>
      <c r="V1449" s="39"/>
      <c r="W1449" s="39"/>
      <c r="X1449" s="49" t="s">
        <v>74</v>
      </c>
      <c r="Y1449" s="50">
        <v>7036.25</v>
      </c>
      <c r="Z1449" s="51">
        <v>6800</v>
      </c>
      <c r="AA1449" s="52">
        <f t="shared" si="33"/>
        <v>0.966423876354592</v>
      </c>
      <c r="AB1449" s="12">
        <v>6795</v>
      </c>
      <c r="AC1449" s="12">
        <v>5</v>
      </c>
      <c r="AD1449" s="43"/>
      <c r="AE1449" s="43"/>
      <c r="AF1449" s="43"/>
      <c r="AG1449" s="43"/>
      <c r="AH1449" s="19">
        <v>5</v>
      </c>
      <c r="AI1449" s="43"/>
      <c r="AJ1449" s="43"/>
      <c r="AK1449" s="43"/>
      <c r="AL1449" s="43"/>
      <c r="AM1449" s="43"/>
      <c r="AN1449" s="43"/>
      <c r="AO1449" s="43"/>
      <c r="AP1449" s="43"/>
      <c r="AQ1449" s="43"/>
      <c r="AR1449" s="43"/>
      <c r="AS1449" s="43"/>
      <c r="AT1449" s="43"/>
      <c r="AU1449" s="43"/>
      <c r="AV1449" s="43"/>
    </row>
    <row r="1450" ht="15.75" spans="1:48">
      <c r="A1450" s="12">
        <v>1446</v>
      </c>
      <c r="B1450" s="44">
        <v>3268</v>
      </c>
      <c r="C1450" s="45" t="s">
        <v>80</v>
      </c>
      <c r="D1450" s="46">
        <v>17</v>
      </c>
      <c r="E1450" s="47" t="s">
        <v>50</v>
      </c>
      <c r="F1450" s="48">
        <v>0.5</v>
      </c>
      <c r="G1450" s="38">
        <v>0</v>
      </c>
      <c r="H1450" s="39"/>
      <c r="I1450" s="39"/>
      <c r="J1450" s="39"/>
      <c r="K1450" s="39"/>
      <c r="L1450" s="39"/>
      <c r="M1450" s="39"/>
      <c r="N1450" s="39"/>
      <c r="O1450" s="39"/>
      <c r="P1450" s="39"/>
      <c r="Q1450" s="39"/>
      <c r="R1450" s="39"/>
      <c r="S1450" s="39"/>
      <c r="T1450" s="39"/>
      <c r="U1450" s="39"/>
      <c r="V1450" s="39"/>
      <c r="W1450" s="39"/>
      <c r="X1450" s="49">
        <v>977</v>
      </c>
      <c r="Y1450" s="50">
        <v>150</v>
      </c>
      <c r="Z1450" s="51">
        <v>120</v>
      </c>
      <c r="AA1450" s="52">
        <f t="shared" si="33"/>
        <v>0.8</v>
      </c>
      <c r="AB1450" s="12">
        <v>120</v>
      </c>
      <c r="AC1450" s="12">
        <v>0</v>
      </c>
      <c r="AD1450" s="43"/>
      <c r="AE1450" s="43"/>
      <c r="AF1450" s="43"/>
      <c r="AG1450" s="43"/>
      <c r="AH1450" s="43"/>
      <c r="AI1450" s="43"/>
      <c r="AJ1450" s="43"/>
      <c r="AK1450" s="43"/>
      <c r="AL1450" s="43"/>
      <c r="AM1450" s="43"/>
      <c r="AN1450" s="43"/>
      <c r="AO1450" s="43"/>
      <c r="AP1450" s="43"/>
      <c r="AQ1450" s="43"/>
      <c r="AR1450" s="43"/>
      <c r="AS1450" s="43"/>
      <c r="AT1450" s="43"/>
      <c r="AU1450" s="43"/>
      <c r="AV1450" s="43"/>
    </row>
    <row r="1451" ht="15.75" spans="1:48">
      <c r="A1451" s="12">
        <v>1447</v>
      </c>
      <c r="B1451" s="44">
        <v>4382</v>
      </c>
      <c r="C1451" s="45" t="s">
        <v>173</v>
      </c>
      <c r="D1451" s="46">
        <v>6</v>
      </c>
      <c r="E1451" s="47" t="s">
        <v>50</v>
      </c>
      <c r="F1451" s="48">
        <v>9</v>
      </c>
      <c r="G1451" s="38">
        <v>1.17</v>
      </c>
      <c r="H1451" s="39"/>
      <c r="I1451" s="39"/>
      <c r="J1451" s="39"/>
      <c r="K1451" s="39"/>
      <c r="L1451" s="39"/>
      <c r="M1451" s="39"/>
      <c r="N1451" s="39"/>
      <c r="O1451" s="39"/>
      <c r="P1451" s="39"/>
      <c r="Q1451" s="39">
        <v>1.17</v>
      </c>
      <c r="R1451" s="39"/>
      <c r="S1451" s="39"/>
      <c r="T1451" s="39"/>
      <c r="U1451" s="39"/>
      <c r="V1451" s="39"/>
      <c r="W1451" s="39"/>
      <c r="X1451" s="49">
        <v>1090</v>
      </c>
      <c r="Y1451" s="50">
        <v>5940</v>
      </c>
      <c r="Z1451" s="51">
        <v>6000</v>
      </c>
      <c r="AA1451" s="52">
        <f t="shared" si="33"/>
        <v>1.01010101010101</v>
      </c>
      <c r="AB1451" s="12">
        <v>6000</v>
      </c>
      <c r="AC1451" s="12">
        <v>0</v>
      </c>
      <c r="AD1451" s="43"/>
      <c r="AE1451" s="43"/>
      <c r="AF1451" s="43"/>
      <c r="AG1451" s="43"/>
      <c r="AH1451" s="43"/>
      <c r="AI1451" s="43"/>
      <c r="AJ1451" s="43"/>
      <c r="AK1451" s="43"/>
      <c r="AL1451" s="43"/>
      <c r="AM1451" s="43"/>
      <c r="AN1451" s="43"/>
      <c r="AO1451" s="43"/>
      <c r="AP1451" s="43"/>
      <c r="AQ1451" s="43"/>
      <c r="AR1451" s="43"/>
      <c r="AS1451" s="43"/>
      <c r="AT1451" s="43"/>
      <c r="AU1451" s="43"/>
      <c r="AV1451" s="43"/>
    </row>
    <row r="1452" ht="15.75" spans="1:48">
      <c r="A1452" s="12">
        <v>1448</v>
      </c>
      <c r="B1452" s="44">
        <v>4360</v>
      </c>
      <c r="C1452" s="45" t="s">
        <v>97</v>
      </c>
      <c r="D1452" s="46">
        <v>15</v>
      </c>
      <c r="E1452" s="47" t="s">
        <v>50</v>
      </c>
      <c r="F1452" s="48">
        <v>6</v>
      </c>
      <c r="G1452" s="38">
        <v>2.01</v>
      </c>
      <c r="H1452" s="39"/>
      <c r="I1452" s="39"/>
      <c r="J1452" s="39"/>
      <c r="K1452" s="39"/>
      <c r="L1452" s="39"/>
      <c r="M1452" s="39"/>
      <c r="N1452" s="39"/>
      <c r="O1452" s="39"/>
      <c r="P1452" s="39"/>
      <c r="Q1452" s="39">
        <v>1.17</v>
      </c>
      <c r="R1452" s="39"/>
      <c r="S1452" s="39"/>
      <c r="T1452" s="39">
        <v>0.67</v>
      </c>
      <c r="U1452" s="39">
        <v>0.17</v>
      </c>
      <c r="V1452" s="39"/>
      <c r="W1452" s="39"/>
      <c r="X1452" s="49">
        <v>9149</v>
      </c>
      <c r="Y1452" s="50">
        <v>2160</v>
      </c>
      <c r="Z1452" s="51">
        <v>1221</v>
      </c>
      <c r="AA1452" s="52">
        <f t="shared" si="33"/>
        <v>0.565277777777778</v>
      </c>
      <c r="AB1452" s="12">
        <v>1080</v>
      </c>
      <c r="AC1452" s="12">
        <v>141</v>
      </c>
      <c r="AD1452" s="19">
        <v>141</v>
      </c>
      <c r="AE1452" s="43"/>
      <c r="AF1452" s="43"/>
      <c r="AG1452" s="43"/>
      <c r="AH1452" s="43"/>
      <c r="AI1452" s="43"/>
      <c r="AJ1452" s="43"/>
      <c r="AK1452" s="43"/>
      <c r="AL1452" s="43"/>
      <c r="AM1452" s="43"/>
      <c r="AN1452" s="43"/>
      <c r="AO1452" s="43"/>
      <c r="AP1452" s="43"/>
      <c r="AQ1452" s="43"/>
      <c r="AR1452" s="43"/>
      <c r="AS1452" s="43"/>
      <c r="AT1452" s="43"/>
      <c r="AU1452" s="43"/>
      <c r="AV1452" s="43"/>
    </row>
    <row r="1453" ht="15.75" spans="1:48">
      <c r="A1453" s="12">
        <v>1449</v>
      </c>
      <c r="B1453" s="44" t="s">
        <v>185</v>
      </c>
      <c r="C1453" s="45" t="s">
        <v>179</v>
      </c>
      <c r="D1453" s="46">
        <v>7</v>
      </c>
      <c r="E1453" s="47" t="s">
        <v>50</v>
      </c>
      <c r="F1453" s="48" t="e">
        <v>#VALUE!</v>
      </c>
      <c r="G1453" s="38">
        <v>1.17</v>
      </c>
      <c r="H1453" s="39"/>
      <c r="I1453" s="39"/>
      <c r="J1453" s="39"/>
      <c r="K1453" s="39"/>
      <c r="L1453" s="39"/>
      <c r="M1453" s="39"/>
      <c r="N1453" s="39"/>
      <c r="O1453" s="39"/>
      <c r="P1453" s="39"/>
      <c r="Q1453" s="39">
        <v>1.17</v>
      </c>
      <c r="R1453" s="39"/>
      <c r="S1453" s="39"/>
      <c r="T1453" s="39"/>
      <c r="U1453" s="39"/>
      <c r="V1453" s="39"/>
      <c r="W1453" s="39"/>
      <c r="X1453" s="49" t="s">
        <v>95</v>
      </c>
      <c r="Y1453" s="50" t="e">
        <v>#VALUE!</v>
      </c>
      <c r="Z1453" s="51">
        <v>5348</v>
      </c>
      <c r="AA1453" s="52">
        <f t="shared" si="33"/>
        <v>0</v>
      </c>
      <c r="AB1453" s="12">
        <v>5348</v>
      </c>
      <c r="AC1453" s="12">
        <v>0</v>
      </c>
      <c r="AD1453" s="43"/>
      <c r="AE1453" s="43"/>
      <c r="AF1453" s="43"/>
      <c r="AG1453" s="43"/>
      <c r="AH1453" s="43"/>
      <c r="AI1453" s="43"/>
      <c r="AJ1453" s="43"/>
      <c r="AK1453" s="43"/>
      <c r="AL1453" s="43"/>
      <c r="AM1453" s="43"/>
      <c r="AN1453" s="43"/>
      <c r="AO1453" s="43"/>
      <c r="AP1453" s="43"/>
      <c r="AQ1453" s="43"/>
      <c r="AR1453" s="43"/>
      <c r="AS1453" s="43"/>
      <c r="AT1453" s="43"/>
      <c r="AU1453" s="43"/>
      <c r="AV1453" s="43"/>
    </row>
    <row r="1454" ht="15.75" spans="1:48">
      <c r="A1454" s="12">
        <v>1450</v>
      </c>
      <c r="B1454" s="44">
        <v>4310</v>
      </c>
      <c r="C1454" s="45" t="s">
        <v>99</v>
      </c>
      <c r="D1454" s="46">
        <v>18</v>
      </c>
      <c r="E1454" s="47" t="s">
        <v>50</v>
      </c>
      <c r="F1454" s="48">
        <v>7.83</v>
      </c>
      <c r="G1454" s="38">
        <v>1.84</v>
      </c>
      <c r="H1454" s="39"/>
      <c r="I1454" s="39"/>
      <c r="J1454" s="39"/>
      <c r="K1454" s="39"/>
      <c r="L1454" s="39"/>
      <c r="M1454" s="39"/>
      <c r="N1454" s="39"/>
      <c r="O1454" s="39"/>
      <c r="P1454" s="39"/>
      <c r="Q1454" s="39">
        <v>1.17</v>
      </c>
      <c r="R1454" s="39"/>
      <c r="S1454" s="39"/>
      <c r="T1454" s="39">
        <v>0.5</v>
      </c>
      <c r="U1454" s="39">
        <v>0.17</v>
      </c>
      <c r="V1454" s="39"/>
      <c r="W1454" s="39"/>
      <c r="X1454" s="49">
        <v>2801</v>
      </c>
      <c r="Y1454" s="50">
        <v>4737.15</v>
      </c>
      <c r="Z1454" s="51">
        <v>3960</v>
      </c>
      <c r="AA1454" s="52">
        <f t="shared" si="33"/>
        <v>0.83594566353187</v>
      </c>
      <c r="AB1454" s="12">
        <v>3840</v>
      </c>
      <c r="AC1454" s="12">
        <v>120</v>
      </c>
      <c r="AD1454" s="19">
        <v>120</v>
      </c>
      <c r="AE1454" s="43"/>
      <c r="AF1454" s="43"/>
      <c r="AG1454" s="43"/>
      <c r="AH1454" s="43"/>
      <c r="AI1454" s="43"/>
      <c r="AJ1454" s="43"/>
      <c r="AK1454" s="43"/>
      <c r="AL1454" s="43"/>
      <c r="AM1454" s="43"/>
      <c r="AN1454" s="43"/>
      <c r="AO1454" s="43"/>
      <c r="AP1454" s="43"/>
      <c r="AQ1454" s="43"/>
      <c r="AR1454" s="43"/>
      <c r="AS1454" s="43"/>
      <c r="AT1454" s="43"/>
      <c r="AU1454" s="43"/>
      <c r="AV1454" s="43"/>
    </row>
    <row r="1455" ht="15.75" spans="1:48">
      <c r="A1455" s="12">
        <v>1451</v>
      </c>
      <c r="B1455" s="44">
        <v>3268</v>
      </c>
      <c r="C1455" s="45" t="s">
        <v>80</v>
      </c>
      <c r="D1455" s="46"/>
      <c r="E1455" s="47" t="s">
        <v>50</v>
      </c>
      <c r="F1455" s="48">
        <v>0.67</v>
      </c>
      <c r="G1455" s="38">
        <v>0</v>
      </c>
      <c r="H1455" s="39"/>
      <c r="I1455" s="39"/>
      <c r="J1455" s="39"/>
      <c r="K1455" s="39"/>
      <c r="L1455" s="39"/>
      <c r="M1455" s="39"/>
      <c r="N1455" s="39"/>
      <c r="O1455" s="39"/>
      <c r="P1455" s="39"/>
      <c r="Q1455" s="39"/>
      <c r="R1455" s="39"/>
      <c r="S1455" s="39"/>
      <c r="T1455" s="39"/>
      <c r="U1455" s="39"/>
      <c r="V1455" s="39"/>
      <c r="W1455" s="39"/>
      <c r="X1455" s="49" t="s">
        <v>98</v>
      </c>
      <c r="Y1455" s="50">
        <v>314.9</v>
      </c>
      <c r="Z1455" s="51">
        <v>360</v>
      </c>
      <c r="AA1455" s="52">
        <f t="shared" si="33"/>
        <v>1.14322006986345</v>
      </c>
      <c r="AB1455" s="12">
        <v>360</v>
      </c>
      <c r="AC1455" s="12">
        <v>0</v>
      </c>
      <c r="AD1455" s="43"/>
      <c r="AE1455" s="43"/>
      <c r="AF1455" s="43"/>
      <c r="AG1455" s="43"/>
      <c r="AH1455" s="43"/>
      <c r="AI1455" s="43"/>
      <c r="AJ1455" s="43"/>
      <c r="AK1455" s="43"/>
      <c r="AL1455" s="43"/>
      <c r="AM1455" s="43"/>
      <c r="AN1455" s="43"/>
      <c r="AO1455" s="43"/>
      <c r="AP1455" s="43"/>
      <c r="AQ1455" s="43"/>
      <c r="AR1455" s="43"/>
      <c r="AS1455" s="43"/>
      <c r="AT1455" s="43"/>
      <c r="AU1455" s="43"/>
      <c r="AV1455" s="43"/>
    </row>
    <row r="1456" ht="15.75" spans="1:48">
      <c r="A1456" s="12">
        <v>1452</v>
      </c>
      <c r="B1456" s="44">
        <v>3268</v>
      </c>
      <c r="C1456" s="45" t="s">
        <v>80</v>
      </c>
      <c r="D1456" s="46"/>
      <c r="E1456" s="47" t="s">
        <v>50</v>
      </c>
      <c r="F1456" s="48">
        <v>8.67</v>
      </c>
      <c r="G1456" s="38">
        <v>2.17</v>
      </c>
      <c r="H1456" s="39"/>
      <c r="I1456" s="39"/>
      <c r="J1456" s="39"/>
      <c r="K1456" s="39"/>
      <c r="L1456" s="39"/>
      <c r="M1456" s="39"/>
      <c r="N1456" s="39"/>
      <c r="O1456" s="39"/>
      <c r="P1456" s="39"/>
      <c r="Q1456" s="39">
        <v>1.17</v>
      </c>
      <c r="R1456" s="39"/>
      <c r="S1456" s="39"/>
      <c r="T1456" s="39"/>
      <c r="U1456" s="39">
        <v>0.17</v>
      </c>
      <c r="V1456" s="39">
        <v>0.83</v>
      </c>
      <c r="W1456" s="39"/>
      <c r="X1456" s="49" t="s">
        <v>96</v>
      </c>
      <c r="Y1456" s="50">
        <v>12571.5</v>
      </c>
      <c r="Z1456" s="51">
        <v>12000</v>
      </c>
      <c r="AA1456" s="52">
        <f t="shared" si="33"/>
        <v>0.954540031022551</v>
      </c>
      <c r="AB1456" s="12">
        <v>12000</v>
      </c>
      <c r="AC1456" s="12">
        <v>0</v>
      </c>
      <c r="AD1456" s="43"/>
      <c r="AE1456" s="43"/>
      <c r="AF1456" s="43"/>
      <c r="AG1456" s="43"/>
      <c r="AH1456" s="43"/>
      <c r="AI1456" s="43"/>
      <c r="AJ1456" s="43"/>
      <c r="AK1456" s="43"/>
      <c r="AL1456" s="43"/>
      <c r="AM1456" s="43"/>
      <c r="AN1456" s="43"/>
      <c r="AO1456" s="43"/>
      <c r="AP1456" s="43"/>
      <c r="AQ1456" s="43"/>
      <c r="AR1456" s="43"/>
      <c r="AS1456" s="43"/>
      <c r="AT1456" s="43"/>
      <c r="AU1456" s="43"/>
      <c r="AV1456" s="43"/>
    </row>
    <row r="1457" ht="15.75" spans="1:48">
      <c r="A1457" s="12">
        <v>1453</v>
      </c>
      <c r="B1457" s="44">
        <v>4412</v>
      </c>
      <c r="C1457" s="45" t="s">
        <v>177</v>
      </c>
      <c r="D1457" s="46">
        <v>8</v>
      </c>
      <c r="E1457" s="47" t="s">
        <v>50</v>
      </c>
      <c r="F1457" s="48">
        <v>9.17</v>
      </c>
      <c r="G1457" s="38">
        <v>1.34</v>
      </c>
      <c r="H1457" s="39"/>
      <c r="I1457" s="39"/>
      <c r="J1457" s="39"/>
      <c r="K1457" s="39"/>
      <c r="L1457" s="39"/>
      <c r="M1457" s="39"/>
      <c r="N1457" s="39"/>
      <c r="O1457" s="39"/>
      <c r="P1457" s="39"/>
      <c r="Q1457" s="39">
        <v>1.17</v>
      </c>
      <c r="R1457" s="39"/>
      <c r="S1457" s="39"/>
      <c r="T1457" s="39"/>
      <c r="U1457" s="39">
        <v>0.17</v>
      </c>
      <c r="V1457" s="39"/>
      <c r="W1457" s="39"/>
      <c r="X1457" s="49">
        <v>9968</v>
      </c>
      <c r="Y1457" s="50">
        <v>5547.85</v>
      </c>
      <c r="Z1457" s="51">
        <v>5520</v>
      </c>
      <c r="AA1457" s="52">
        <f t="shared" si="33"/>
        <v>0.994980037311751</v>
      </c>
      <c r="AB1457" s="12">
        <v>5520</v>
      </c>
      <c r="AC1457" s="12">
        <v>0</v>
      </c>
      <c r="AD1457" s="43"/>
      <c r="AE1457" s="43"/>
      <c r="AF1457" s="43"/>
      <c r="AG1457" s="43"/>
      <c r="AH1457" s="43"/>
      <c r="AI1457" s="43"/>
      <c r="AJ1457" s="43"/>
      <c r="AK1457" s="43"/>
      <c r="AL1457" s="43"/>
      <c r="AM1457" s="43"/>
      <c r="AN1457" s="43"/>
      <c r="AO1457" s="43"/>
      <c r="AP1457" s="43"/>
      <c r="AQ1457" s="43"/>
      <c r="AR1457" s="43"/>
      <c r="AS1457" s="43"/>
      <c r="AT1457" s="43"/>
      <c r="AU1457" s="43"/>
      <c r="AV1457" s="43"/>
    </row>
    <row r="1458" ht="15.75" spans="1:48">
      <c r="A1458" s="12">
        <v>1454</v>
      </c>
      <c r="B1458" s="44">
        <v>676</v>
      </c>
      <c r="C1458" s="45" t="s">
        <v>171</v>
      </c>
      <c r="D1458" s="46"/>
      <c r="E1458" s="47" t="s">
        <v>50</v>
      </c>
      <c r="F1458" s="48">
        <v>6</v>
      </c>
      <c r="G1458" s="38">
        <v>5</v>
      </c>
      <c r="H1458" s="39"/>
      <c r="I1458" s="39"/>
      <c r="J1458" s="39"/>
      <c r="K1458" s="39"/>
      <c r="L1458" s="39"/>
      <c r="M1458" s="39"/>
      <c r="N1458" s="39"/>
      <c r="O1458" s="39"/>
      <c r="P1458" s="39"/>
      <c r="Q1458" s="39">
        <v>1.17</v>
      </c>
      <c r="R1458" s="39"/>
      <c r="S1458" s="39">
        <v>3.33</v>
      </c>
      <c r="T1458" s="39"/>
      <c r="U1458" s="39">
        <v>0.17</v>
      </c>
      <c r="V1458" s="39">
        <v>0.33</v>
      </c>
      <c r="W1458" s="39"/>
      <c r="X1458" s="49" t="s">
        <v>98</v>
      </c>
      <c r="Y1458" s="50">
        <v>2820</v>
      </c>
      <c r="Z1458" s="51">
        <v>2700</v>
      </c>
      <c r="AA1458" s="52">
        <f t="shared" si="33"/>
        <v>0.957446808510638</v>
      </c>
      <c r="AB1458" s="12">
        <v>2700</v>
      </c>
      <c r="AC1458" s="12">
        <v>0</v>
      </c>
      <c r="AD1458" s="43"/>
      <c r="AE1458" s="43"/>
      <c r="AF1458" s="43"/>
      <c r="AG1458" s="43"/>
      <c r="AH1458" s="43"/>
      <c r="AI1458" s="43"/>
      <c r="AJ1458" s="43"/>
      <c r="AK1458" s="43"/>
      <c r="AL1458" s="43"/>
      <c r="AM1458" s="43"/>
      <c r="AN1458" s="43"/>
      <c r="AO1458" s="43"/>
      <c r="AP1458" s="43"/>
      <c r="AQ1458" s="43"/>
      <c r="AR1458" s="43"/>
      <c r="AS1458" s="43"/>
      <c r="AT1458" s="43"/>
      <c r="AU1458" s="43"/>
      <c r="AV1458" s="43"/>
    </row>
    <row r="1459" ht="15.75" spans="1:48">
      <c r="A1459" s="12">
        <v>1455</v>
      </c>
      <c r="B1459" s="44">
        <v>676</v>
      </c>
      <c r="C1459" s="45" t="s">
        <v>171</v>
      </c>
      <c r="D1459" s="46"/>
      <c r="E1459" s="47" t="s">
        <v>50</v>
      </c>
      <c r="F1459" s="48">
        <v>1</v>
      </c>
      <c r="G1459" s="38">
        <v>0</v>
      </c>
      <c r="H1459" s="39"/>
      <c r="I1459" s="39"/>
      <c r="J1459" s="39"/>
      <c r="K1459" s="39"/>
      <c r="L1459" s="39"/>
      <c r="M1459" s="39"/>
      <c r="N1459" s="39"/>
      <c r="O1459" s="39"/>
      <c r="P1459" s="39"/>
      <c r="Q1459" s="39"/>
      <c r="R1459" s="39"/>
      <c r="S1459" s="39"/>
      <c r="T1459" s="39"/>
      <c r="U1459" s="39"/>
      <c r="V1459" s="39"/>
      <c r="W1459" s="39"/>
      <c r="X1459" s="49" t="s">
        <v>285</v>
      </c>
      <c r="Y1459" s="50">
        <v>470</v>
      </c>
      <c r="Z1459" s="51">
        <v>540</v>
      </c>
      <c r="AA1459" s="52">
        <f t="shared" si="33"/>
        <v>1.14893617021277</v>
      </c>
      <c r="AB1459" s="12">
        <v>540</v>
      </c>
      <c r="AC1459" s="12">
        <v>0</v>
      </c>
      <c r="AD1459" s="43"/>
      <c r="AE1459" s="43"/>
      <c r="AF1459" s="43"/>
      <c r="AG1459" s="43"/>
      <c r="AH1459" s="43"/>
      <c r="AI1459" s="43"/>
      <c r="AJ1459" s="43"/>
      <c r="AK1459" s="43"/>
      <c r="AL1459" s="43"/>
      <c r="AM1459" s="43"/>
      <c r="AN1459" s="43"/>
      <c r="AO1459" s="43"/>
      <c r="AP1459" s="43"/>
      <c r="AQ1459" s="43"/>
      <c r="AR1459" s="43"/>
      <c r="AS1459" s="43"/>
      <c r="AT1459" s="43"/>
      <c r="AU1459" s="43"/>
      <c r="AV1459" s="43"/>
    </row>
    <row r="1460" ht="15.75" spans="1:48">
      <c r="A1460" s="12">
        <v>1456</v>
      </c>
      <c r="B1460" s="44">
        <v>761</v>
      </c>
      <c r="C1460" s="45" t="s">
        <v>89</v>
      </c>
      <c r="D1460" s="46"/>
      <c r="E1460" s="47" t="s">
        <v>50</v>
      </c>
      <c r="F1460" s="48">
        <v>3.17</v>
      </c>
      <c r="G1460" s="38">
        <v>0</v>
      </c>
      <c r="H1460" s="39"/>
      <c r="I1460" s="39"/>
      <c r="J1460" s="39"/>
      <c r="K1460" s="39"/>
      <c r="L1460" s="39"/>
      <c r="M1460" s="39"/>
      <c r="N1460" s="39"/>
      <c r="O1460" s="39"/>
      <c r="P1460" s="39"/>
      <c r="Q1460" s="39"/>
      <c r="R1460" s="39"/>
      <c r="S1460" s="39"/>
      <c r="T1460" s="39"/>
      <c r="U1460" s="39"/>
      <c r="V1460" s="39"/>
      <c r="W1460" s="39"/>
      <c r="X1460" s="49" t="s">
        <v>98</v>
      </c>
      <c r="Y1460" s="50">
        <v>1489.9</v>
      </c>
      <c r="Z1460" s="51">
        <v>1440</v>
      </c>
      <c r="AA1460" s="52">
        <f t="shared" si="33"/>
        <v>0.966507819316733</v>
      </c>
      <c r="AB1460" s="12">
        <v>1440</v>
      </c>
      <c r="AC1460" s="12">
        <v>0</v>
      </c>
      <c r="AD1460" s="43"/>
      <c r="AE1460" s="43"/>
      <c r="AF1460" s="43"/>
      <c r="AG1460" s="43"/>
      <c r="AH1460" s="43"/>
      <c r="AI1460" s="43"/>
      <c r="AJ1460" s="43"/>
      <c r="AK1460" s="43"/>
      <c r="AL1460" s="43"/>
      <c r="AM1460" s="43"/>
      <c r="AN1460" s="43"/>
      <c r="AO1460" s="43"/>
      <c r="AP1460" s="43"/>
      <c r="AQ1460" s="43"/>
      <c r="AR1460" s="43"/>
      <c r="AS1460" s="43"/>
      <c r="AT1460" s="43"/>
      <c r="AU1460" s="43"/>
      <c r="AV1460" s="43"/>
    </row>
    <row r="1461" ht="15.75" spans="1:48">
      <c r="A1461" s="12">
        <v>1457</v>
      </c>
      <c r="B1461" s="44">
        <v>761</v>
      </c>
      <c r="C1461" s="45" t="s">
        <v>89</v>
      </c>
      <c r="D1461" s="46"/>
      <c r="E1461" s="47" t="s">
        <v>50</v>
      </c>
      <c r="F1461" s="48">
        <v>0.83</v>
      </c>
      <c r="G1461" s="38">
        <v>0</v>
      </c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  <c r="S1461" s="39"/>
      <c r="T1461" s="39"/>
      <c r="U1461" s="39"/>
      <c r="V1461" s="39"/>
      <c r="W1461" s="39"/>
      <c r="X1461" s="49" t="s">
        <v>285</v>
      </c>
      <c r="Y1461" s="50">
        <v>390.1</v>
      </c>
      <c r="Z1461" s="51">
        <v>360</v>
      </c>
      <c r="AA1461" s="52">
        <f t="shared" ref="AA1461:AA1492" si="34">IFERROR(Z1461/Y1461,0)</f>
        <v>0.922840297359651</v>
      </c>
      <c r="AB1461" s="12">
        <v>360</v>
      </c>
      <c r="AC1461" s="12">
        <v>0</v>
      </c>
      <c r="AD1461" s="43"/>
      <c r="AE1461" s="43"/>
      <c r="AF1461" s="43"/>
      <c r="AG1461" s="43"/>
      <c r="AH1461" s="43"/>
      <c r="AI1461" s="43"/>
      <c r="AJ1461" s="43"/>
      <c r="AK1461" s="43"/>
      <c r="AL1461" s="43"/>
      <c r="AM1461" s="43"/>
      <c r="AN1461" s="43"/>
      <c r="AO1461" s="43"/>
      <c r="AP1461" s="43"/>
      <c r="AQ1461" s="43"/>
      <c r="AR1461" s="43"/>
      <c r="AS1461" s="43"/>
      <c r="AT1461" s="43"/>
      <c r="AU1461" s="43"/>
      <c r="AV1461" s="43"/>
    </row>
    <row r="1462" ht="15.75" spans="1:48">
      <c r="A1462" s="12">
        <v>1458</v>
      </c>
      <c r="B1462" s="53">
        <v>669</v>
      </c>
      <c r="C1462" s="55" t="s">
        <v>94</v>
      </c>
      <c r="D1462" s="56">
        <v>5</v>
      </c>
      <c r="E1462" s="47" t="s">
        <v>50</v>
      </c>
      <c r="F1462" s="48">
        <v>9.17</v>
      </c>
      <c r="G1462" s="38">
        <v>1.67</v>
      </c>
      <c r="H1462" s="39"/>
      <c r="I1462" s="39"/>
      <c r="J1462" s="39"/>
      <c r="K1462" s="39"/>
      <c r="L1462" s="39"/>
      <c r="M1462" s="39"/>
      <c r="N1462" s="39"/>
      <c r="O1462" s="39"/>
      <c r="P1462" s="39"/>
      <c r="Q1462" s="39">
        <v>1.17</v>
      </c>
      <c r="R1462" s="39"/>
      <c r="S1462" s="39"/>
      <c r="T1462" s="39">
        <v>0.33</v>
      </c>
      <c r="U1462" s="39">
        <v>0.17</v>
      </c>
      <c r="V1462" s="39"/>
      <c r="W1462" s="39"/>
      <c r="X1462" s="49">
        <v>5770</v>
      </c>
      <c r="Y1462" s="50">
        <v>5547.85</v>
      </c>
      <c r="Z1462" s="51">
        <v>5790</v>
      </c>
      <c r="AA1462" s="52">
        <f t="shared" si="34"/>
        <v>1.04364753913678</v>
      </c>
      <c r="AB1462" s="12">
        <v>5790</v>
      </c>
      <c r="AC1462" s="12">
        <v>0</v>
      </c>
      <c r="AD1462" s="43"/>
      <c r="AE1462" s="43"/>
      <c r="AF1462" s="43"/>
      <c r="AG1462" s="43"/>
      <c r="AH1462" s="43"/>
      <c r="AI1462" s="43"/>
      <c r="AJ1462" s="43"/>
      <c r="AK1462" s="43"/>
      <c r="AL1462" s="43"/>
      <c r="AM1462" s="43"/>
      <c r="AN1462" s="43"/>
      <c r="AO1462" s="43"/>
      <c r="AP1462" s="43"/>
      <c r="AQ1462" s="43"/>
      <c r="AR1462" s="43"/>
      <c r="AS1462" s="43"/>
      <c r="AT1462" s="43"/>
      <c r="AU1462" s="43"/>
      <c r="AV1462" s="43"/>
    </row>
    <row r="1463" ht="15.75" spans="1:48">
      <c r="A1463" s="12">
        <v>1459</v>
      </c>
      <c r="B1463" s="44">
        <v>3277</v>
      </c>
      <c r="C1463" s="45" t="s">
        <v>106</v>
      </c>
      <c r="D1463" s="46">
        <v>2</v>
      </c>
      <c r="E1463" s="47" t="s">
        <v>50</v>
      </c>
      <c r="F1463" s="48">
        <v>4.83</v>
      </c>
      <c r="G1463" s="38">
        <v>1.17</v>
      </c>
      <c r="H1463" s="39"/>
      <c r="I1463" s="39"/>
      <c r="J1463" s="39"/>
      <c r="K1463" s="39"/>
      <c r="L1463" s="39"/>
      <c r="M1463" s="39"/>
      <c r="N1463" s="39"/>
      <c r="O1463" s="39"/>
      <c r="P1463" s="39"/>
      <c r="Q1463" s="39">
        <v>1.17</v>
      </c>
      <c r="R1463" s="39"/>
      <c r="S1463" s="39"/>
      <c r="T1463" s="39"/>
      <c r="U1463" s="39"/>
      <c r="V1463" s="39"/>
      <c r="W1463" s="39"/>
      <c r="X1463" s="49">
        <v>8234</v>
      </c>
      <c r="Y1463" s="50">
        <v>3187.8</v>
      </c>
      <c r="Z1463" s="51">
        <v>3372</v>
      </c>
      <c r="AA1463" s="52">
        <f t="shared" si="34"/>
        <v>1.05778279691323</v>
      </c>
      <c r="AB1463" s="12">
        <v>3145</v>
      </c>
      <c r="AC1463" s="12">
        <v>227</v>
      </c>
      <c r="AD1463" s="19">
        <v>227</v>
      </c>
      <c r="AE1463" s="43"/>
      <c r="AF1463" s="43"/>
      <c r="AG1463" s="43"/>
      <c r="AH1463" s="43"/>
      <c r="AI1463" s="43"/>
      <c r="AJ1463" s="43"/>
      <c r="AK1463" s="43"/>
      <c r="AL1463" s="43"/>
      <c r="AM1463" s="43"/>
      <c r="AN1463" s="43"/>
      <c r="AO1463" s="43"/>
      <c r="AP1463" s="43"/>
      <c r="AQ1463" s="43"/>
      <c r="AR1463" s="43"/>
      <c r="AS1463" s="43"/>
      <c r="AT1463" s="43"/>
      <c r="AU1463" s="43"/>
      <c r="AV1463" s="43"/>
    </row>
    <row r="1464" ht="15.75" spans="1:48">
      <c r="A1464" s="12">
        <v>1460</v>
      </c>
      <c r="B1464" s="44">
        <v>3277</v>
      </c>
      <c r="C1464" s="45" t="s">
        <v>106</v>
      </c>
      <c r="D1464" s="46"/>
      <c r="E1464" s="47" t="s">
        <v>50</v>
      </c>
      <c r="F1464" s="48">
        <v>6</v>
      </c>
      <c r="G1464" s="38">
        <v>0</v>
      </c>
      <c r="H1464" s="39"/>
      <c r="I1464" s="39"/>
      <c r="J1464" s="39"/>
      <c r="K1464" s="39"/>
      <c r="L1464" s="39"/>
      <c r="M1464" s="39"/>
      <c r="N1464" s="39"/>
      <c r="O1464" s="39"/>
      <c r="P1464" s="39"/>
      <c r="Q1464" s="39"/>
      <c r="R1464" s="39"/>
      <c r="S1464" s="39"/>
      <c r="T1464" s="39"/>
      <c r="U1464" s="39"/>
      <c r="V1464" s="39"/>
      <c r="W1464" s="39"/>
      <c r="X1464" s="49" t="s">
        <v>155</v>
      </c>
      <c r="Y1464" s="50">
        <v>0</v>
      </c>
      <c r="Z1464" s="51"/>
      <c r="AA1464" s="52">
        <f t="shared" si="34"/>
        <v>0</v>
      </c>
      <c r="AB1464" s="12">
        <v>0</v>
      </c>
      <c r="AC1464" s="12">
        <v>0</v>
      </c>
      <c r="AD1464" s="43"/>
      <c r="AE1464" s="43"/>
      <c r="AF1464" s="43"/>
      <c r="AG1464" s="43"/>
      <c r="AH1464" s="43"/>
      <c r="AI1464" s="43"/>
      <c r="AJ1464" s="43"/>
      <c r="AK1464" s="43"/>
      <c r="AL1464" s="43"/>
      <c r="AM1464" s="43"/>
      <c r="AN1464" s="43"/>
      <c r="AO1464" s="43"/>
      <c r="AP1464" s="43"/>
      <c r="AQ1464" s="43"/>
      <c r="AR1464" s="43"/>
      <c r="AS1464" s="43"/>
      <c r="AT1464" s="43"/>
      <c r="AU1464" s="43"/>
      <c r="AV1464" s="43"/>
    </row>
    <row r="1465" ht="15.75" spans="1:48">
      <c r="A1465" s="12">
        <v>1461</v>
      </c>
      <c r="B1465" s="44" t="s">
        <v>211</v>
      </c>
      <c r="C1465" s="45" t="s">
        <v>176</v>
      </c>
      <c r="D1465" s="46">
        <v>8</v>
      </c>
      <c r="E1465" s="47" t="s">
        <v>50</v>
      </c>
      <c r="F1465" s="48">
        <v>4</v>
      </c>
      <c r="G1465" s="38">
        <v>0</v>
      </c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  <c r="S1465" s="39"/>
      <c r="T1465" s="39"/>
      <c r="U1465" s="39"/>
      <c r="V1465" s="39"/>
      <c r="W1465" s="39"/>
      <c r="X1465" s="49">
        <v>9968</v>
      </c>
      <c r="Y1465" s="50">
        <v>2420</v>
      </c>
      <c r="Z1465" s="51">
        <v>2400</v>
      </c>
      <c r="AA1465" s="52">
        <f t="shared" si="34"/>
        <v>0.991735537190083</v>
      </c>
      <c r="AB1465" s="12">
        <v>2400</v>
      </c>
      <c r="AC1465" s="12">
        <v>0</v>
      </c>
      <c r="AD1465" s="43"/>
      <c r="AE1465" s="43"/>
      <c r="AF1465" s="43"/>
      <c r="AG1465" s="43"/>
      <c r="AH1465" s="43"/>
      <c r="AI1465" s="43"/>
      <c r="AJ1465" s="43"/>
      <c r="AK1465" s="43"/>
      <c r="AL1465" s="43"/>
      <c r="AM1465" s="43"/>
      <c r="AN1465" s="43"/>
      <c r="AO1465" s="43"/>
      <c r="AP1465" s="43"/>
      <c r="AQ1465" s="43"/>
      <c r="AR1465" s="43"/>
      <c r="AS1465" s="43"/>
      <c r="AT1465" s="43"/>
      <c r="AU1465" s="43"/>
      <c r="AV1465" s="43"/>
    </row>
    <row r="1466" ht="15.75" spans="1:48">
      <c r="A1466" s="12">
        <v>1462</v>
      </c>
      <c r="B1466" s="44" t="s">
        <v>211</v>
      </c>
      <c r="C1466" s="45" t="s">
        <v>176</v>
      </c>
      <c r="D1466" s="46"/>
      <c r="E1466" s="47" t="s">
        <v>50</v>
      </c>
      <c r="F1466" s="48">
        <v>1</v>
      </c>
      <c r="G1466" s="38">
        <v>0</v>
      </c>
      <c r="H1466" s="39"/>
      <c r="I1466" s="39"/>
      <c r="J1466" s="39"/>
      <c r="K1466" s="39"/>
      <c r="L1466" s="39"/>
      <c r="M1466" s="39"/>
      <c r="N1466" s="39"/>
      <c r="O1466" s="39"/>
      <c r="P1466" s="39"/>
      <c r="Q1466" s="39"/>
      <c r="R1466" s="39"/>
      <c r="S1466" s="39"/>
      <c r="T1466" s="39"/>
      <c r="U1466" s="39"/>
      <c r="V1466" s="39"/>
      <c r="W1466" s="39"/>
      <c r="X1466" s="49" t="s">
        <v>103</v>
      </c>
      <c r="Y1466" s="50">
        <v>840</v>
      </c>
      <c r="Z1466" s="51">
        <v>840</v>
      </c>
      <c r="AA1466" s="52">
        <f t="shared" si="34"/>
        <v>1</v>
      </c>
      <c r="AB1466" s="12">
        <v>840</v>
      </c>
      <c r="AC1466" s="12">
        <v>0</v>
      </c>
      <c r="AD1466" s="43"/>
      <c r="AE1466" s="43"/>
      <c r="AF1466" s="43"/>
      <c r="AG1466" s="43"/>
      <c r="AH1466" s="43"/>
      <c r="AI1466" s="43"/>
      <c r="AJ1466" s="43"/>
      <c r="AK1466" s="43"/>
      <c r="AL1466" s="43"/>
      <c r="AM1466" s="43"/>
      <c r="AN1466" s="43"/>
      <c r="AO1466" s="43"/>
      <c r="AP1466" s="43"/>
      <c r="AQ1466" s="43"/>
      <c r="AR1466" s="43"/>
      <c r="AS1466" s="43"/>
      <c r="AT1466" s="43"/>
      <c r="AU1466" s="43"/>
      <c r="AV1466" s="43"/>
    </row>
    <row r="1467" ht="15.75" spans="1:48">
      <c r="A1467" s="12">
        <v>1463</v>
      </c>
      <c r="B1467" s="44">
        <v>4324</v>
      </c>
      <c r="C1467" s="45" t="s">
        <v>331</v>
      </c>
      <c r="D1467" s="46"/>
      <c r="E1467" s="47" t="s">
        <v>50</v>
      </c>
      <c r="F1467" s="48">
        <v>9</v>
      </c>
      <c r="G1467" s="38">
        <v>1</v>
      </c>
      <c r="H1467" s="39"/>
      <c r="I1467" s="39"/>
      <c r="J1467" s="39"/>
      <c r="K1467" s="39"/>
      <c r="L1467" s="39"/>
      <c r="M1467" s="39"/>
      <c r="N1467" s="39"/>
      <c r="O1467" s="39"/>
      <c r="P1467" s="39"/>
      <c r="Q1467" s="39">
        <v>1</v>
      </c>
      <c r="R1467" s="39"/>
      <c r="S1467" s="39"/>
      <c r="T1467" s="39"/>
      <c r="U1467" s="39"/>
      <c r="V1467" s="39"/>
      <c r="W1467" s="39"/>
      <c r="X1467" s="49" t="s">
        <v>105</v>
      </c>
      <c r="Y1467" s="50">
        <v>5940</v>
      </c>
      <c r="Z1467" s="51">
        <v>5550</v>
      </c>
      <c r="AA1467" s="52">
        <f t="shared" si="34"/>
        <v>0.934343434343434</v>
      </c>
      <c r="AB1467" s="12">
        <v>5550</v>
      </c>
      <c r="AC1467" s="12">
        <v>0</v>
      </c>
      <c r="AD1467" s="43"/>
      <c r="AE1467" s="43"/>
      <c r="AF1467" s="43"/>
      <c r="AG1467" s="43"/>
      <c r="AH1467" s="43"/>
      <c r="AI1467" s="43"/>
      <c r="AJ1467" s="43"/>
      <c r="AK1467" s="43"/>
      <c r="AL1467" s="43"/>
      <c r="AM1467" s="43"/>
      <c r="AN1467" s="43"/>
      <c r="AO1467" s="43"/>
      <c r="AP1467" s="43"/>
      <c r="AQ1467" s="43"/>
      <c r="AR1467" s="43"/>
      <c r="AS1467" s="43"/>
      <c r="AT1467" s="43"/>
      <c r="AU1467" s="43"/>
      <c r="AV1467" s="43"/>
    </row>
    <row r="1468" ht="15.75" spans="1:48">
      <c r="A1468" s="12">
        <v>1464</v>
      </c>
      <c r="B1468" s="44">
        <v>4382</v>
      </c>
      <c r="C1468" s="45" t="s">
        <v>173</v>
      </c>
      <c r="D1468" s="46"/>
      <c r="E1468" s="47" t="s">
        <v>50</v>
      </c>
      <c r="F1468" s="48">
        <v>1.83</v>
      </c>
      <c r="G1468" s="38">
        <v>0</v>
      </c>
      <c r="H1468" s="39"/>
      <c r="I1468" s="39"/>
      <c r="J1468" s="39"/>
      <c r="K1468" s="39"/>
      <c r="L1468" s="39"/>
      <c r="M1468" s="39"/>
      <c r="N1468" s="39"/>
      <c r="O1468" s="39"/>
      <c r="P1468" s="39"/>
      <c r="Q1468" s="39"/>
      <c r="R1468" s="39"/>
      <c r="S1468" s="39"/>
      <c r="T1468" s="39"/>
      <c r="U1468" s="39"/>
      <c r="V1468" s="39"/>
      <c r="W1468" s="39"/>
      <c r="X1468" s="49" t="s">
        <v>105</v>
      </c>
      <c r="Y1468" s="50">
        <v>1207.8</v>
      </c>
      <c r="Z1468" s="51">
        <v>1250</v>
      </c>
      <c r="AA1468" s="52">
        <f t="shared" si="34"/>
        <v>1.03493955952972</v>
      </c>
      <c r="AB1468" s="12">
        <v>1250</v>
      </c>
      <c r="AC1468" s="12">
        <v>0</v>
      </c>
      <c r="AD1468" s="43"/>
      <c r="AE1468" s="43"/>
      <c r="AF1468" s="43"/>
      <c r="AG1468" s="43"/>
      <c r="AH1468" s="43"/>
      <c r="AI1468" s="43"/>
      <c r="AJ1468" s="43"/>
      <c r="AK1468" s="43"/>
      <c r="AL1468" s="43"/>
      <c r="AM1468" s="43"/>
      <c r="AN1468" s="43"/>
      <c r="AO1468" s="43"/>
      <c r="AP1468" s="43"/>
      <c r="AQ1468" s="43"/>
      <c r="AR1468" s="43"/>
      <c r="AS1468" s="43"/>
      <c r="AT1468" s="43"/>
      <c r="AU1468" s="43"/>
      <c r="AV1468" s="43"/>
    </row>
    <row r="1469" ht="15.75" spans="1:48">
      <c r="A1469" s="12">
        <v>1465</v>
      </c>
      <c r="B1469" s="44">
        <v>4412</v>
      </c>
      <c r="C1469" s="45" t="s">
        <v>177</v>
      </c>
      <c r="D1469" s="46"/>
      <c r="E1469" s="47" t="s">
        <v>50</v>
      </c>
      <c r="F1469" s="48">
        <v>1.5</v>
      </c>
      <c r="G1469" s="38">
        <v>0</v>
      </c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  <c r="S1469" s="39"/>
      <c r="T1469" s="39"/>
      <c r="U1469" s="39"/>
      <c r="V1469" s="39"/>
      <c r="W1469" s="39"/>
      <c r="X1469" s="49" t="s">
        <v>103</v>
      </c>
      <c r="Y1469" s="50">
        <v>1260</v>
      </c>
      <c r="Z1469" s="51">
        <v>1320</v>
      </c>
      <c r="AA1469" s="52">
        <f t="shared" si="34"/>
        <v>1.04761904761905</v>
      </c>
      <c r="AB1469" s="12">
        <v>1320</v>
      </c>
      <c r="AC1469" s="12">
        <v>0</v>
      </c>
      <c r="AD1469" s="43"/>
      <c r="AE1469" s="43"/>
      <c r="AF1469" s="43"/>
      <c r="AG1469" s="43"/>
      <c r="AH1469" s="43"/>
      <c r="AI1469" s="43"/>
      <c r="AJ1469" s="43"/>
      <c r="AK1469" s="43"/>
      <c r="AL1469" s="43"/>
      <c r="AM1469" s="43"/>
      <c r="AN1469" s="43"/>
      <c r="AO1469" s="43"/>
      <c r="AP1469" s="43"/>
      <c r="AQ1469" s="43"/>
      <c r="AR1469" s="43"/>
      <c r="AS1469" s="43"/>
      <c r="AT1469" s="43"/>
      <c r="AU1469" s="43"/>
      <c r="AV1469" s="43"/>
    </row>
    <row r="1470" ht="15.75" spans="1:48">
      <c r="A1470" s="12">
        <v>1466</v>
      </c>
      <c r="B1470" s="44" t="s">
        <v>185</v>
      </c>
      <c r="C1470" s="45" t="s">
        <v>179</v>
      </c>
      <c r="D1470" s="46"/>
      <c r="E1470" s="47" t="s">
        <v>50</v>
      </c>
      <c r="F1470" s="48">
        <v>3</v>
      </c>
      <c r="G1470" s="38">
        <v>0</v>
      </c>
      <c r="H1470" s="39"/>
      <c r="I1470" s="39"/>
      <c r="J1470" s="39"/>
      <c r="K1470" s="39"/>
      <c r="L1470" s="39"/>
      <c r="M1470" s="39"/>
      <c r="N1470" s="39"/>
      <c r="O1470" s="39"/>
      <c r="P1470" s="39"/>
      <c r="Q1470" s="39"/>
      <c r="R1470" s="39"/>
      <c r="S1470" s="39"/>
      <c r="T1470" s="39"/>
      <c r="U1470" s="39"/>
      <c r="V1470" s="39"/>
      <c r="W1470" s="39"/>
      <c r="X1470" s="49" t="s">
        <v>103</v>
      </c>
      <c r="Y1470" s="50">
        <v>2520</v>
      </c>
      <c r="Z1470" s="51">
        <v>1800</v>
      </c>
      <c r="AA1470" s="52">
        <f t="shared" si="34"/>
        <v>0.714285714285714</v>
      </c>
      <c r="AB1470" s="12">
        <v>1800</v>
      </c>
      <c r="AC1470" s="12">
        <v>0</v>
      </c>
      <c r="AD1470" s="43"/>
      <c r="AE1470" s="43"/>
      <c r="AF1470" s="43"/>
      <c r="AG1470" s="43"/>
      <c r="AH1470" s="43"/>
      <c r="AI1470" s="43"/>
      <c r="AJ1470" s="43"/>
      <c r="AK1470" s="43"/>
      <c r="AL1470" s="43"/>
      <c r="AM1470" s="43"/>
      <c r="AN1470" s="43"/>
      <c r="AO1470" s="43"/>
      <c r="AP1470" s="43"/>
      <c r="AQ1470" s="43"/>
      <c r="AR1470" s="43"/>
      <c r="AS1470" s="43"/>
      <c r="AT1470" s="43"/>
      <c r="AU1470" s="43"/>
      <c r="AV1470" s="43"/>
    </row>
    <row r="1471" ht="15.75" spans="1:48">
      <c r="A1471" s="12">
        <v>1467</v>
      </c>
      <c r="B1471" s="44" t="s">
        <v>185</v>
      </c>
      <c r="C1471" s="45" t="s">
        <v>179</v>
      </c>
      <c r="D1471" s="46"/>
      <c r="E1471" s="47" t="s">
        <v>50</v>
      </c>
      <c r="F1471" s="48" t="s">
        <v>352</v>
      </c>
      <c r="G1471" s="38">
        <v>0</v>
      </c>
      <c r="H1471" s="39"/>
      <c r="I1471" s="39"/>
      <c r="J1471" s="39"/>
      <c r="K1471" s="39"/>
      <c r="L1471" s="39"/>
      <c r="M1471" s="39"/>
      <c r="N1471" s="39"/>
      <c r="O1471" s="39"/>
      <c r="P1471" s="39"/>
      <c r="Q1471" s="39"/>
      <c r="R1471" s="39"/>
      <c r="S1471" s="39"/>
      <c r="T1471" s="39"/>
      <c r="U1471" s="39"/>
      <c r="V1471" s="39"/>
      <c r="W1471" s="39"/>
      <c r="X1471" s="49" t="s">
        <v>105</v>
      </c>
      <c r="Y1471" s="50" t="e">
        <v>#VALUE!</v>
      </c>
      <c r="Z1471" s="51">
        <v>1545</v>
      </c>
      <c r="AA1471" s="52">
        <f t="shared" si="34"/>
        <v>0</v>
      </c>
      <c r="AB1471" s="12">
        <v>1545</v>
      </c>
      <c r="AC1471" s="12">
        <v>0</v>
      </c>
      <c r="AD1471" s="43"/>
      <c r="AE1471" s="43"/>
      <c r="AF1471" s="43"/>
      <c r="AG1471" s="43"/>
      <c r="AH1471" s="43"/>
      <c r="AI1471" s="43"/>
      <c r="AJ1471" s="43"/>
      <c r="AK1471" s="43"/>
      <c r="AL1471" s="43"/>
      <c r="AM1471" s="43"/>
      <c r="AN1471" s="43"/>
      <c r="AO1471" s="43"/>
      <c r="AP1471" s="43"/>
      <c r="AQ1471" s="43"/>
      <c r="AR1471" s="43"/>
      <c r="AS1471" s="43"/>
      <c r="AT1471" s="43"/>
      <c r="AU1471" s="43"/>
      <c r="AV1471" s="43"/>
    </row>
    <row r="1472" ht="15.75" spans="1:48">
      <c r="A1472" s="12">
        <v>1468</v>
      </c>
      <c r="B1472" s="44" t="s">
        <v>353</v>
      </c>
      <c r="C1472" s="45" t="e">
        <v>#N/A</v>
      </c>
      <c r="D1472" s="46"/>
      <c r="E1472" s="47" t="s">
        <v>50</v>
      </c>
      <c r="F1472" s="48">
        <v>7.17</v>
      </c>
      <c r="G1472" s="38">
        <v>0.83</v>
      </c>
      <c r="H1472" s="39"/>
      <c r="I1472" s="39"/>
      <c r="J1472" s="39"/>
      <c r="K1472" s="39"/>
      <c r="L1472" s="39"/>
      <c r="M1472" s="39"/>
      <c r="N1472" s="39"/>
      <c r="O1472" s="39"/>
      <c r="P1472" s="39"/>
      <c r="Q1472" s="39">
        <v>0.83</v>
      </c>
      <c r="R1472" s="39"/>
      <c r="S1472" s="39"/>
      <c r="T1472" s="39"/>
      <c r="U1472" s="39"/>
      <c r="V1472" s="39"/>
      <c r="W1472" s="39"/>
      <c r="X1472" s="49" t="s">
        <v>103</v>
      </c>
      <c r="Y1472" s="50">
        <v>4517.1</v>
      </c>
      <c r="Z1472" s="51">
        <v>3000</v>
      </c>
      <c r="AA1472" s="52">
        <f t="shared" si="34"/>
        <v>0.66414292355715</v>
      </c>
      <c r="AB1472" s="12">
        <v>3000</v>
      </c>
      <c r="AC1472" s="12">
        <v>0</v>
      </c>
      <c r="AD1472" s="43"/>
      <c r="AE1472" s="43"/>
      <c r="AF1472" s="43"/>
      <c r="AG1472" s="43"/>
      <c r="AH1472" s="43"/>
      <c r="AI1472" s="43"/>
      <c r="AJ1472" s="43"/>
      <c r="AK1472" s="43"/>
      <c r="AL1472" s="43"/>
      <c r="AM1472" s="43"/>
      <c r="AN1472" s="43"/>
      <c r="AO1472" s="43"/>
      <c r="AP1472" s="43"/>
      <c r="AQ1472" s="43"/>
      <c r="AR1472" s="43"/>
      <c r="AS1472" s="43"/>
      <c r="AT1472" s="43"/>
      <c r="AU1472" s="43"/>
      <c r="AV1472" s="43"/>
    </row>
    <row r="1473" ht="15.75" spans="1:48">
      <c r="A1473" s="12">
        <v>1469</v>
      </c>
      <c r="B1473" s="44" t="s">
        <v>181</v>
      </c>
      <c r="C1473" s="45" t="s">
        <v>182</v>
      </c>
      <c r="D1473" s="46"/>
      <c r="E1473" s="47" t="s">
        <v>50</v>
      </c>
      <c r="F1473" s="48">
        <v>7.17</v>
      </c>
      <c r="G1473" s="38">
        <v>0.83</v>
      </c>
      <c r="H1473" s="39"/>
      <c r="I1473" s="39"/>
      <c r="J1473" s="39"/>
      <c r="K1473" s="39"/>
      <c r="L1473" s="39"/>
      <c r="M1473" s="39"/>
      <c r="N1473" s="39"/>
      <c r="O1473" s="39"/>
      <c r="P1473" s="39"/>
      <c r="Q1473" s="39">
        <v>0.83</v>
      </c>
      <c r="R1473" s="39"/>
      <c r="S1473" s="39"/>
      <c r="T1473" s="39"/>
      <c r="U1473" s="39"/>
      <c r="V1473" s="39"/>
      <c r="W1473" s="39"/>
      <c r="X1473" s="49" t="s">
        <v>103</v>
      </c>
      <c r="Y1473" s="50">
        <v>6022.8</v>
      </c>
      <c r="Z1473" s="51">
        <v>5280</v>
      </c>
      <c r="AA1473" s="52">
        <f t="shared" si="34"/>
        <v>0.876668659095437</v>
      </c>
      <c r="AB1473" s="12">
        <v>5280</v>
      </c>
      <c r="AC1473" s="12">
        <v>0</v>
      </c>
      <c r="AD1473" s="43"/>
      <c r="AE1473" s="43"/>
      <c r="AF1473" s="43"/>
      <c r="AG1473" s="43"/>
      <c r="AH1473" s="43"/>
      <c r="AI1473" s="43"/>
      <c r="AJ1473" s="43"/>
      <c r="AK1473" s="43"/>
      <c r="AL1473" s="43"/>
      <c r="AM1473" s="43"/>
      <c r="AN1473" s="43"/>
      <c r="AO1473" s="43"/>
      <c r="AP1473" s="43"/>
      <c r="AQ1473" s="43"/>
      <c r="AR1473" s="43"/>
      <c r="AS1473" s="43"/>
      <c r="AT1473" s="43"/>
      <c r="AU1473" s="43"/>
      <c r="AV1473" s="43"/>
    </row>
    <row r="1474" ht="15.75" spans="1:48">
      <c r="A1474" s="12">
        <v>1470</v>
      </c>
      <c r="B1474" s="44">
        <v>761</v>
      </c>
      <c r="C1474" s="45" t="s">
        <v>89</v>
      </c>
      <c r="D1474" s="46"/>
      <c r="E1474" s="47" t="s">
        <v>50</v>
      </c>
      <c r="F1474" s="48">
        <v>1.66</v>
      </c>
      <c r="G1474" s="38">
        <v>2.17</v>
      </c>
      <c r="H1474" s="39"/>
      <c r="I1474" s="39"/>
      <c r="J1474" s="39"/>
      <c r="K1474" s="39"/>
      <c r="L1474" s="39"/>
      <c r="M1474" s="39"/>
      <c r="N1474" s="39"/>
      <c r="O1474" s="39"/>
      <c r="P1474" s="39"/>
      <c r="Q1474" s="39">
        <v>1.17</v>
      </c>
      <c r="R1474" s="39"/>
      <c r="S1474" s="39">
        <v>0.83</v>
      </c>
      <c r="T1474" s="39"/>
      <c r="U1474" s="39">
        <v>0.17</v>
      </c>
      <c r="V1474" s="39"/>
      <c r="W1474" s="39"/>
      <c r="X1474" s="49" t="s">
        <v>102</v>
      </c>
      <c r="Y1474" s="50">
        <v>7470</v>
      </c>
      <c r="Z1474" s="51">
        <v>8000</v>
      </c>
      <c r="AA1474" s="52">
        <f t="shared" si="34"/>
        <v>1.07095046854083</v>
      </c>
      <c r="AB1474" s="12">
        <v>8000</v>
      </c>
      <c r="AC1474" s="12">
        <v>0</v>
      </c>
      <c r="AD1474" s="43"/>
      <c r="AE1474" s="43"/>
      <c r="AF1474" s="43"/>
      <c r="AG1474" s="43"/>
      <c r="AH1474" s="43"/>
      <c r="AI1474" s="43"/>
      <c r="AJ1474" s="43"/>
      <c r="AK1474" s="43"/>
      <c r="AL1474" s="43"/>
      <c r="AM1474" s="43"/>
      <c r="AN1474" s="43"/>
      <c r="AO1474" s="43"/>
      <c r="AP1474" s="43"/>
      <c r="AQ1474" s="43"/>
      <c r="AR1474" s="43"/>
      <c r="AS1474" s="43"/>
      <c r="AT1474" s="43"/>
      <c r="AU1474" s="43"/>
      <c r="AV1474" s="43"/>
    </row>
    <row r="1475" ht="15.75" spans="1:48">
      <c r="A1475" s="12">
        <v>1471</v>
      </c>
      <c r="B1475" s="44">
        <v>761</v>
      </c>
      <c r="C1475" s="45" t="s">
        <v>89</v>
      </c>
      <c r="D1475" s="46"/>
      <c r="E1475" s="47" t="s">
        <v>50</v>
      </c>
      <c r="F1475" s="48">
        <v>2.17</v>
      </c>
      <c r="G1475" s="38">
        <v>0</v>
      </c>
      <c r="H1475" s="39"/>
      <c r="I1475" s="39"/>
      <c r="J1475" s="39"/>
      <c r="K1475" s="39"/>
      <c r="L1475" s="39"/>
      <c r="M1475" s="39"/>
      <c r="N1475" s="39"/>
      <c r="O1475" s="39"/>
      <c r="P1475" s="39"/>
      <c r="Q1475" s="39"/>
      <c r="R1475" s="39"/>
      <c r="S1475" s="39"/>
      <c r="T1475" s="39"/>
      <c r="U1475" s="39"/>
      <c r="V1475" s="39"/>
      <c r="W1475" s="39"/>
      <c r="X1475" s="49" t="s">
        <v>101</v>
      </c>
      <c r="Y1475" s="50">
        <v>4166.4</v>
      </c>
      <c r="Z1475" s="51">
        <v>4860</v>
      </c>
      <c r="AA1475" s="52">
        <f t="shared" si="34"/>
        <v>1.16647465437788</v>
      </c>
      <c r="AB1475" s="12">
        <v>4860</v>
      </c>
      <c r="AC1475" s="12">
        <v>0</v>
      </c>
      <c r="AD1475" s="43"/>
      <c r="AE1475" s="43"/>
      <c r="AF1475" s="43"/>
      <c r="AG1475" s="43"/>
      <c r="AH1475" s="43"/>
      <c r="AI1475" s="43"/>
      <c r="AJ1475" s="43"/>
      <c r="AK1475" s="43"/>
      <c r="AL1475" s="43"/>
      <c r="AM1475" s="43"/>
      <c r="AN1475" s="43"/>
      <c r="AO1475" s="43"/>
      <c r="AP1475" s="43"/>
      <c r="AQ1475" s="43"/>
      <c r="AR1475" s="43"/>
      <c r="AS1475" s="43"/>
      <c r="AT1475" s="43"/>
      <c r="AU1475" s="43"/>
      <c r="AV1475" s="43"/>
    </row>
    <row r="1476" ht="15.75" spans="1:48">
      <c r="A1476" s="12">
        <v>1472</v>
      </c>
      <c r="B1476" s="44">
        <v>761</v>
      </c>
      <c r="C1476" s="45" t="s">
        <v>89</v>
      </c>
      <c r="D1476" s="46"/>
      <c r="E1476" s="47" t="s">
        <v>50</v>
      </c>
      <c r="F1476" s="48">
        <v>2</v>
      </c>
      <c r="G1476" s="38">
        <v>0</v>
      </c>
      <c r="H1476" s="39"/>
      <c r="I1476" s="39"/>
      <c r="J1476" s="39"/>
      <c r="K1476" s="39"/>
      <c r="L1476" s="39"/>
      <c r="M1476" s="39"/>
      <c r="N1476" s="39"/>
      <c r="O1476" s="39"/>
      <c r="P1476" s="39"/>
      <c r="Q1476" s="39"/>
      <c r="R1476" s="39"/>
      <c r="S1476" s="39"/>
      <c r="T1476" s="39"/>
      <c r="U1476" s="39"/>
      <c r="V1476" s="39"/>
      <c r="W1476" s="39"/>
      <c r="X1476" s="49" t="s">
        <v>152</v>
      </c>
      <c r="Y1476" s="50">
        <v>8700</v>
      </c>
      <c r="Z1476" s="51">
        <v>9800</v>
      </c>
      <c r="AA1476" s="52">
        <f t="shared" si="34"/>
        <v>1.1264367816092</v>
      </c>
      <c r="AB1476" s="12">
        <v>9800</v>
      </c>
      <c r="AC1476" s="12">
        <v>0</v>
      </c>
      <c r="AD1476" s="43"/>
      <c r="AE1476" s="43"/>
      <c r="AF1476" s="43"/>
      <c r="AG1476" s="43"/>
      <c r="AH1476" s="43"/>
      <c r="AI1476" s="43"/>
      <c r="AJ1476" s="43"/>
      <c r="AK1476" s="43"/>
      <c r="AL1476" s="43"/>
      <c r="AM1476" s="43"/>
      <c r="AN1476" s="43"/>
      <c r="AO1476" s="43"/>
      <c r="AP1476" s="43"/>
      <c r="AQ1476" s="43"/>
      <c r="AR1476" s="43"/>
      <c r="AS1476" s="43"/>
      <c r="AT1476" s="43"/>
      <c r="AU1476" s="43"/>
      <c r="AV1476" s="43"/>
    </row>
    <row r="1477" ht="15.75" spans="1:48">
      <c r="A1477" s="12">
        <v>1473</v>
      </c>
      <c r="B1477" s="44">
        <v>669</v>
      </c>
      <c r="C1477" s="45" t="s">
        <v>94</v>
      </c>
      <c r="D1477" s="46"/>
      <c r="E1477" s="47" t="s">
        <v>50</v>
      </c>
      <c r="F1477" s="48">
        <v>1.17</v>
      </c>
      <c r="G1477" s="38">
        <v>0</v>
      </c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  <c r="S1477" s="39"/>
      <c r="T1477" s="39"/>
      <c r="U1477" s="39"/>
      <c r="V1477" s="39"/>
      <c r="W1477" s="39"/>
      <c r="X1477" s="49" t="s">
        <v>103</v>
      </c>
      <c r="Y1477" s="50">
        <v>982.8</v>
      </c>
      <c r="Z1477" s="51">
        <v>990</v>
      </c>
      <c r="AA1477" s="52">
        <f t="shared" si="34"/>
        <v>1.00732600732601</v>
      </c>
      <c r="AB1477" s="12">
        <v>990</v>
      </c>
      <c r="AC1477" s="12">
        <v>0</v>
      </c>
      <c r="AD1477" s="43"/>
      <c r="AE1477" s="43"/>
      <c r="AF1477" s="43"/>
      <c r="AG1477" s="43"/>
      <c r="AH1477" s="43"/>
      <c r="AI1477" s="43"/>
      <c r="AJ1477" s="43"/>
      <c r="AK1477" s="43"/>
      <c r="AL1477" s="43"/>
      <c r="AM1477" s="43"/>
      <c r="AN1477" s="43"/>
      <c r="AO1477" s="43"/>
      <c r="AP1477" s="43"/>
      <c r="AQ1477" s="43"/>
      <c r="AR1477" s="43"/>
      <c r="AS1477" s="43"/>
      <c r="AT1477" s="43"/>
      <c r="AU1477" s="43"/>
      <c r="AV1477" s="43"/>
    </row>
    <row r="1478" ht="15.75" spans="1:48">
      <c r="A1478" s="12">
        <v>1474</v>
      </c>
      <c r="B1478" s="44">
        <v>4360</v>
      </c>
      <c r="C1478" s="45" t="s">
        <v>97</v>
      </c>
      <c r="D1478" s="46"/>
      <c r="E1478" s="47" t="s">
        <v>50</v>
      </c>
      <c r="F1478" s="48">
        <v>4</v>
      </c>
      <c r="G1478" s="38">
        <v>0</v>
      </c>
      <c r="H1478" s="39"/>
      <c r="I1478" s="39"/>
      <c r="J1478" s="39"/>
      <c r="K1478" s="39"/>
      <c r="L1478" s="39"/>
      <c r="M1478" s="39"/>
      <c r="N1478" s="39"/>
      <c r="O1478" s="39"/>
      <c r="P1478" s="39"/>
      <c r="Q1478" s="39"/>
      <c r="R1478" s="39"/>
      <c r="S1478" s="39"/>
      <c r="T1478" s="39"/>
      <c r="U1478" s="39"/>
      <c r="V1478" s="39"/>
      <c r="W1478" s="39"/>
      <c r="X1478" s="49" t="s">
        <v>324</v>
      </c>
      <c r="Y1478" s="50">
        <v>1920</v>
      </c>
      <c r="Z1478" s="51">
        <v>1080</v>
      </c>
      <c r="AA1478" s="52">
        <f t="shared" si="34"/>
        <v>0.5625</v>
      </c>
      <c r="AB1478" s="12">
        <v>1080</v>
      </c>
      <c r="AC1478" s="12">
        <v>0</v>
      </c>
      <c r="AD1478" s="43"/>
      <c r="AE1478" s="43"/>
      <c r="AF1478" s="43"/>
      <c r="AG1478" s="43"/>
      <c r="AH1478" s="43"/>
      <c r="AI1478" s="43"/>
      <c r="AJ1478" s="43"/>
      <c r="AK1478" s="43"/>
      <c r="AL1478" s="43"/>
      <c r="AM1478" s="43"/>
      <c r="AN1478" s="43"/>
      <c r="AO1478" s="43"/>
      <c r="AP1478" s="43"/>
      <c r="AQ1478" s="43"/>
      <c r="AR1478" s="43"/>
      <c r="AS1478" s="43"/>
      <c r="AT1478" s="43"/>
      <c r="AU1478" s="43"/>
      <c r="AV1478" s="43"/>
    </row>
    <row r="1479" ht="15.75" spans="1:48">
      <c r="A1479" s="12">
        <v>1475</v>
      </c>
      <c r="B1479" s="44">
        <v>4310</v>
      </c>
      <c r="C1479" s="45" t="s">
        <v>99</v>
      </c>
      <c r="D1479" s="46"/>
      <c r="E1479" s="47" t="s">
        <v>50</v>
      </c>
      <c r="F1479" s="48">
        <v>2.33</v>
      </c>
      <c r="G1479" s="38">
        <v>0</v>
      </c>
      <c r="H1479" s="39"/>
      <c r="I1479" s="39"/>
      <c r="J1479" s="39"/>
      <c r="K1479" s="39"/>
      <c r="L1479" s="39"/>
      <c r="M1479" s="39"/>
      <c r="N1479" s="39"/>
      <c r="O1479" s="39"/>
      <c r="P1479" s="39"/>
      <c r="Q1479" s="39"/>
      <c r="R1479" s="39"/>
      <c r="S1479" s="39"/>
      <c r="T1479" s="39"/>
      <c r="U1479" s="39"/>
      <c r="V1479" s="39"/>
      <c r="W1479" s="39"/>
      <c r="X1479" s="49" t="s">
        <v>103</v>
      </c>
      <c r="Y1479" s="50">
        <v>1957.2</v>
      </c>
      <c r="Z1479" s="51">
        <v>1680</v>
      </c>
      <c r="AA1479" s="52">
        <f t="shared" si="34"/>
        <v>0.858369098712446</v>
      </c>
      <c r="AB1479" s="12">
        <v>1680</v>
      </c>
      <c r="AC1479" s="12">
        <v>0</v>
      </c>
      <c r="AD1479" s="43"/>
      <c r="AE1479" s="43"/>
      <c r="AF1479" s="43"/>
      <c r="AG1479" s="43"/>
      <c r="AH1479" s="43"/>
      <c r="AI1479" s="43"/>
      <c r="AJ1479" s="43"/>
      <c r="AK1479" s="43"/>
      <c r="AL1479" s="43"/>
      <c r="AM1479" s="43"/>
      <c r="AN1479" s="43"/>
      <c r="AO1479" s="43"/>
      <c r="AP1479" s="43"/>
      <c r="AQ1479" s="43"/>
      <c r="AR1479" s="43"/>
      <c r="AS1479" s="43"/>
      <c r="AT1479" s="43"/>
      <c r="AU1479" s="43"/>
      <c r="AV1479" s="43"/>
    </row>
    <row r="1480" ht="15.75" spans="1:48">
      <c r="A1480" s="12">
        <v>1476</v>
      </c>
      <c r="B1480" s="44">
        <v>4504</v>
      </c>
      <c r="C1480" s="45" t="s">
        <v>304</v>
      </c>
      <c r="D1480" s="46" t="s">
        <v>215</v>
      </c>
      <c r="E1480" s="47" t="s">
        <v>113</v>
      </c>
      <c r="F1480" s="48">
        <v>10.5</v>
      </c>
      <c r="G1480" s="38">
        <v>1.5</v>
      </c>
      <c r="H1480" s="39"/>
      <c r="I1480" s="39"/>
      <c r="J1480" s="39"/>
      <c r="K1480" s="39"/>
      <c r="L1480" s="39"/>
      <c r="M1480" s="39"/>
      <c r="N1480" s="39"/>
      <c r="O1480" s="39"/>
      <c r="P1480" s="39"/>
      <c r="Q1480" s="39">
        <v>1.33</v>
      </c>
      <c r="R1480" s="39"/>
      <c r="S1480" s="39"/>
      <c r="T1480" s="39"/>
      <c r="U1480" s="39">
        <v>0.17</v>
      </c>
      <c r="V1480" s="39"/>
      <c r="W1480" s="39"/>
      <c r="X1480" s="49" t="s">
        <v>117</v>
      </c>
      <c r="Y1480" s="50">
        <v>32602.5</v>
      </c>
      <c r="Z1480" s="51">
        <v>24384</v>
      </c>
      <c r="AA1480" s="52">
        <f t="shared" si="34"/>
        <v>0.747918104439844</v>
      </c>
      <c r="AB1480" s="12">
        <v>24384</v>
      </c>
      <c r="AC1480" s="12">
        <v>0</v>
      </c>
      <c r="AD1480" s="43"/>
      <c r="AE1480" s="43"/>
      <c r="AF1480" s="43"/>
      <c r="AG1480" s="43"/>
      <c r="AH1480" s="43"/>
      <c r="AI1480" s="43"/>
      <c r="AJ1480" s="43"/>
      <c r="AK1480" s="43"/>
      <c r="AL1480" s="43"/>
      <c r="AM1480" s="43"/>
      <c r="AN1480" s="43"/>
      <c r="AO1480" s="43"/>
      <c r="AP1480" s="43"/>
      <c r="AQ1480" s="43"/>
      <c r="AR1480" s="43"/>
      <c r="AS1480" s="43"/>
      <c r="AT1480" s="43"/>
      <c r="AU1480" s="43"/>
      <c r="AV1480" s="43"/>
    </row>
    <row r="1481" ht="15.75" spans="1:48">
      <c r="A1481" s="12">
        <v>1477</v>
      </c>
      <c r="B1481" s="44">
        <v>2890</v>
      </c>
      <c r="C1481" s="45" t="s">
        <v>111</v>
      </c>
      <c r="D1481" s="46" t="s">
        <v>116</v>
      </c>
      <c r="E1481" s="47" t="s">
        <v>113</v>
      </c>
      <c r="F1481" s="48">
        <v>10.33</v>
      </c>
      <c r="G1481" s="38">
        <v>1.5</v>
      </c>
      <c r="H1481" s="39"/>
      <c r="I1481" s="39"/>
      <c r="J1481" s="39"/>
      <c r="K1481" s="39"/>
      <c r="L1481" s="39"/>
      <c r="M1481" s="39"/>
      <c r="N1481" s="39"/>
      <c r="O1481" s="39"/>
      <c r="P1481" s="39"/>
      <c r="Q1481" s="39">
        <v>1.33</v>
      </c>
      <c r="R1481" s="39"/>
      <c r="S1481" s="39"/>
      <c r="T1481" s="39"/>
      <c r="U1481" s="39">
        <v>0.17</v>
      </c>
      <c r="V1481" s="39"/>
      <c r="W1481" s="39"/>
      <c r="X1481" s="49" t="s">
        <v>284</v>
      </c>
      <c r="Y1481" s="50">
        <v>8264</v>
      </c>
      <c r="Z1481" s="51">
        <v>8300</v>
      </c>
      <c r="AA1481" s="52">
        <f t="shared" si="34"/>
        <v>1.00435624394966</v>
      </c>
      <c r="AB1481" s="12">
        <v>8288</v>
      </c>
      <c r="AC1481" s="12">
        <v>12</v>
      </c>
      <c r="AD1481" s="43"/>
      <c r="AE1481" s="43"/>
      <c r="AF1481" s="43"/>
      <c r="AG1481" s="43"/>
      <c r="AH1481" s="43"/>
      <c r="AI1481" s="43"/>
      <c r="AJ1481" s="43"/>
      <c r="AK1481" s="19">
        <v>5</v>
      </c>
      <c r="AL1481" s="43"/>
      <c r="AM1481" s="43"/>
      <c r="AN1481" s="19">
        <v>7</v>
      </c>
      <c r="AO1481" s="43"/>
      <c r="AP1481" s="43"/>
      <c r="AQ1481" s="43"/>
      <c r="AR1481" s="43"/>
      <c r="AS1481" s="43"/>
      <c r="AT1481" s="43"/>
      <c r="AU1481" s="43"/>
      <c r="AV1481" s="43"/>
    </row>
    <row r="1482" ht="15.75" spans="1:48">
      <c r="A1482" s="12">
        <v>1478</v>
      </c>
      <c r="B1482" s="44">
        <v>3111</v>
      </c>
      <c r="C1482" s="45" t="s">
        <v>124</v>
      </c>
      <c r="D1482" s="46" t="s">
        <v>264</v>
      </c>
      <c r="E1482" s="47" t="s">
        <v>113</v>
      </c>
      <c r="F1482" s="48">
        <v>3.83</v>
      </c>
      <c r="G1482" s="38">
        <v>1.5</v>
      </c>
      <c r="H1482" s="39"/>
      <c r="I1482" s="39"/>
      <c r="J1482" s="39"/>
      <c r="K1482" s="39"/>
      <c r="L1482" s="39"/>
      <c r="M1482" s="39"/>
      <c r="N1482" s="39"/>
      <c r="O1482" s="39"/>
      <c r="P1482" s="39"/>
      <c r="Q1482" s="39">
        <v>1.33</v>
      </c>
      <c r="R1482" s="39"/>
      <c r="S1482" s="39"/>
      <c r="T1482" s="39"/>
      <c r="U1482" s="39">
        <v>0.17</v>
      </c>
      <c r="V1482" s="39"/>
      <c r="W1482" s="39"/>
      <c r="X1482" s="49" t="s">
        <v>216</v>
      </c>
      <c r="Y1482" s="50">
        <v>3255.5</v>
      </c>
      <c r="Z1482" s="51">
        <v>3140</v>
      </c>
      <c r="AA1482" s="52">
        <f t="shared" si="34"/>
        <v>0.964521578866534</v>
      </c>
      <c r="AB1482" s="12">
        <v>3140</v>
      </c>
      <c r="AC1482" s="12">
        <v>0</v>
      </c>
      <c r="AD1482" s="43"/>
      <c r="AE1482" s="43"/>
      <c r="AF1482" s="43"/>
      <c r="AG1482" s="43"/>
      <c r="AH1482" s="43"/>
      <c r="AI1482" s="43"/>
      <c r="AJ1482" s="43"/>
      <c r="AK1482" s="43"/>
      <c r="AL1482" s="43"/>
      <c r="AM1482" s="43"/>
      <c r="AN1482" s="43"/>
      <c r="AO1482" s="43"/>
      <c r="AP1482" s="43"/>
      <c r="AQ1482" s="43"/>
      <c r="AR1482" s="43"/>
      <c r="AS1482" s="43"/>
      <c r="AT1482" s="43"/>
      <c r="AU1482" s="43"/>
      <c r="AV1482" s="43"/>
    </row>
    <row r="1483" ht="15.75" spans="1:48">
      <c r="A1483" s="12">
        <v>1479</v>
      </c>
      <c r="B1483" s="44">
        <v>3111</v>
      </c>
      <c r="C1483" s="45" t="s">
        <v>124</v>
      </c>
      <c r="D1483" s="46" t="s">
        <v>217</v>
      </c>
      <c r="E1483" s="47" t="s">
        <v>113</v>
      </c>
      <c r="F1483" s="48">
        <v>6.17</v>
      </c>
      <c r="G1483" s="38">
        <v>0.5</v>
      </c>
      <c r="H1483" s="39"/>
      <c r="I1483" s="39"/>
      <c r="J1483" s="39"/>
      <c r="K1483" s="39"/>
      <c r="L1483" s="39"/>
      <c r="M1483" s="39"/>
      <c r="N1483" s="39"/>
      <c r="O1483" s="39"/>
      <c r="P1483" s="39"/>
      <c r="Q1483" s="39"/>
      <c r="R1483" s="39"/>
      <c r="S1483" s="39"/>
      <c r="T1483" s="39"/>
      <c r="U1483" s="39">
        <v>0.5</v>
      </c>
      <c r="V1483" s="39"/>
      <c r="W1483" s="39"/>
      <c r="X1483" s="49" t="s">
        <v>218</v>
      </c>
      <c r="Y1483" s="50">
        <v>14900.55</v>
      </c>
      <c r="Z1483" s="51">
        <v>15180</v>
      </c>
      <c r="AA1483" s="52">
        <f t="shared" si="34"/>
        <v>1.0187543412827</v>
      </c>
      <c r="AB1483" s="12">
        <v>15180</v>
      </c>
      <c r="AC1483" s="12">
        <v>0</v>
      </c>
      <c r="AD1483" s="43"/>
      <c r="AE1483" s="43"/>
      <c r="AF1483" s="43"/>
      <c r="AG1483" s="43"/>
      <c r="AH1483" s="43"/>
      <c r="AI1483" s="43"/>
      <c r="AJ1483" s="43"/>
      <c r="AK1483" s="43"/>
      <c r="AL1483" s="43"/>
      <c r="AM1483" s="43"/>
      <c r="AN1483" s="43"/>
      <c r="AO1483" s="43"/>
      <c r="AP1483" s="43"/>
      <c r="AQ1483" s="43"/>
      <c r="AR1483" s="43"/>
      <c r="AS1483" s="43"/>
      <c r="AT1483" s="43"/>
      <c r="AU1483" s="43"/>
      <c r="AV1483" s="43"/>
    </row>
    <row r="1484" ht="15.75" spans="1:48">
      <c r="A1484" s="12">
        <v>1480</v>
      </c>
      <c r="B1484" s="44">
        <v>4456</v>
      </c>
      <c r="C1484" s="45" t="s">
        <v>119</v>
      </c>
      <c r="D1484" s="46"/>
      <c r="E1484" s="47" t="s">
        <v>113</v>
      </c>
      <c r="F1484" s="48">
        <v>10.66</v>
      </c>
      <c r="G1484" s="38">
        <v>1.33</v>
      </c>
      <c r="H1484" s="39"/>
      <c r="I1484" s="39"/>
      <c r="J1484" s="39"/>
      <c r="K1484" s="39"/>
      <c r="L1484" s="39"/>
      <c r="M1484" s="39"/>
      <c r="N1484" s="39"/>
      <c r="O1484" s="39"/>
      <c r="P1484" s="39"/>
      <c r="Q1484" s="39">
        <v>1.33</v>
      </c>
      <c r="R1484" s="39"/>
      <c r="S1484" s="39"/>
      <c r="T1484" s="39"/>
      <c r="U1484" s="39"/>
      <c r="V1484" s="39"/>
      <c r="W1484" s="39"/>
      <c r="X1484" s="49" t="s">
        <v>120</v>
      </c>
      <c r="Y1484" s="50">
        <v>2665</v>
      </c>
      <c r="Z1484" s="51">
        <v>2550</v>
      </c>
      <c r="AA1484" s="52">
        <f t="shared" si="34"/>
        <v>0.956848030018762</v>
      </c>
      <c r="AB1484" s="12">
        <v>2550</v>
      </c>
      <c r="AC1484" s="12">
        <v>0</v>
      </c>
      <c r="AD1484" s="43"/>
      <c r="AE1484" s="43"/>
      <c r="AF1484" s="43"/>
      <c r="AG1484" s="43"/>
      <c r="AH1484" s="43"/>
      <c r="AI1484" s="43"/>
      <c r="AJ1484" s="43"/>
      <c r="AK1484" s="43"/>
      <c r="AL1484" s="43"/>
      <c r="AM1484" s="43"/>
      <c r="AN1484" s="43"/>
      <c r="AO1484" s="43"/>
      <c r="AP1484" s="43"/>
      <c r="AQ1484" s="43"/>
      <c r="AR1484" s="43"/>
      <c r="AS1484" s="43"/>
      <c r="AT1484" s="43"/>
      <c r="AU1484" s="43"/>
      <c r="AV1484" s="43"/>
    </row>
    <row r="1485" ht="15.75" spans="1:48">
      <c r="A1485" s="12">
        <v>1481</v>
      </c>
      <c r="B1485" s="44">
        <v>656</v>
      </c>
      <c r="C1485" s="45" t="s">
        <v>195</v>
      </c>
      <c r="D1485" s="46">
        <v>1</v>
      </c>
      <c r="E1485" s="47" t="s">
        <v>113</v>
      </c>
      <c r="F1485" s="48">
        <v>10.33</v>
      </c>
      <c r="G1485" s="38">
        <v>1.66</v>
      </c>
      <c r="H1485" s="39"/>
      <c r="I1485" s="39"/>
      <c r="J1485" s="39"/>
      <c r="K1485" s="39">
        <v>0.33</v>
      </c>
      <c r="L1485" s="39"/>
      <c r="M1485" s="39"/>
      <c r="N1485" s="39"/>
      <c r="O1485" s="39"/>
      <c r="P1485" s="39"/>
      <c r="Q1485" s="39">
        <v>1.33</v>
      </c>
      <c r="R1485" s="39"/>
      <c r="S1485" s="39"/>
      <c r="T1485" s="39"/>
      <c r="U1485" s="39"/>
      <c r="V1485" s="39"/>
      <c r="W1485" s="39"/>
      <c r="X1485" s="49" t="s">
        <v>199</v>
      </c>
      <c r="Y1485" s="50">
        <v>3615.5</v>
      </c>
      <c r="Z1485" s="51">
        <v>3600</v>
      </c>
      <c r="AA1485" s="52">
        <f t="shared" si="34"/>
        <v>0.995712902779698</v>
      </c>
      <c r="AB1485" s="12">
        <v>3600</v>
      </c>
      <c r="AC1485" s="12">
        <v>0</v>
      </c>
      <c r="AD1485" s="43"/>
      <c r="AE1485" s="43"/>
      <c r="AF1485" s="43"/>
      <c r="AG1485" s="43"/>
      <c r="AH1485" s="43"/>
      <c r="AI1485" s="43"/>
      <c r="AJ1485" s="43"/>
      <c r="AK1485" s="43"/>
      <c r="AL1485" s="43"/>
      <c r="AM1485" s="43"/>
      <c r="AN1485" s="43"/>
      <c r="AO1485" s="43"/>
      <c r="AP1485" s="43"/>
      <c r="AQ1485" s="43"/>
      <c r="AR1485" s="43"/>
      <c r="AS1485" s="43"/>
      <c r="AT1485" s="43"/>
      <c r="AU1485" s="43"/>
      <c r="AV1485" s="43"/>
    </row>
    <row r="1486" ht="15.75" spans="1:48">
      <c r="A1486" s="12">
        <v>1482</v>
      </c>
      <c r="B1486" s="44">
        <v>655</v>
      </c>
      <c r="C1486" s="45" t="s">
        <v>198</v>
      </c>
      <c r="D1486" s="46"/>
      <c r="E1486" s="47" t="s">
        <v>113</v>
      </c>
      <c r="F1486" s="48">
        <v>10.33</v>
      </c>
      <c r="G1486" s="38">
        <v>0.17</v>
      </c>
      <c r="H1486" s="39"/>
      <c r="I1486" s="39"/>
      <c r="J1486" s="39"/>
      <c r="K1486" s="39">
        <v>0.17</v>
      </c>
      <c r="L1486" s="39"/>
      <c r="M1486" s="39"/>
      <c r="N1486" s="39"/>
      <c r="O1486" s="39"/>
      <c r="P1486" s="39"/>
      <c r="Q1486" s="39"/>
      <c r="R1486" s="39"/>
      <c r="S1486" s="39"/>
      <c r="T1486" s="39"/>
      <c r="U1486" s="39"/>
      <c r="V1486" s="39"/>
      <c r="W1486" s="39"/>
      <c r="X1486" s="49" t="s">
        <v>199</v>
      </c>
      <c r="Y1486" s="50">
        <v>3615.5</v>
      </c>
      <c r="Z1486" s="51">
        <v>3600</v>
      </c>
      <c r="AA1486" s="52">
        <f t="shared" si="34"/>
        <v>0.995712902779698</v>
      </c>
      <c r="AB1486" s="12">
        <v>3600</v>
      </c>
      <c r="AC1486" s="12">
        <v>0</v>
      </c>
      <c r="AD1486" s="43"/>
      <c r="AE1486" s="43"/>
      <c r="AF1486" s="43"/>
      <c r="AG1486" s="43"/>
      <c r="AH1486" s="43"/>
      <c r="AI1486" s="43"/>
      <c r="AJ1486" s="43"/>
      <c r="AK1486" s="43"/>
      <c r="AL1486" s="43"/>
      <c r="AM1486" s="43"/>
      <c r="AN1486" s="43"/>
      <c r="AO1486" s="43"/>
      <c r="AP1486" s="43"/>
      <c r="AQ1486" s="43"/>
      <c r="AR1486" s="43"/>
      <c r="AS1486" s="43"/>
      <c r="AT1486" s="43"/>
      <c r="AU1486" s="43"/>
      <c r="AV1486" s="43"/>
    </row>
    <row r="1487" ht="15.75" spans="1:48">
      <c r="A1487" s="12">
        <v>1483</v>
      </c>
      <c r="B1487" s="44">
        <v>4418</v>
      </c>
      <c r="C1487" s="45" t="s">
        <v>125</v>
      </c>
      <c r="D1487" s="46">
        <v>11</v>
      </c>
      <c r="E1487" s="47" t="s">
        <v>113</v>
      </c>
      <c r="F1487" s="48">
        <v>10.5</v>
      </c>
      <c r="G1487" s="38">
        <v>1.5</v>
      </c>
      <c r="H1487" s="39"/>
      <c r="I1487" s="39"/>
      <c r="J1487" s="39"/>
      <c r="K1487" s="39"/>
      <c r="L1487" s="39"/>
      <c r="M1487" s="39"/>
      <c r="N1487" s="39"/>
      <c r="O1487" s="39"/>
      <c r="P1487" s="39"/>
      <c r="Q1487" s="39">
        <v>1.33</v>
      </c>
      <c r="R1487" s="39"/>
      <c r="S1487" s="39"/>
      <c r="T1487" s="39"/>
      <c r="U1487" s="39">
        <v>0.17</v>
      </c>
      <c r="V1487" s="39"/>
      <c r="W1487" s="39"/>
      <c r="X1487" s="49" t="s">
        <v>239</v>
      </c>
      <c r="Y1487" s="50">
        <v>5355</v>
      </c>
      <c r="Z1487" s="51">
        <v>5265</v>
      </c>
      <c r="AA1487" s="52">
        <f t="shared" si="34"/>
        <v>0.983193277310924</v>
      </c>
      <c r="AB1487" s="12">
        <v>5265</v>
      </c>
      <c r="AC1487" s="12">
        <v>0</v>
      </c>
      <c r="AD1487" s="43"/>
      <c r="AE1487" s="43"/>
      <c r="AF1487" s="43"/>
      <c r="AG1487" s="43"/>
      <c r="AH1487" s="43"/>
      <c r="AI1487" s="43"/>
      <c r="AJ1487" s="43"/>
      <c r="AK1487" s="43"/>
      <c r="AL1487" s="43"/>
      <c r="AM1487" s="43"/>
      <c r="AN1487" s="43"/>
      <c r="AO1487" s="43"/>
      <c r="AP1487" s="43"/>
      <c r="AQ1487" s="43"/>
      <c r="AR1487" s="43"/>
      <c r="AS1487" s="43"/>
      <c r="AT1487" s="43"/>
      <c r="AU1487" s="43"/>
      <c r="AV1487" s="43"/>
    </row>
    <row r="1488" ht="15.75" spans="1:48">
      <c r="A1488" s="12">
        <v>1484</v>
      </c>
      <c r="B1488" s="44" t="s">
        <v>267</v>
      </c>
      <c r="C1488" s="45" t="e">
        <v>#N/A</v>
      </c>
      <c r="D1488" s="46">
        <v>10</v>
      </c>
      <c r="E1488" s="47" t="s">
        <v>113</v>
      </c>
      <c r="F1488" s="48">
        <v>10.5</v>
      </c>
      <c r="G1488" s="38">
        <v>1.5</v>
      </c>
      <c r="H1488" s="39"/>
      <c r="I1488" s="39"/>
      <c r="J1488" s="39"/>
      <c r="K1488" s="39"/>
      <c r="L1488" s="39"/>
      <c r="M1488" s="39"/>
      <c r="N1488" s="39"/>
      <c r="O1488" s="39"/>
      <c r="P1488" s="39"/>
      <c r="Q1488" s="39">
        <v>1.33</v>
      </c>
      <c r="R1488" s="39"/>
      <c r="S1488" s="39"/>
      <c r="T1488" s="39"/>
      <c r="U1488" s="39">
        <v>0.17</v>
      </c>
      <c r="V1488" s="39"/>
      <c r="W1488" s="39"/>
      <c r="X1488" s="49">
        <v>127</v>
      </c>
      <c r="Y1488" s="50">
        <v>5250</v>
      </c>
      <c r="Z1488" s="51">
        <v>5265</v>
      </c>
      <c r="AA1488" s="52">
        <f t="shared" si="34"/>
        <v>1.00285714285714</v>
      </c>
      <c r="AB1488" s="12">
        <v>5265</v>
      </c>
      <c r="AC1488" s="12">
        <v>0</v>
      </c>
      <c r="AD1488" s="43"/>
      <c r="AE1488" s="43"/>
      <c r="AF1488" s="43"/>
      <c r="AG1488" s="43"/>
      <c r="AH1488" s="43"/>
      <c r="AI1488" s="43"/>
      <c r="AJ1488" s="43"/>
      <c r="AK1488" s="43"/>
      <c r="AL1488" s="43"/>
      <c r="AM1488" s="43"/>
      <c r="AN1488" s="43"/>
      <c r="AO1488" s="43"/>
      <c r="AP1488" s="43"/>
      <c r="AQ1488" s="43"/>
      <c r="AR1488" s="43"/>
      <c r="AS1488" s="43"/>
      <c r="AT1488" s="43"/>
      <c r="AU1488" s="43"/>
      <c r="AV1488" s="43"/>
    </row>
    <row r="1489" ht="15.75" spans="1:48">
      <c r="A1489" s="12">
        <v>1485</v>
      </c>
      <c r="B1489" s="44">
        <v>4325</v>
      </c>
      <c r="C1489" s="45" t="s">
        <v>118</v>
      </c>
      <c r="D1489" s="46">
        <v>12</v>
      </c>
      <c r="E1489" s="47" t="s">
        <v>113</v>
      </c>
      <c r="F1489" s="48">
        <v>10.5</v>
      </c>
      <c r="G1489" s="38">
        <v>1.5</v>
      </c>
      <c r="H1489" s="39"/>
      <c r="I1489" s="39"/>
      <c r="J1489" s="39"/>
      <c r="K1489" s="39"/>
      <c r="L1489" s="39"/>
      <c r="M1489" s="39"/>
      <c r="N1489" s="39"/>
      <c r="O1489" s="39"/>
      <c r="P1489" s="39"/>
      <c r="Q1489" s="39">
        <v>1.33</v>
      </c>
      <c r="R1489" s="39"/>
      <c r="S1489" s="39"/>
      <c r="T1489" s="39"/>
      <c r="U1489" s="39">
        <v>0.17</v>
      </c>
      <c r="V1489" s="39"/>
      <c r="W1489" s="39"/>
      <c r="X1489" s="49" t="s">
        <v>71</v>
      </c>
      <c r="Y1489" s="50">
        <v>3517.5</v>
      </c>
      <c r="Z1489" s="51">
        <v>3540</v>
      </c>
      <c r="AA1489" s="52">
        <f t="shared" si="34"/>
        <v>1.00639658848614</v>
      </c>
      <c r="AB1489" s="12">
        <v>3540</v>
      </c>
      <c r="AC1489" s="12">
        <v>0</v>
      </c>
      <c r="AD1489" s="43"/>
      <c r="AE1489" s="43"/>
      <c r="AF1489" s="43"/>
      <c r="AG1489" s="43"/>
      <c r="AH1489" s="43"/>
      <c r="AI1489" s="43"/>
      <c r="AJ1489" s="43"/>
      <c r="AK1489" s="43"/>
      <c r="AL1489" s="43"/>
      <c r="AM1489" s="43"/>
      <c r="AN1489" s="43"/>
      <c r="AO1489" s="43"/>
      <c r="AP1489" s="43"/>
      <c r="AQ1489" s="43"/>
      <c r="AR1489" s="43"/>
      <c r="AS1489" s="43"/>
      <c r="AT1489" s="43"/>
      <c r="AU1489" s="43"/>
      <c r="AV1489" s="43"/>
    </row>
    <row r="1490" ht="15.75" spans="1:48">
      <c r="A1490" s="12">
        <v>1486</v>
      </c>
      <c r="B1490" s="44">
        <v>2649</v>
      </c>
      <c r="C1490" s="45" t="s">
        <v>121</v>
      </c>
      <c r="D1490" s="46">
        <v>4</v>
      </c>
      <c r="E1490" s="47" t="s">
        <v>113</v>
      </c>
      <c r="F1490" s="48">
        <v>7.83</v>
      </c>
      <c r="G1490" s="38">
        <v>1.33</v>
      </c>
      <c r="H1490" s="39"/>
      <c r="I1490" s="39"/>
      <c r="J1490" s="39"/>
      <c r="K1490" s="39"/>
      <c r="L1490" s="39"/>
      <c r="M1490" s="39"/>
      <c r="N1490" s="39"/>
      <c r="O1490" s="39"/>
      <c r="P1490" s="39"/>
      <c r="Q1490" s="39">
        <v>1.33</v>
      </c>
      <c r="R1490" s="39"/>
      <c r="S1490" s="39"/>
      <c r="T1490" s="39"/>
      <c r="U1490" s="39"/>
      <c r="V1490" s="39"/>
      <c r="W1490" s="39"/>
      <c r="X1490" s="49">
        <v>9116</v>
      </c>
      <c r="Y1490" s="50">
        <v>2349</v>
      </c>
      <c r="Z1490" s="51">
        <v>2400</v>
      </c>
      <c r="AA1490" s="52">
        <f t="shared" si="34"/>
        <v>1.02171136653895</v>
      </c>
      <c r="AB1490" s="12">
        <v>2400</v>
      </c>
      <c r="AC1490" s="12">
        <v>0</v>
      </c>
      <c r="AD1490" s="43"/>
      <c r="AE1490" s="43"/>
      <c r="AF1490" s="43"/>
      <c r="AG1490" s="43"/>
      <c r="AH1490" s="43"/>
      <c r="AI1490" s="43"/>
      <c r="AJ1490" s="43"/>
      <c r="AK1490" s="43"/>
      <c r="AL1490" s="43"/>
      <c r="AM1490" s="43"/>
      <c r="AN1490" s="43"/>
      <c r="AO1490" s="43"/>
      <c r="AP1490" s="43"/>
      <c r="AQ1490" s="43"/>
      <c r="AR1490" s="43"/>
      <c r="AS1490" s="43"/>
      <c r="AT1490" s="43"/>
      <c r="AU1490" s="43"/>
      <c r="AV1490" s="43"/>
    </row>
    <row r="1491" ht="15.75" spans="1:48">
      <c r="A1491" s="12">
        <v>1487</v>
      </c>
      <c r="B1491" s="44">
        <v>2649</v>
      </c>
      <c r="C1491" s="45" t="s">
        <v>121</v>
      </c>
      <c r="D1491" s="46"/>
      <c r="E1491" s="47" t="s">
        <v>113</v>
      </c>
      <c r="F1491" s="48">
        <v>2.66</v>
      </c>
      <c r="G1491" s="38">
        <v>0</v>
      </c>
      <c r="H1491" s="39"/>
      <c r="I1491" s="39"/>
      <c r="J1491" s="39"/>
      <c r="K1491" s="39"/>
      <c r="L1491" s="39"/>
      <c r="M1491" s="39"/>
      <c r="N1491" s="39"/>
      <c r="O1491" s="39"/>
      <c r="P1491" s="39"/>
      <c r="Q1491" s="39"/>
      <c r="R1491" s="39"/>
      <c r="S1491" s="39"/>
      <c r="T1491" s="39"/>
      <c r="U1491" s="39"/>
      <c r="V1491" s="39"/>
      <c r="W1491" s="39"/>
      <c r="X1491" s="49" t="s">
        <v>122</v>
      </c>
      <c r="Y1491" s="50">
        <v>0</v>
      </c>
      <c r="Z1491" s="51"/>
      <c r="AA1491" s="52">
        <f t="shared" si="34"/>
        <v>0</v>
      </c>
      <c r="AB1491" s="12">
        <v>0</v>
      </c>
      <c r="AC1491" s="12">
        <v>0</v>
      </c>
      <c r="AD1491" s="43"/>
      <c r="AE1491" s="43"/>
      <c r="AF1491" s="43"/>
      <c r="AG1491" s="43"/>
      <c r="AH1491" s="43"/>
      <c r="AI1491" s="43"/>
      <c r="AJ1491" s="43"/>
      <c r="AK1491" s="43"/>
      <c r="AL1491" s="43"/>
      <c r="AM1491" s="43"/>
      <c r="AN1491" s="43"/>
      <c r="AO1491" s="43"/>
      <c r="AP1491" s="43"/>
      <c r="AQ1491" s="43"/>
      <c r="AR1491" s="43"/>
      <c r="AS1491" s="43"/>
      <c r="AT1491" s="43"/>
      <c r="AU1491" s="43"/>
      <c r="AV1491" s="43"/>
    </row>
    <row r="1492" ht="15.75" spans="1:48">
      <c r="A1492" s="12">
        <v>1488</v>
      </c>
      <c r="B1492" s="44">
        <v>3959</v>
      </c>
      <c r="C1492" s="45" t="s">
        <v>123</v>
      </c>
      <c r="D1492" s="46"/>
      <c r="E1492" s="47" t="s">
        <v>113</v>
      </c>
      <c r="F1492" s="48">
        <v>6.33</v>
      </c>
      <c r="G1492" s="38">
        <v>1.33</v>
      </c>
      <c r="H1492" s="39"/>
      <c r="I1492" s="39"/>
      <c r="J1492" s="39"/>
      <c r="K1492" s="39"/>
      <c r="L1492" s="39"/>
      <c r="M1492" s="39"/>
      <c r="N1492" s="39"/>
      <c r="O1492" s="39"/>
      <c r="P1492" s="39"/>
      <c r="Q1492" s="39">
        <v>1.33</v>
      </c>
      <c r="R1492" s="39"/>
      <c r="S1492" s="39"/>
      <c r="T1492" s="39"/>
      <c r="U1492" s="39"/>
      <c r="V1492" s="39"/>
      <c r="W1492" s="39"/>
      <c r="X1492" s="49">
        <v>9276</v>
      </c>
      <c r="Y1492" s="50">
        <v>3165</v>
      </c>
      <c r="Z1492" s="51">
        <v>3124</v>
      </c>
      <c r="AA1492" s="52">
        <f t="shared" si="34"/>
        <v>0.987045813586098</v>
      </c>
      <c r="AB1492" s="12">
        <v>3124</v>
      </c>
      <c r="AC1492" s="12">
        <v>0</v>
      </c>
      <c r="AD1492" s="43"/>
      <c r="AE1492" s="43"/>
      <c r="AF1492" s="43"/>
      <c r="AG1492" s="43"/>
      <c r="AH1492" s="43"/>
      <c r="AI1492" s="43"/>
      <c r="AJ1492" s="43"/>
      <c r="AK1492" s="43"/>
      <c r="AL1492" s="43"/>
      <c r="AM1492" s="43"/>
      <c r="AN1492" s="43"/>
      <c r="AO1492" s="43"/>
      <c r="AP1492" s="43"/>
      <c r="AQ1492" s="43"/>
      <c r="AR1492" s="43"/>
      <c r="AS1492" s="43"/>
      <c r="AT1492" s="43"/>
      <c r="AU1492" s="43"/>
      <c r="AV1492" s="43"/>
    </row>
    <row r="1493" ht="15.75" spans="1:48">
      <c r="A1493" s="12">
        <v>1489</v>
      </c>
      <c r="B1493" s="44">
        <v>3959</v>
      </c>
      <c r="C1493" s="45" t="s">
        <v>123</v>
      </c>
      <c r="D1493" s="46"/>
      <c r="E1493" s="47" t="s">
        <v>113</v>
      </c>
      <c r="F1493" s="48">
        <v>4.33</v>
      </c>
      <c r="G1493" s="38">
        <v>0</v>
      </c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  <c r="S1493" s="39"/>
      <c r="T1493" s="39"/>
      <c r="U1493" s="39"/>
      <c r="V1493" s="39"/>
      <c r="W1493" s="39"/>
      <c r="X1493" s="49" t="s">
        <v>120</v>
      </c>
      <c r="Y1493" s="50">
        <v>1082.5</v>
      </c>
      <c r="Z1493" s="51">
        <v>1040</v>
      </c>
      <c r="AA1493" s="52">
        <f>IFERROR(Z1493/Y1493,0)</f>
        <v>0.960739030023095</v>
      </c>
      <c r="AB1493" s="12">
        <v>1040</v>
      </c>
      <c r="AC1493" s="12">
        <v>0</v>
      </c>
      <c r="AD1493" s="43"/>
      <c r="AE1493" s="43"/>
      <c r="AF1493" s="43"/>
      <c r="AG1493" s="43"/>
      <c r="AH1493" s="43"/>
      <c r="AI1493" s="43"/>
      <c r="AJ1493" s="43"/>
      <c r="AK1493" s="43"/>
      <c r="AL1493" s="43"/>
      <c r="AM1493" s="43"/>
      <c r="AN1493" s="43"/>
      <c r="AO1493" s="43"/>
      <c r="AP1493" s="43"/>
      <c r="AQ1493" s="43"/>
      <c r="AR1493" s="43"/>
      <c r="AS1493" s="43"/>
      <c r="AT1493" s="43"/>
      <c r="AU1493" s="43"/>
      <c r="AV1493" s="43"/>
    </row>
    <row r="1494" ht="15.75" spans="1:48">
      <c r="A1494" s="12">
        <v>1490</v>
      </c>
      <c r="B1494" s="44">
        <v>4352</v>
      </c>
      <c r="C1494" s="45" t="s">
        <v>132</v>
      </c>
      <c r="D1494" s="46" t="s">
        <v>81</v>
      </c>
      <c r="E1494" s="47" t="s">
        <v>113</v>
      </c>
      <c r="F1494" s="48">
        <v>10.5</v>
      </c>
      <c r="G1494" s="38">
        <v>1.5</v>
      </c>
      <c r="H1494" s="39"/>
      <c r="I1494" s="39"/>
      <c r="J1494" s="39"/>
      <c r="K1494" s="39"/>
      <c r="L1494" s="39"/>
      <c r="M1494" s="39"/>
      <c r="N1494" s="39"/>
      <c r="O1494" s="39"/>
      <c r="P1494" s="39"/>
      <c r="Q1494" s="39">
        <v>1.33</v>
      </c>
      <c r="R1494" s="39"/>
      <c r="S1494" s="39"/>
      <c r="T1494" s="39"/>
      <c r="U1494" s="39">
        <v>0.17</v>
      </c>
      <c r="V1494" s="39"/>
      <c r="W1494" s="39"/>
      <c r="X1494" s="49" t="s">
        <v>332</v>
      </c>
      <c r="Y1494" s="50">
        <v>63000</v>
      </c>
      <c r="Z1494" s="51">
        <v>68800</v>
      </c>
      <c r="AA1494" s="52">
        <f>IFERROR(Z1494/Y1494,0)</f>
        <v>1.09206349206349</v>
      </c>
      <c r="AB1494" s="12">
        <v>68754</v>
      </c>
      <c r="AC1494" s="12">
        <v>46</v>
      </c>
      <c r="AD1494" s="43"/>
      <c r="AE1494" s="43"/>
      <c r="AF1494" s="43"/>
      <c r="AG1494" s="19">
        <v>46</v>
      </c>
      <c r="AH1494" s="43"/>
      <c r="AI1494" s="43"/>
      <c r="AJ1494" s="43"/>
      <c r="AK1494" s="43"/>
      <c r="AL1494" s="43"/>
      <c r="AM1494" s="43"/>
      <c r="AN1494" s="43"/>
      <c r="AO1494" s="43"/>
      <c r="AP1494" s="43"/>
      <c r="AQ1494" s="43"/>
      <c r="AR1494" s="43"/>
      <c r="AS1494" s="43"/>
      <c r="AT1494" s="43"/>
      <c r="AU1494" s="43"/>
      <c r="AV1494" s="43"/>
    </row>
    <row r="1495" ht="15.75" spans="1:48">
      <c r="A1495" s="12">
        <v>1491</v>
      </c>
      <c r="B1495" s="44">
        <v>4496</v>
      </c>
      <c r="C1495" s="45" t="s">
        <v>133</v>
      </c>
      <c r="D1495" s="46" t="s">
        <v>83</v>
      </c>
      <c r="E1495" s="47" t="s">
        <v>113</v>
      </c>
      <c r="F1495" s="48">
        <v>10.33</v>
      </c>
      <c r="G1495" s="38">
        <v>1.5</v>
      </c>
      <c r="H1495" s="39"/>
      <c r="I1495" s="39"/>
      <c r="J1495" s="39"/>
      <c r="K1495" s="39"/>
      <c r="L1495" s="39"/>
      <c r="M1495" s="39"/>
      <c r="N1495" s="39"/>
      <c r="O1495" s="39"/>
      <c r="P1495" s="39"/>
      <c r="Q1495" s="39">
        <v>1.33</v>
      </c>
      <c r="R1495" s="39"/>
      <c r="S1495" s="39"/>
      <c r="T1495" s="39"/>
      <c r="U1495" s="39">
        <v>0.17</v>
      </c>
      <c r="V1495" s="39"/>
      <c r="W1495" s="39"/>
      <c r="X1495" s="49" t="s">
        <v>342</v>
      </c>
      <c r="Y1495" s="50">
        <v>46485</v>
      </c>
      <c r="Z1495" s="51">
        <v>46476</v>
      </c>
      <c r="AA1495" s="52">
        <f>IFERROR(Z1495/Y1495,0)</f>
        <v>0.999806389157793</v>
      </c>
      <c r="AB1495" s="12">
        <v>46452</v>
      </c>
      <c r="AC1495" s="12">
        <v>24</v>
      </c>
      <c r="AD1495" s="43"/>
      <c r="AE1495" s="43"/>
      <c r="AF1495" s="43"/>
      <c r="AG1495" s="19">
        <v>24</v>
      </c>
      <c r="AH1495" s="43"/>
      <c r="AI1495" s="43"/>
      <c r="AJ1495" s="43"/>
      <c r="AK1495" s="43"/>
      <c r="AL1495" s="43"/>
      <c r="AM1495" s="43"/>
      <c r="AN1495" s="43"/>
      <c r="AO1495" s="43"/>
      <c r="AP1495" s="43"/>
      <c r="AQ1495" s="43"/>
      <c r="AR1495" s="43"/>
      <c r="AS1495" s="43"/>
      <c r="AT1495" s="43"/>
      <c r="AU1495" s="43"/>
      <c r="AV1495" s="43"/>
    </row>
    <row r="1496" ht="15.75" spans="1:48">
      <c r="A1496" s="12">
        <v>1492</v>
      </c>
      <c r="B1496" s="44">
        <v>4496</v>
      </c>
      <c r="C1496" s="45" t="s">
        <v>133</v>
      </c>
      <c r="D1496" s="46" t="s">
        <v>207</v>
      </c>
      <c r="E1496" s="47" t="s">
        <v>113</v>
      </c>
      <c r="F1496" s="48">
        <v>10.33</v>
      </c>
      <c r="G1496" s="38">
        <v>1.67</v>
      </c>
      <c r="H1496" s="39"/>
      <c r="I1496" s="39"/>
      <c r="J1496" s="39"/>
      <c r="K1496" s="39">
        <v>0.17</v>
      </c>
      <c r="L1496" s="39"/>
      <c r="M1496" s="39"/>
      <c r="N1496" s="39"/>
      <c r="O1496" s="39"/>
      <c r="P1496" s="39"/>
      <c r="Q1496" s="39">
        <v>1.33</v>
      </c>
      <c r="R1496" s="39"/>
      <c r="S1496" s="39"/>
      <c r="T1496" s="39"/>
      <c r="U1496" s="39">
        <v>0.17</v>
      </c>
      <c r="V1496" s="39"/>
      <c r="W1496" s="39"/>
      <c r="X1496" s="49" t="s">
        <v>79</v>
      </c>
      <c r="Y1496" s="50">
        <v>68797.8</v>
      </c>
      <c r="Z1496" s="51">
        <v>61232</v>
      </c>
      <c r="AA1496" s="52">
        <f>IFERROR(Z1496/Y1496,0)</f>
        <v>0.89002846021239</v>
      </c>
      <c r="AB1496" s="12">
        <v>61184</v>
      </c>
      <c r="AC1496" s="12">
        <v>48</v>
      </c>
      <c r="AD1496" s="43"/>
      <c r="AE1496" s="43"/>
      <c r="AF1496" s="43"/>
      <c r="AG1496" s="19">
        <v>48</v>
      </c>
      <c r="AH1496" s="43"/>
      <c r="AI1496" s="43"/>
      <c r="AJ1496" s="43"/>
      <c r="AK1496" s="43"/>
      <c r="AL1496" s="43"/>
      <c r="AM1496" s="43"/>
      <c r="AN1496" s="43"/>
      <c r="AO1496" s="43"/>
      <c r="AP1496" s="43"/>
      <c r="AQ1496" s="43"/>
      <c r="AR1496" s="43"/>
      <c r="AS1496" s="43"/>
      <c r="AT1496" s="43"/>
      <c r="AU1496" s="43"/>
      <c r="AV1496" s="43"/>
    </row>
    <row r="1497" ht="15.75" spans="1:48">
      <c r="A1497" s="12">
        <v>1493</v>
      </c>
      <c r="B1497" s="44">
        <v>4496</v>
      </c>
      <c r="C1497" s="45" t="s">
        <v>133</v>
      </c>
      <c r="D1497" s="46" t="s">
        <v>76</v>
      </c>
      <c r="E1497" s="47" t="s">
        <v>113</v>
      </c>
      <c r="F1497" s="48">
        <v>10.33</v>
      </c>
      <c r="G1497" s="38">
        <v>1.66</v>
      </c>
      <c r="H1497" s="39"/>
      <c r="I1497" s="39"/>
      <c r="J1497" s="39"/>
      <c r="K1497" s="39"/>
      <c r="L1497" s="39"/>
      <c r="M1497" s="39"/>
      <c r="N1497" s="39"/>
      <c r="O1497" s="39"/>
      <c r="P1497" s="39"/>
      <c r="Q1497" s="39">
        <v>1.33</v>
      </c>
      <c r="R1497" s="39"/>
      <c r="S1497" s="39"/>
      <c r="T1497" s="39"/>
      <c r="U1497" s="39">
        <v>0.33</v>
      </c>
      <c r="V1497" s="39"/>
      <c r="W1497" s="39"/>
      <c r="X1497" s="49" t="s">
        <v>77</v>
      </c>
      <c r="Y1497" s="50">
        <v>61980</v>
      </c>
      <c r="Z1497" s="51">
        <v>58176</v>
      </c>
      <c r="AA1497" s="52">
        <f>IFERROR(Z1497/Y1497,0)</f>
        <v>0.938625363020329</v>
      </c>
      <c r="AB1497" s="12">
        <v>58144</v>
      </c>
      <c r="AC1497" s="12">
        <v>32</v>
      </c>
      <c r="AD1497" s="43"/>
      <c r="AE1497" s="43"/>
      <c r="AF1497" s="43"/>
      <c r="AG1497" s="19">
        <v>32</v>
      </c>
      <c r="AH1497" s="43"/>
      <c r="AI1497" s="43"/>
      <c r="AJ1497" s="43"/>
      <c r="AK1497" s="43"/>
      <c r="AL1497" s="43"/>
      <c r="AM1497" s="43"/>
      <c r="AN1497" s="43"/>
      <c r="AO1497" s="43"/>
      <c r="AP1497" s="43"/>
      <c r="AQ1497" s="43"/>
      <c r="AR1497" s="43"/>
      <c r="AS1497" s="43"/>
      <c r="AT1497" s="43"/>
      <c r="AU1497" s="43"/>
      <c r="AV1497" s="43"/>
    </row>
    <row r="1498" ht="15.75" spans="1:48">
      <c r="A1498" s="12">
        <v>1494</v>
      </c>
      <c r="B1498" s="44">
        <v>4019</v>
      </c>
      <c r="C1498" s="45" t="s">
        <v>134</v>
      </c>
      <c r="D1498" s="46" t="s">
        <v>138</v>
      </c>
      <c r="E1498" s="47" t="s">
        <v>113</v>
      </c>
      <c r="F1498" s="48">
        <v>6.33</v>
      </c>
      <c r="G1498" s="38">
        <v>1.83</v>
      </c>
      <c r="H1498" s="39"/>
      <c r="I1498" s="39"/>
      <c r="J1498" s="39"/>
      <c r="K1498" s="39">
        <v>0.33</v>
      </c>
      <c r="L1498" s="39"/>
      <c r="M1498" s="39"/>
      <c r="N1498" s="39"/>
      <c r="O1498" s="39"/>
      <c r="P1498" s="39"/>
      <c r="Q1498" s="39">
        <v>1.33</v>
      </c>
      <c r="R1498" s="39"/>
      <c r="S1498" s="39"/>
      <c r="T1498" s="39"/>
      <c r="U1498" s="39">
        <v>0.17</v>
      </c>
      <c r="V1498" s="39"/>
      <c r="W1498" s="39"/>
      <c r="X1498" s="49" t="s">
        <v>208</v>
      </c>
      <c r="Y1498" s="50">
        <v>9653.25</v>
      </c>
      <c r="Z1498" s="51">
        <v>9504</v>
      </c>
      <c r="AA1498" s="52">
        <f>IFERROR(Z1498/Y1498,0)</f>
        <v>0.984538885867454</v>
      </c>
      <c r="AB1498" s="12">
        <v>9476</v>
      </c>
      <c r="AC1498" s="12">
        <v>28</v>
      </c>
      <c r="AD1498" s="43"/>
      <c r="AE1498" s="43"/>
      <c r="AF1498" s="43"/>
      <c r="AG1498" s="19">
        <v>28</v>
      </c>
      <c r="AH1498" s="43"/>
      <c r="AI1498" s="43"/>
      <c r="AJ1498" s="43"/>
      <c r="AK1498" s="43"/>
      <c r="AL1498" s="43"/>
      <c r="AM1498" s="43"/>
      <c r="AN1498" s="43"/>
      <c r="AO1498" s="43"/>
      <c r="AP1498" s="43"/>
      <c r="AQ1498" s="43"/>
      <c r="AR1498" s="43"/>
      <c r="AS1498" s="43"/>
      <c r="AT1498" s="43"/>
      <c r="AU1498" s="43"/>
      <c r="AV1498" s="43"/>
    </row>
    <row r="1499" ht="15.75" spans="1:48">
      <c r="A1499" s="12">
        <v>1495</v>
      </c>
      <c r="B1499" s="44">
        <v>4019</v>
      </c>
      <c r="C1499" s="45" t="s">
        <v>134</v>
      </c>
      <c r="D1499" s="46" t="s">
        <v>129</v>
      </c>
      <c r="E1499" s="47" t="s">
        <v>113</v>
      </c>
      <c r="F1499" s="48">
        <v>3.67</v>
      </c>
      <c r="G1499" s="38">
        <v>0.5</v>
      </c>
      <c r="H1499" s="39"/>
      <c r="I1499" s="39"/>
      <c r="J1499" s="39"/>
      <c r="K1499" s="39">
        <v>0.33</v>
      </c>
      <c r="L1499" s="39"/>
      <c r="M1499" s="39"/>
      <c r="N1499" s="39"/>
      <c r="O1499" s="39"/>
      <c r="P1499" s="39"/>
      <c r="Q1499" s="39"/>
      <c r="R1499" s="39"/>
      <c r="S1499" s="39"/>
      <c r="T1499" s="39"/>
      <c r="U1499" s="39">
        <v>0.17</v>
      </c>
      <c r="V1499" s="39"/>
      <c r="W1499" s="39"/>
      <c r="X1499" s="49" t="s">
        <v>311</v>
      </c>
      <c r="Y1499" s="50">
        <v>7340</v>
      </c>
      <c r="Z1499" s="51">
        <v>7708</v>
      </c>
      <c r="AA1499" s="52">
        <f>IFERROR(Z1499/Y1499,0)</f>
        <v>1.05013623978202</v>
      </c>
      <c r="AB1499" s="12">
        <v>7708</v>
      </c>
      <c r="AC1499" s="12">
        <v>0</v>
      </c>
      <c r="AD1499" s="43"/>
      <c r="AE1499" s="43"/>
      <c r="AF1499" s="43"/>
      <c r="AG1499" s="43"/>
      <c r="AH1499" s="43"/>
      <c r="AI1499" s="43"/>
      <c r="AJ1499" s="43"/>
      <c r="AK1499" s="43"/>
      <c r="AL1499" s="43"/>
      <c r="AM1499" s="43"/>
      <c r="AN1499" s="43"/>
      <c r="AO1499" s="43"/>
      <c r="AP1499" s="43"/>
      <c r="AQ1499" s="43"/>
      <c r="AR1499" s="43"/>
      <c r="AS1499" s="43"/>
      <c r="AT1499" s="43"/>
      <c r="AU1499" s="43"/>
      <c r="AV1499" s="43"/>
    </row>
    <row r="1500" ht="15.75" spans="1:48">
      <c r="A1500" s="12">
        <v>1496</v>
      </c>
      <c r="B1500" s="44">
        <v>4490</v>
      </c>
      <c r="C1500" s="45" t="s">
        <v>91</v>
      </c>
      <c r="D1500" s="46">
        <v>15</v>
      </c>
      <c r="E1500" s="47" t="s">
        <v>113</v>
      </c>
      <c r="F1500" s="48">
        <v>6.5</v>
      </c>
      <c r="G1500" s="38">
        <v>2.67</v>
      </c>
      <c r="H1500" s="39"/>
      <c r="I1500" s="39"/>
      <c r="J1500" s="39"/>
      <c r="K1500" s="39">
        <v>0.17</v>
      </c>
      <c r="L1500" s="39"/>
      <c r="M1500" s="39"/>
      <c r="N1500" s="39"/>
      <c r="O1500" s="39"/>
      <c r="P1500" s="39"/>
      <c r="Q1500" s="39">
        <v>1.33</v>
      </c>
      <c r="R1500" s="39"/>
      <c r="S1500" s="39"/>
      <c r="T1500" s="39">
        <v>1</v>
      </c>
      <c r="U1500" s="39">
        <v>0.17</v>
      </c>
      <c r="V1500" s="39"/>
      <c r="W1500" s="39"/>
      <c r="X1500" s="49">
        <v>9149</v>
      </c>
      <c r="Y1500" s="50">
        <v>2340</v>
      </c>
      <c r="Z1500" s="51">
        <v>1800</v>
      </c>
      <c r="AA1500" s="52">
        <f t="shared" ref="AA1500:AA1523" si="35">IFERROR(Z1500/Y1500,0)</f>
        <v>0.769230769230769</v>
      </c>
      <c r="AB1500" s="12">
        <v>1663</v>
      </c>
      <c r="AC1500" s="12">
        <v>137</v>
      </c>
      <c r="AD1500" s="19">
        <v>137</v>
      </c>
      <c r="AE1500" s="43"/>
      <c r="AF1500" s="43"/>
      <c r="AG1500" s="43"/>
      <c r="AH1500" s="43"/>
      <c r="AI1500" s="43"/>
      <c r="AJ1500" s="43"/>
      <c r="AK1500" s="43"/>
      <c r="AL1500" s="43"/>
      <c r="AM1500" s="43"/>
      <c r="AN1500" s="43"/>
      <c r="AO1500" s="43"/>
      <c r="AP1500" s="43"/>
      <c r="AQ1500" s="43"/>
      <c r="AR1500" s="43"/>
      <c r="AS1500" s="43"/>
      <c r="AT1500" s="43"/>
      <c r="AU1500" s="43"/>
      <c r="AV1500" s="43"/>
    </row>
    <row r="1501" ht="15.75" spans="1:48">
      <c r="A1501" s="12">
        <v>1497</v>
      </c>
      <c r="B1501" s="44">
        <v>4489</v>
      </c>
      <c r="C1501" s="45" t="s">
        <v>88</v>
      </c>
      <c r="D1501" s="46">
        <v>5</v>
      </c>
      <c r="E1501" s="47" t="s">
        <v>113</v>
      </c>
      <c r="F1501" s="48">
        <v>7.5</v>
      </c>
      <c r="G1501" s="38">
        <v>1.67</v>
      </c>
      <c r="H1501" s="39"/>
      <c r="I1501" s="39"/>
      <c r="J1501" s="39"/>
      <c r="K1501" s="39">
        <v>0.17</v>
      </c>
      <c r="L1501" s="39"/>
      <c r="M1501" s="39"/>
      <c r="N1501" s="39"/>
      <c r="O1501" s="39"/>
      <c r="P1501" s="39"/>
      <c r="Q1501" s="39">
        <v>1.33</v>
      </c>
      <c r="R1501" s="39"/>
      <c r="S1501" s="39"/>
      <c r="T1501" s="39"/>
      <c r="U1501" s="39">
        <v>0.17</v>
      </c>
      <c r="V1501" s="39"/>
      <c r="W1501" s="39"/>
      <c r="X1501" s="49">
        <v>5770</v>
      </c>
      <c r="Y1501" s="50">
        <v>4537.5</v>
      </c>
      <c r="Z1501" s="51">
        <v>4195</v>
      </c>
      <c r="AA1501" s="52">
        <f t="shared" si="35"/>
        <v>0.924517906336088</v>
      </c>
      <c r="AB1501" s="12">
        <v>4195</v>
      </c>
      <c r="AC1501" s="12">
        <v>0</v>
      </c>
      <c r="AD1501" s="43"/>
      <c r="AE1501" s="43"/>
      <c r="AF1501" s="43"/>
      <c r="AG1501" s="43"/>
      <c r="AH1501" s="43"/>
      <c r="AI1501" s="43"/>
      <c r="AJ1501" s="43"/>
      <c r="AK1501" s="43"/>
      <c r="AL1501" s="43"/>
      <c r="AM1501" s="43"/>
      <c r="AN1501" s="43"/>
      <c r="AO1501" s="43"/>
      <c r="AP1501" s="43"/>
      <c r="AQ1501" s="43"/>
      <c r="AR1501" s="43"/>
      <c r="AS1501" s="43"/>
      <c r="AT1501" s="43"/>
      <c r="AU1501" s="43"/>
      <c r="AV1501" s="43"/>
    </row>
    <row r="1502" ht="15.75" spans="1:48">
      <c r="A1502" s="12">
        <v>1498</v>
      </c>
      <c r="B1502" s="44">
        <v>4017</v>
      </c>
      <c r="C1502" s="45" t="s">
        <v>148</v>
      </c>
      <c r="D1502" s="46">
        <v>3</v>
      </c>
      <c r="E1502" s="47" t="s">
        <v>113</v>
      </c>
      <c r="F1502" s="48">
        <v>7</v>
      </c>
      <c r="G1502" s="38">
        <v>1.5</v>
      </c>
      <c r="H1502" s="39"/>
      <c r="I1502" s="39"/>
      <c r="J1502" s="39"/>
      <c r="K1502" s="39"/>
      <c r="L1502" s="39"/>
      <c r="M1502" s="39"/>
      <c r="N1502" s="39"/>
      <c r="O1502" s="39"/>
      <c r="P1502" s="39"/>
      <c r="Q1502" s="39">
        <v>1.33</v>
      </c>
      <c r="R1502" s="39"/>
      <c r="S1502" s="39"/>
      <c r="T1502" s="39"/>
      <c r="U1502" s="39">
        <v>0.17</v>
      </c>
      <c r="V1502" s="39"/>
      <c r="W1502" s="39"/>
      <c r="X1502" s="49">
        <v>9740</v>
      </c>
      <c r="Y1502" s="50">
        <v>2940</v>
      </c>
      <c r="Z1502" s="51">
        <v>2880</v>
      </c>
      <c r="AA1502" s="52">
        <f t="shared" si="35"/>
        <v>0.979591836734694</v>
      </c>
      <c r="AB1502" s="12">
        <v>2871</v>
      </c>
      <c r="AC1502" s="12">
        <v>9</v>
      </c>
      <c r="AD1502" s="19">
        <v>9</v>
      </c>
      <c r="AE1502" s="43"/>
      <c r="AF1502" s="43"/>
      <c r="AG1502" s="43"/>
      <c r="AH1502" s="43"/>
      <c r="AI1502" s="43"/>
      <c r="AJ1502" s="43"/>
      <c r="AK1502" s="43"/>
      <c r="AL1502" s="43"/>
      <c r="AM1502" s="43"/>
      <c r="AN1502" s="43"/>
      <c r="AO1502" s="43"/>
      <c r="AP1502" s="43"/>
      <c r="AQ1502" s="43"/>
      <c r="AR1502" s="43"/>
      <c r="AS1502" s="43"/>
      <c r="AT1502" s="43"/>
      <c r="AU1502" s="43"/>
      <c r="AV1502" s="43"/>
    </row>
    <row r="1503" ht="15.75" spans="1:48">
      <c r="A1503" s="12">
        <v>1499</v>
      </c>
      <c r="B1503" s="44">
        <v>4335</v>
      </c>
      <c r="C1503" s="45" t="s">
        <v>154</v>
      </c>
      <c r="D1503" s="46">
        <v>14</v>
      </c>
      <c r="E1503" s="47" t="s">
        <v>113</v>
      </c>
      <c r="F1503" s="48">
        <v>4</v>
      </c>
      <c r="G1503" s="38">
        <v>4.67</v>
      </c>
      <c r="H1503" s="39"/>
      <c r="I1503" s="39"/>
      <c r="J1503" s="39"/>
      <c r="K1503" s="39"/>
      <c r="L1503" s="39"/>
      <c r="M1503" s="39"/>
      <c r="N1503" s="39"/>
      <c r="O1503" s="39"/>
      <c r="P1503" s="39"/>
      <c r="Q1503" s="39">
        <v>1.33</v>
      </c>
      <c r="R1503" s="39"/>
      <c r="S1503" s="39">
        <v>3</v>
      </c>
      <c r="T1503" s="39">
        <v>0.17</v>
      </c>
      <c r="U1503" s="39">
        <v>0.17</v>
      </c>
      <c r="V1503" s="39"/>
      <c r="W1503" s="39"/>
      <c r="X1503" s="49">
        <v>8484</v>
      </c>
      <c r="Y1503" s="50">
        <v>2160</v>
      </c>
      <c r="Z1503" s="51">
        <v>2160</v>
      </c>
      <c r="AA1503" s="52">
        <f t="shared" si="35"/>
        <v>1</v>
      </c>
      <c r="AB1503" s="12">
        <v>2135</v>
      </c>
      <c r="AC1503" s="12">
        <v>25</v>
      </c>
      <c r="AD1503" s="19">
        <v>25</v>
      </c>
      <c r="AE1503" s="43"/>
      <c r="AF1503" s="43"/>
      <c r="AG1503" s="43"/>
      <c r="AH1503" s="43"/>
      <c r="AI1503" s="43"/>
      <c r="AJ1503" s="43"/>
      <c r="AK1503" s="43"/>
      <c r="AL1503" s="43"/>
      <c r="AM1503" s="43"/>
      <c r="AN1503" s="43"/>
      <c r="AO1503" s="43"/>
      <c r="AP1503" s="43"/>
      <c r="AQ1503" s="43"/>
      <c r="AR1503" s="43"/>
      <c r="AS1503" s="43"/>
      <c r="AT1503" s="43"/>
      <c r="AU1503" s="43"/>
      <c r="AV1503" s="43"/>
    </row>
    <row r="1504" ht="15.75" spans="1:48">
      <c r="A1504" s="12">
        <v>1500</v>
      </c>
      <c r="B1504" s="44">
        <v>551</v>
      </c>
      <c r="C1504" s="45" t="s">
        <v>146</v>
      </c>
      <c r="D1504" s="46">
        <v>2</v>
      </c>
      <c r="E1504" s="47" t="s">
        <v>113</v>
      </c>
      <c r="F1504" s="48">
        <v>7.17</v>
      </c>
      <c r="G1504" s="38">
        <v>1.83</v>
      </c>
      <c r="H1504" s="39"/>
      <c r="I1504" s="39"/>
      <c r="J1504" s="39"/>
      <c r="K1504" s="39"/>
      <c r="L1504" s="39"/>
      <c r="M1504" s="39"/>
      <c r="N1504" s="39"/>
      <c r="O1504" s="39"/>
      <c r="P1504" s="39"/>
      <c r="Q1504" s="39">
        <v>1.33</v>
      </c>
      <c r="R1504" s="39"/>
      <c r="S1504" s="39"/>
      <c r="T1504" s="39">
        <v>0.33</v>
      </c>
      <c r="U1504" s="39">
        <v>0.17</v>
      </c>
      <c r="V1504" s="39"/>
      <c r="W1504" s="39"/>
      <c r="X1504" s="49">
        <v>8234</v>
      </c>
      <c r="Y1504" s="50">
        <v>4732.2</v>
      </c>
      <c r="Z1504" s="51">
        <v>4800</v>
      </c>
      <c r="AA1504" s="52">
        <f t="shared" si="35"/>
        <v>1.01432737416001</v>
      </c>
      <c r="AB1504" s="12">
        <v>4800</v>
      </c>
      <c r="AC1504" s="12">
        <v>0</v>
      </c>
      <c r="AD1504" s="43"/>
      <c r="AE1504" s="43"/>
      <c r="AF1504" s="43"/>
      <c r="AG1504" s="43"/>
      <c r="AH1504" s="43"/>
      <c r="AI1504" s="43"/>
      <c r="AJ1504" s="43"/>
      <c r="AK1504" s="43"/>
      <c r="AL1504" s="43"/>
      <c r="AM1504" s="43"/>
      <c r="AN1504" s="43"/>
      <c r="AO1504" s="43"/>
      <c r="AP1504" s="43"/>
      <c r="AQ1504" s="43"/>
      <c r="AR1504" s="43"/>
      <c r="AS1504" s="43"/>
      <c r="AT1504" s="43"/>
      <c r="AU1504" s="43"/>
      <c r="AV1504" s="43"/>
    </row>
    <row r="1505" ht="15.75" spans="1:48">
      <c r="A1505" s="12">
        <v>1501</v>
      </c>
      <c r="B1505" s="44">
        <v>4110</v>
      </c>
      <c r="C1505" s="45" t="s">
        <v>135</v>
      </c>
      <c r="D1505" s="46">
        <v>18</v>
      </c>
      <c r="E1505" s="47" t="s">
        <v>113</v>
      </c>
      <c r="F1505" s="48">
        <v>7</v>
      </c>
      <c r="G1505" s="38">
        <v>2.17</v>
      </c>
      <c r="H1505" s="39"/>
      <c r="I1505" s="39"/>
      <c r="J1505" s="39"/>
      <c r="K1505" s="39"/>
      <c r="L1505" s="39"/>
      <c r="M1505" s="39"/>
      <c r="N1505" s="39"/>
      <c r="O1505" s="39"/>
      <c r="P1505" s="39"/>
      <c r="Q1505" s="39">
        <v>1.33</v>
      </c>
      <c r="R1505" s="39"/>
      <c r="S1505" s="39"/>
      <c r="T1505" s="39">
        <v>0.67</v>
      </c>
      <c r="U1505" s="39">
        <v>0.17</v>
      </c>
      <c r="V1505" s="39"/>
      <c r="W1505" s="39"/>
      <c r="X1505" s="49">
        <v>2801</v>
      </c>
      <c r="Y1505" s="50">
        <v>4235</v>
      </c>
      <c r="Z1505" s="51">
        <v>4150</v>
      </c>
      <c r="AA1505" s="52">
        <f t="shared" si="35"/>
        <v>0.979929161747344</v>
      </c>
      <c r="AB1505" s="12">
        <v>3964</v>
      </c>
      <c r="AC1505" s="12">
        <v>186</v>
      </c>
      <c r="AD1505" s="19">
        <v>186</v>
      </c>
      <c r="AE1505" s="43"/>
      <c r="AF1505" s="43"/>
      <c r="AG1505" s="43"/>
      <c r="AH1505" s="43"/>
      <c r="AI1505" s="43"/>
      <c r="AJ1505" s="43"/>
      <c r="AK1505" s="43"/>
      <c r="AL1505" s="43"/>
      <c r="AM1505" s="43"/>
      <c r="AN1505" s="43"/>
      <c r="AO1505" s="43"/>
      <c r="AP1505" s="43"/>
      <c r="AQ1505" s="43"/>
      <c r="AR1505" s="43"/>
      <c r="AS1505" s="43"/>
      <c r="AT1505" s="43"/>
      <c r="AU1505" s="43"/>
      <c r="AV1505" s="43"/>
    </row>
    <row r="1506" ht="15.75" spans="1:48">
      <c r="A1506" s="12">
        <v>1502</v>
      </c>
      <c r="B1506" s="44">
        <v>2865</v>
      </c>
      <c r="C1506" s="45" t="s">
        <v>149</v>
      </c>
      <c r="D1506" s="46">
        <v>6</v>
      </c>
      <c r="E1506" s="47" t="s">
        <v>113</v>
      </c>
      <c r="F1506" s="48">
        <v>10.5</v>
      </c>
      <c r="G1506" s="38">
        <v>1.5</v>
      </c>
      <c r="H1506" s="39"/>
      <c r="I1506" s="39"/>
      <c r="J1506" s="39"/>
      <c r="K1506" s="39"/>
      <c r="L1506" s="39"/>
      <c r="M1506" s="39"/>
      <c r="N1506" s="39"/>
      <c r="O1506" s="39"/>
      <c r="P1506" s="39"/>
      <c r="Q1506" s="39">
        <v>1.33</v>
      </c>
      <c r="R1506" s="39"/>
      <c r="S1506" s="39"/>
      <c r="T1506" s="39"/>
      <c r="U1506" s="39">
        <v>0.17</v>
      </c>
      <c r="V1506" s="39"/>
      <c r="W1506" s="39"/>
      <c r="X1506" s="49">
        <v>1090</v>
      </c>
      <c r="Y1506" s="50">
        <v>6930</v>
      </c>
      <c r="Z1506" s="51">
        <v>7000</v>
      </c>
      <c r="AA1506" s="52">
        <f t="shared" si="35"/>
        <v>1.01010101010101</v>
      </c>
      <c r="AB1506" s="12">
        <v>6973</v>
      </c>
      <c r="AC1506" s="12">
        <v>27</v>
      </c>
      <c r="AD1506" s="19">
        <v>27</v>
      </c>
      <c r="AE1506" s="43"/>
      <c r="AF1506" s="43"/>
      <c r="AG1506" s="43"/>
      <c r="AH1506" s="43"/>
      <c r="AI1506" s="43"/>
      <c r="AJ1506" s="43"/>
      <c r="AK1506" s="43"/>
      <c r="AL1506" s="43"/>
      <c r="AM1506" s="43"/>
      <c r="AN1506" s="43"/>
      <c r="AO1506" s="43"/>
      <c r="AP1506" s="43"/>
      <c r="AQ1506" s="43"/>
      <c r="AR1506" s="43"/>
      <c r="AS1506" s="43"/>
      <c r="AT1506" s="43"/>
      <c r="AU1506" s="43"/>
      <c r="AV1506" s="43"/>
    </row>
    <row r="1507" ht="15.75" spans="1:48">
      <c r="A1507" s="12">
        <v>1503</v>
      </c>
      <c r="B1507" s="44">
        <v>666</v>
      </c>
      <c r="C1507" s="45" t="s">
        <v>151</v>
      </c>
      <c r="D1507" s="46"/>
      <c r="E1507" s="47" t="s">
        <v>113</v>
      </c>
      <c r="F1507" s="48">
        <v>1.17</v>
      </c>
      <c r="G1507" s="38">
        <v>0</v>
      </c>
      <c r="H1507" s="39"/>
      <c r="I1507" s="39"/>
      <c r="J1507" s="39"/>
      <c r="K1507" s="39"/>
      <c r="L1507" s="39"/>
      <c r="M1507" s="39"/>
      <c r="N1507" s="39"/>
      <c r="O1507" s="39"/>
      <c r="P1507" s="39"/>
      <c r="Q1507" s="39"/>
      <c r="R1507" s="39"/>
      <c r="S1507" s="39"/>
      <c r="T1507" s="39"/>
      <c r="U1507" s="39"/>
      <c r="V1507" s="39"/>
      <c r="W1507" s="39"/>
      <c r="X1507" s="49" t="s">
        <v>285</v>
      </c>
      <c r="Y1507" s="50">
        <v>549.9</v>
      </c>
      <c r="Z1507" s="51">
        <v>540</v>
      </c>
      <c r="AA1507" s="52">
        <f t="shared" si="35"/>
        <v>0.981996726677578</v>
      </c>
      <c r="AB1507" s="12">
        <v>540</v>
      </c>
      <c r="AC1507" s="12">
        <v>0</v>
      </c>
      <c r="AD1507" s="43"/>
      <c r="AE1507" s="43"/>
      <c r="AF1507" s="43"/>
      <c r="AG1507" s="43"/>
      <c r="AH1507" s="43"/>
      <c r="AI1507" s="43"/>
      <c r="AJ1507" s="43"/>
      <c r="AK1507" s="43"/>
      <c r="AL1507" s="43"/>
      <c r="AM1507" s="43"/>
      <c r="AN1507" s="43"/>
      <c r="AO1507" s="43"/>
      <c r="AP1507" s="43"/>
      <c r="AQ1507" s="43"/>
      <c r="AR1507" s="43"/>
      <c r="AS1507" s="43"/>
      <c r="AT1507" s="43"/>
      <c r="AU1507" s="43"/>
      <c r="AV1507" s="43"/>
    </row>
    <row r="1508" ht="15.75" spans="1:48">
      <c r="A1508" s="12">
        <v>1504</v>
      </c>
      <c r="B1508" s="44">
        <v>947</v>
      </c>
      <c r="C1508" s="45" t="s">
        <v>143</v>
      </c>
      <c r="D1508" s="46">
        <v>8</v>
      </c>
      <c r="E1508" s="47" t="s">
        <v>113</v>
      </c>
      <c r="F1508" s="48">
        <v>5</v>
      </c>
      <c r="G1508" s="38">
        <v>2</v>
      </c>
      <c r="H1508" s="39"/>
      <c r="I1508" s="39"/>
      <c r="J1508" s="39"/>
      <c r="K1508" s="39"/>
      <c r="L1508" s="39"/>
      <c r="M1508" s="39"/>
      <c r="N1508" s="39"/>
      <c r="O1508" s="39"/>
      <c r="P1508" s="39"/>
      <c r="Q1508" s="39">
        <v>1.33</v>
      </c>
      <c r="R1508" s="39"/>
      <c r="S1508" s="39"/>
      <c r="T1508" s="39">
        <v>0.5</v>
      </c>
      <c r="U1508" s="39">
        <v>0.17</v>
      </c>
      <c r="V1508" s="39"/>
      <c r="W1508" s="39"/>
      <c r="X1508" s="49">
        <v>9968</v>
      </c>
      <c r="Y1508" s="50">
        <v>3025</v>
      </c>
      <c r="Z1508" s="51">
        <v>2580</v>
      </c>
      <c r="AA1508" s="52">
        <f t="shared" si="35"/>
        <v>0.852892561983471</v>
      </c>
      <c r="AB1508" s="12">
        <v>2507</v>
      </c>
      <c r="AC1508" s="12">
        <v>73</v>
      </c>
      <c r="AD1508" s="19">
        <v>73</v>
      </c>
      <c r="AE1508" s="43"/>
      <c r="AF1508" s="43"/>
      <c r="AG1508" s="43"/>
      <c r="AH1508" s="43"/>
      <c r="AI1508" s="43"/>
      <c r="AJ1508" s="43"/>
      <c r="AK1508" s="43"/>
      <c r="AL1508" s="43"/>
      <c r="AM1508" s="43"/>
      <c r="AN1508" s="43"/>
      <c r="AO1508" s="43"/>
      <c r="AP1508" s="43"/>
      <c r="AQ1508" s="43"/>
      <c r="AR1508" s="43"/>
      <c r="AS1508" s="43"/>
      <c r="AT1508" s="43"/>
      <c r="AU1508" s="43"/>
      <c r="AV1508" s="43"/>
    </row>
    <row r="1509" ht="15.75" spans="1:48">
      <c r="A1509" s="12">
        <v>1505</v>
      </c>
      <c r="B1509" s="44">
        <v>4384</v>
      </c>
      <c r="C1509" s="45" t="s">
        <v>145</v>
      </c>
      <c r="D1509" s="46">
        <v>21</v>
      </c>
      <c r="E1509" s="47" t="s">
        <v>113</v>
      </c>
      <c r="F1509" s="48">
        <v>10.16</v>
      </c>
      <c r="G1509" s="38">
        <v>1.83</v>
      </c>
      <c r="H1509" s="39"/>
      <c r="I1509" s="39"/>
      <c r="J1509" s="39"/>
      <c r="K1509" s="39"/>
      <c r="L1509" s="39"/>
      <c r="M1509" s="39"/>
      <c r="N1509" s="39"/>
      <c r="O1509" s="39"/>
      <c r="P1509" s="39"/>
      <c r="Q1509" s="39">
        <v>1.33</v>
      </c>
      <c r="R1509" s="39"/>
      <c r="S1509" s="39"/>
      <c r="T1509" s="39">
        <v>0.33</v>
      </c>
      <c r="U1509" s="39">
        <v>0.17</v>
      </c>
      <c r="V1509" s="39"/>
      <c r="W1509" s="39"/>
      <c r="X1509" s="49" t="s">
        <v>96</v>
      </c>
      <c r="Y1509" s="50">
        <v>14732</v>
      </c>
      <c r="Z1509" s="51">
        <v>13500</v>
      </c>
      <c r="AA1509" s="52">
        <f t="shared" si="35"/>
        <v>0.916372522400217</v>
      </c>
      <c r="AB1509" s="12">
        <v>13500</v>
      </c>
      <c r="AC1509" s="12">
        <v>0</v>
      </c>
      <c r="AD1509" s="43"/>
      <c r="AE1509" s="43"/>
      <c r="AF1509" s="43"/>
      <c r="AG1509" s="43"/>
      <c r="AH1509" s="43"/>
      <c r="AI1509" s="43"/>
      <c r="AJ1509" s="43"/>
      <c r="AK1509" s="43"/>
      <c r="AL1509" s="43"/>
      <c r="AM1509" s="43"/>
      <c r="AN1509" s="43"/>
      <c r="AO1509" s="43"/>
      <c r="AP1509" s="43"/>
      <c r="AQ1509" s="43"/>
      <c r="AR1509" s="43"/>
      <c r="AS1509" s="43"/>
      <c r="AT1509" s="43"/>
      <c r="AU1509" s="43"/>
      <c r="AV1509" s="43"/>
    </row>
    <row r="1510" ht="15.75" spans="1:48">
      <c r="A1510" s="12">
        <v>1506</v>
      </c>
      <c r="B1510" s="44">
        <v>692</v>
      </c>
      <c r="C1510" s="45" t="s">
        <v>142</v>
      </c>
      <c r="D1510" s="46"/>
      <c r="E1510" s="47" t="s">
        <v>113</v>
      </c>
      <c r="F1510" s="48">
        <v>6</v>
      </c>
      <c r="G1510" s="38">
        <v>2.67</v>
      </c>
      <c r="H1510" s="39"/>
      <c r="I1510" s="39"/>
      <c r="J1510" s="39"/>
      <c r="K1510" s="39"/>
      <c r="L1510" s="39"/>
      <c r="M1510" s="39"/>
      <c r="N1510" s="39"/>
      <c r="O1510" s="39"/>
      <c r="P1510" s="39"/>
      <c r="Q1510" s="39">
        <v>1.33</v>
      </c>
      <c r="R1510" s="39"/>
      <c r="S1510" s="39">
        <v>0.5</v>
      </c>
      <c r="T1510" s="39">
        <v>0.67</v>
      </c>
      <c r="U1510" s="39">
        <v>0.17</v>
      </c>
      <c r="V1510" s="39"/>
      <c r="W1510" s="39"/>
      <c r="X1510" s="49" t="s">
        <v>98</v>
      </c>
      <c r="Y1510" s="50">
        <v>2820</v>
      </c>
      <c r="Z1510" s="51">
        <v>2700</v>
      </c>
      <c r="AA1510" s="52">
        <f t="shared" si="35"/>
        <v>0.957446808510638</v>
      </c>
      <c r="AB1510" s="12">
        <v>2700</v>
      </c>
      <c r="AC1510" s="12">
        <v>0</v>
      </c>
      <c r="AD1510" s="43"/>
      <c r="AE1510" s="43"/>
      <c r="AF1510" s="43"/>
      <c r="AG1510" s="43"/>
      <c r="AH1510" s="43"/>
      <c r="AI1510" s="43"/>
      <c r="AJ1510" s="43"/>
      <c r="AK1510" s="43"/>
      <c r="AL1510" s="43"/>
      <c r="AM1510" s="43"/>
      <c r="AN1510" s="43"/>
      <c r="AO1510" s="43"/>
      <c r="AP1510" s="43"/>
      <c r="AQ1510" s="43"/>
      <c r="AR1510" s="43"/>
      <c r="AS1510" s="43"/>
      <c r="AT1510" s="43"/>
      <c r="AU1510" s="43"/>
      <c r="AV1510" s="43"/>
    </row>
    <row r="1511" ht="15.75" spans="1:48">
      <c r="A1511" s="12">
        <v>1507</v>
      </c>
      <c r="B1511" s="44">
        <v>692</v>
      </c>
      <c r="C1511" s="45" t="s">
        <v>142</v>
      </c>
      <c r="D1511" s="46"/>
      <c r="E1511" s="47" t="s">
        <v>113</v>
      </c>
      <c r="F1511" s="48">
        <v>3.33</v>
      </c>
      <c r="G1511" s="38">
        <v>0</v>
      </c>
      <c r="H1511" s="39"/>
      <c r="I1511" s="39"/>
      <c r="J1511" s="39"/>
      <c r="K1511" s="39"/>
      <c r="L1511" s="39"/>
      <c r="M1511" s="39"/>
      <c r="N1511" s="39"/>
      <c r="O1511" s="39"/>
      <c r="P1511" s="39"/>
      <c r="Q1511" s="39"/>
      <c r="R1511" s="39"/>
      <c r="S1511" s="39"/>
      <c r="T1511" s="39"/>
      <c r="U1511" s="39"/>
      <c r="V1511" s="39"/>
      <c r="W1511" s="39"/>
      <c r="X1511" s="49" t="s">
        <v>285</v>
      </c>
      <c r="Y1511" s="50">
        <v>1565.1</v>
      </c>
      <c r="Z1511" s="51">
        <v>1440</v>
      </c>
      <c r="AA1511" s="52">
        <f t="shared" si="35"/>
        <v>0.920069005175388</v>
      </c>
      <c r="AB1511" s="12">
        <v>1440</v>
      </c>
      <c r="AC1511" s="12">
        <v>0</v>
      </c>
      <c r="AD1511" s="43"/>
      <c r="AE1511" s="43"/>
      <c r="AF1511" s="43"/>
      <c r="AG1511" s="43"/>
      <c r="AH1511" s="43"/>
      <c r="AI1511" s="43"/>
      <c r="AJ1511" s="43"/>
      <c r="AK1511" s="43"/>
      <c r="AL1511" s="43"/>
      <c r="AM1511" s="43"/>
      <c r="AN1511" s="43"/>
      <c r="AO1511" s="43"/>
      <c r="AP1511" s="43"/>
      <c r="AQ1511" s="43"/>
      <c r="AR1511" s="43"/>
      <c r="AS1511" s="43"/>
      <c r="AT1511" s="43"/>
      <c r="AU1511" s="43"/>
      <c r="AV1511" s="43"/>
    </row>
    <row r="1512" ht="15.75" spans="1:48">
      <c r="A1512" s="12">
        <v>1508</v>
      </c>
      <c r="B1512" s="44">
        <v>4335</v>
      </c>
      <c r="C1512" s="45" t="s">
        <v>154</v>
      </c>
      <c r="D1512" s="46"/>
      <c r="E1512" s="47" t="s">
        <v>113</v>
      </c>
      <c r="F1512" s="48">
        <v>3.33</v>
      </c>
      <c r="G1512" s="38">
        <v>0</v>
      </c>
      <c r="H1512" s="39"/>
      <c r="I1512" s="39"/>
      <c r="J1512" s="39"/>
      <c r="K1512" s="39"/>
      <c r="L1512" s="39"/>
      <c r="M1512" s="39"/>
      <c r="N1512" s="39"/>
      <c r="O1512" s="39"/>
      <c r="P1512" s="39"/>
      <c r="Q1512" s="39"/>
      <c r="R1512" s="39"/>
      <c r="S1512" s="39"/>
      <c r="T1512" s="39"/>
      <c r="U1512" s="39"/>
      <c r="V1512" s="39"/>
      <c r="W1512" s="39"/>
      <c r="X1512" s="49" t="s">
        <v>105</v>
      </c>
      <c r="Y1512" s="50">
        <v>2197.8</v>
      </c>
      <c r="Z1512" s="51">
        <v>2160</v>
      </c>
      <c r="AA1512" s="52">
        <f t="shared" si="35"/>
        <v>0.982800982800983</v>
      </c>
      <c r="AB1512" s="12">
        <v>2160</v>
      </c>
      <c r="AC1512" s="12">
        <v>0</v>
      </c>
      <c r="AD1512" s="43"/>
      <c r="AE1512" s="43"/>
      <c r="AF1512" s="43"/>
      <c r="AG1512" s="43"/>
      <c r="AH1512" s="43"/>
      <c r="AI1512" s="43"/>
      <c r="AJ1512" s="43"/>
      <c r="AK1512" s="43"/>
      <c r="AL1512" s="43"/>
      <c r="AM1512" s="43"/>
      <c r="AN1512" s="43"/>
      <c r="AO1512" s="43"/>
      <c r="AP1512" s="43"/>
      <c r="AQ1512" s="43"/>
      <c r="AR1512" s="43"/>
      <c r="AS1512" s="43"/>
      <c r="AT1512" s="43"/>
      <c r="AU1512" s="43"/>
      <c r="AV1512" s="43"/>
    </row>
    <row r="1513" ht="15.75" spans="1:48">
      <c r="A1513" s="12">
        <v>1509</v>
      </c>
      <c r="B1513" s="44">
        <v>947</v>
      </c>
      <c r="C1513" s="45" t="s">
        <v>143</v>
      </c>
      <c r="D1513" s="46"/>
      <c r="E1513" s="47" t="s">
        <v>113</v>
      </c>
      <c r="F1513" s="48">
        <v>5</v>
      </c>
      <c r="G1513" s="38">
        <v>0</v>
      </c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  <c r="S1513" s="39"/>
      <c r="T1513" s="39"/>
      <c r="U1513" s="39"/>
      <c r="V1513" s="39"/>
      <c r="W1513" s="39"/>
      <c r="X1513" s="49" t="s">
        <v>103</v>
      </c>
      <c r="Y1513" s="50">
        <v>4200</v>
      </c>
      <c r="Z1513" s="51">
        <v>4260</v>
      </c>
      <c r="AA1513" s="52">
        <f t="shared" si="35"/>
        <v>1.01428571428571</v>
      </c>
      <c r="AB1513" s="12">
        <v>4260</v>
      </c>
      <c r="AC1513" s="12">
        <v>0</v>
      </c>
      <c r="AD1513" s="43"/>
      <c r="AE1513" s="43"/>
      <c r="AF1513" s="43"/>
      <c r="AG1513" s="43"/>
      <c r="AH1513" s="43"/>
      <c r="AI1513" s="43"/>
      <c r="AJ1513" s="43"/>
      <c r="AK1513" s="43"/>
      <c r="AL1513" s="43"/>
      <c r="AM1513" s="43"/>
      <c r="AN1513" s="43"/>
      <c r="AO1513" s="43"/>
      <c r="AP1513" s="43"/>
      <c r="AQ1513" s="43"/>
      <c r="AR1513" s="43"/>
      <c r="AS1513" s="43"/>
      <c r="AT1513" s="43"/>
      <c r="AU1513" s="43"/>
      <c r="AV1513" s="43"/>
    </row>
    <row r="1514" ht="15.75" spans="1:48">
      <c r="A1514" s="12">
        <v>1510</v>
      </c>
      <c r="B1514" s="44">
        <v>1733</v>
      </c>
      <c r="C1514" s="45" t="s">
        <v>153</v>
      </c>
      <c r="D1514" s="46"/>
      <c r="E1514" s="47" t="s">
        <v>113</v>
      </c>
      <c r="F1514" s="48">
        <v>10.67</v>
      </c>
      <c r="G1514" s="38">
        <v>1.33</v>
      </c>
      <c r="H1514" s="39"/>
      <c r="I1514" s="39"/>
      <c r="J1514" s="39"/>
      <c r="K1514" s="39"/>
      <c r="L1514" s="39"/>
      <c r="M1514" s="39"/>
      <c r="N1514" s="39"/>
      <c r="O1514" s="39"/>
      <c r="P1514" s="39"/>
      <c r="Q1514" s="39">
        <v>1.33</v>
      </c>
      <c r="R1514" s="39"/>
      <c r="S1514" s="39"/>
      <c r="T1514" s="39"/>
      <c r="U1514" s="39"/>
      <c r="V1514" s="39"/>
      <c r="W1514" s="39"/>
      <c r="X1514" s="49" t="s">
        <v>105</v>
      </c>
      <c r="Y1514" s="50">
        <v>7042.2</v>
      </c>
      <c r="Z1514" s="51">
        <v>7000</v>
      </c>
      <c r="AA1514" s="52">
        <f t="shared" si="35"/>
        <v>0.994007554457414</v>
      </c>
      <c r="AB1514" s="12">
        <v>7000</v>
      </c>
      <c r="AC1514" s="12">
        <v>0</v>
      </c>
      <c r="AD1514" s="43"/>
      <c r="AE1514" s="43"/>
      <c r="AF1514" s="43"/>
      <c r="AG1514" s="43"/>
      <c r="AH1514" s="43"/>
      <c r="AI1514" s="43"/>
      <c r="AJ1514" s="43"/>
      <c r="AK1514" s="43"/>
      <c r="AL1514" s="43"/>
      <c r="AM1514" s="43"/>
      <c r="AN1514" s="43"/>
      <c r="AO1514" s="43"/>
      <c r="AP1514" s="43"/>
      <c r="AQ1514" s="43"/>
      <c r="AR1514" s="43"/>
      <c r="AS1514" s="43"/>
      <c r="AT1514" s="43"/>
      <c r="AU1514" s="43"/>
      <c r="AV1514" s="43"/>
    </row>
    <row r="1515" ht="15.75" spans="1:48">
      <c r="A1515" s="12">
        <v>1511</v>
      </c>
      <c r="B1515" s="44" t="s">
        <v>252</v>
      </c>
      <c r="C1515" s="45" t="s">
        <v>253</v>
      </c>
      <c r="D1515" s="46"/>
      <c r="E1515" s="47" t="s">
        <v>113</v>
      </c>
      <c r="F1515" s="48">
        <v>7</v>
      </c>
      <c r="G1515" s="38">
        <v>1</v>
      </c>
      <c r="H1515" s="39"/>
      <c r="I1515" s="39"/>
      <c r="J1515" s="39"/>
      <c r="K1515" s="39"/>
      <c r="L1515" s="39"/>
      <c r="M1515" s="39"/>
      <c r="N1515" s="39"/>
      <c r="O1515" s="39"/>
      <c r="P1515" s="39"/>
      <c r="Q1515" s="39">
        <v>1</v>
      </c>
      <c r="R1515" s="39"/>
      <c r="S1515" s="39"/>
      <c r="T1515" s="39"/>
      <c r="U1515" s="39"/>
      <c r="V1515" s="39"/>
      <c r="W1515" s="39"/>
      <c r="X1515" s="49" t="s">
        <v>105</v>
      </c>
      <c r="Y1515" s="50">
        <v>4620</v>
      </c>
      <c r="Z1515" s="51">
        <v>3200</v>
      </c>
      <c r="AA1515" s="52">
        <f t="shared" si="35"/>
        <v>0.692640692640693</v>
      </c>
      <c r="AB1515" s="12">
        <v>3200</v>
      </c>
      <c r="AC1515" s="12">
        <v>0</v>
      </c>
      <c r="AD1515" s="43"/>
      <c r="AE1515" s="43"/>
      <c r="AF1515" s="43"/>
      <c r="AG1515" s="43"/>
      <c r="AH1515" s="43"/>
      <c r="AI1515" s="43"/>
      <c r="AJ1515" s="43"/>
      <c r="AK1515" s="43"/>
      <c r="AL1515" s="43"/>
      <c r="AM1515" s="43"/>
      <c r="AN1515" s="43"/>
      <c r="AO1515" s="43"/>
      <c r="AP1515" s="43"/>
      <c r="AQ1515" s="43"/>
      <c r="AR1515" s="43"/>
      <c r="AS1515" s="43"/>
      <c r="AT1515" s="43"/>
      <c r="AU1515" s="43"/>
      <c r="AV1515" s="43"/>
    </row>
    <row r="1516" ht="15.75" spans="1:48">
      <c r="A1516" s="12">
        <v>1512</v>
      </c>
      <c r="B1516" s="44">
        <v>551</v>
      </c>
      <c r="C1516" s="45" t="s">
        <v>146</v>
      </c>
      <c r="D1516" s="46"/>
      <c r="E1516" s="47" t="s">
        <v>113</v>
      </c>
      <c r="F1516" s="48">
        <v>3</v>
      </c>
      <c r="G1516" s="38">
        <v>0</v>
      </c>
      <c r="H1516" s="39"/>
      <c r="I1516" s="39"/>
      <c r="J1516" s="39"/>
      <c r="K1516" s="39"/>
      <c r="L1516" s="39"/>
      <c r="M1516" s="39"/>
      <c r="N1516" s="39"/>
      <c r="O1516" s="39"/>
      <c r="P1516" s="39"/>
      <c r="Q1516" s="39"/>
      <c r="R1516" s="39"/>
      <c r="S1516" s="39"/>
      <c r="T1516" s="39"/>
      <c r="U1516" s="39"/>
      <c r="V1516" s="39"/>
      <c r="W1516" s="39"/>
      <c r="X1516" s="49" t="s">
        <v>105</v>
      </c>
      <c r="Y1516" s="50">
        <v>1980</v>
      </c>
      <c r="Z1516" s="51">
        <v>2000</v>
      </c>
      <c r="AA1516" s="52">
        <f t="shared" si="35"/>
        <v>1.01010101010101</v>
      </c>
      <c r="AB1516" s="12">
        <v>2000</v>
      </c>
      <c r="AC1516" s="12">
        <v>0</v>
      </c>
      <c r="AD1516" s="43"/>
      <c r="AE1516" s="43"/>
      <c r="AF1516" s="43"/>
      <c r="AG1516" s="43"/>
      <c r="AH1516" s="43"/>
      <c r="AI1516" s="43"/>
      <c r="AJ1516" s="43"/>
      <c r="AK1516" s="43"/>
      <c r="AL1516" s="43"/>
      <c r="AM1516" s="43"/>
      <c r="AN1516" s="43"/>
      <c r="AO1516" s="43"/>
      <c r="AP1516" s="43"/>
      <c r="AQ1516" s="43"/>
      <c r="AR1516" s="43"/>
      <c r="AS1516" s="43"/>
      <c r="AT1516" s="43"/>
      <c r="AU1516" s="43"/>
      <c r="AV1516" s="43"/>
    </row>
    <row r="1517" ht="15.75" spans="1:48">
      <c r="A1517" s="12">
        <v>1513</v>
      </c>
      <c r="B1517" s="44">
        <v>4110</v>
      </c>
      <c r="C1517" s="45" t="s">
        <v>135</v>
      </c>
      <c r="D1517" s="46"/>
      <c r="E1517" s="47" t="s">
        <v>113</v>
      </c>
      <c r="F1517" s="48">
        <v>2.83</v>
      </c>
      <c r="G1517" s="38">
        <v>0</v>
      </c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  <c r="S1517" s="39"/>
      <c r="T1517" s="39"/>
      <c r="U1517" s="39"/>
      <c r="V1517" s="39"/>
      <c r="W1517" s="39"/>
      <c r="X1517" s="49" t="s">
        <v>103</v>
      </c>
      <c r="Y1517" s="50">
        <v>2377.2</v>
      </c>
      <c r="Z1517" s="51">
        <v>2110</v>
      </c>
      <c r="AA1517" s="52">
        <f t="shared" si="35"/>
        <v>0.887598855796736</v>
      </c>
      <c r="AB1517" s="12">
        <v>2110</v>
      </c>
      <c r="AC1517" s="12">
        <v>0</v>
      </c>
      <c r="AD1517" s="43"/>
      <c r="AE1517" s="43"/>
      <c r="AF1517" s="43"/>
      <c r="AG1517" s="43"/>
      <c r="AH1517" s="43"/>
      <c r="AI1517" s="43"/>
      <c r="AJ1517" s="43"/>
      <c r="AK1517" s="43"/>
      <c r="AL1517" s="43"/>
      <c r="AM1517" s="43"/>
      <c r="AN1517" s="43"/>
      <c r="AO1517" s="43"/>
      <c r="AP1517" s="43"/>
      <c r="AQ1517" s="43"/>
      <c r="AR1517" s="43"/>
      <c r="AS1517" s="43"/>
      <c r="AT1517" s="43"/>
      <c r="AU1517" s="43"/>
      <c r="AV1517" s="43"/>
    </row>
    <row r="1518" ht="15.75" spans="1:48">
      <c r="A1518" s="12">
        <v>1514</v>
      </c>
      <c r="B1518" s="44">
        <v>4017</v>
      </c>
      <c r="C1518" s="45" t="s">
        <v>148</v>
      </c>
      <c r="D1518" s="46"/>
      <c r="E1518" s="47" t="s">
        <v>113</v>
      </c>
      <c r="F1518" s="48">
        <v>3.5</v>
      </c>
      <c r="G1518" s="38">
        <v>0</v>
      </c>
      <c r="H1518" s="39"/>
      <c r="I1518" s="39"/>
      <c r="J1518" s="39"/>
      <c r="K1518" s="39"/>
      <c r="L1518" s="39"/>
      <c r="M1518" s="39"/>
      <c r="N1518" s="39"/>
      <c r="O1518" s="39"/>
      <c r="P1518" s="39"/>
      <c r="Q1518" s="39"/>
      <c r="R1518" s="39"/>
      <c r="S1518" s="39"/>
      <c r="T1518" s="39"/>
      <c r="U1518" s="39"/>
      <c r="V1518" s="39"/>
      <c r="W1518" s="39"/>
      <c r="X1518" s="49" t="s">
        <v>103</v>
      </c>
      <c r="Y1518" s="50">
        <v>2940</v>
      </c>
      <c r="Z1518" s="51">
        <v>2880</v>
      </c>
      <c r="AA1518" s="52">
        <f t="shared" si="35"/>
        <v>0.979591836734694</v>
      </c>
      <c r="AB1518" s="12">
        <v>2880</v>
      </c>
      <c r="AC1518" s="12">
        <v>0</v>
      </c>
      <c r="AD1518" s="43"/>
      <c r="AE1518" s="43"/>
      <c r="AF1518" s="43"/>
      <c r="AG1518" s="43"/>
      <c r="AH1518" s="43"/>
      <c r="AI1518" s="43"/>
      <c r="AJ1518" s="43"/>
      <c r="AK1518" s="43"/>
      <c r="AL1518" s="43"/>
      <c r="AM1518" s="43"/>
      <c r="AN1518" s="43"/>
      <c r="AO1518" s="43"/>
      <c r="AP1518" s="43"/>
      <c r="AQ1518" s="43"/>
      <c r="AR1518" s="43"/>
      <c r="AS1518" s="43"/>
      <c r="AT1518" s="43"/>
      <c r="AU1518" s="43"/>
      <c r="AV1518" s="43"/>
    </row>
    <row r="1519" ht="15.75" spans="1:48">
      <c r="A1519" s="12">
        <v>1515</v>
      </c>
      <c r="B1519" s="44">
        <v>666</v>
      </c>
      <c r="C1519" s="45" t="s">
        <v>151</v>
      </c>
      <c r="D1519" s="46"/>
      <c r="E1519" s="47" t="s">
        <v>113</v>
      </c>
      <c r="F1519" s="48">
        <v>4.2</v>
      </c>
      <c r="G1519" s="38">
        <v>0</v>
      </c>
      <c r="H1519" s="39"/>
      <c r="I1519" s="39"/>
      <c r="J1519" s="39"/>
      <c r="K1519" s="39"/>
      <c r="L1519" s="39"/>
      <c r="M1519" s="39"/>
      <c r="N1519" s="39"/>
      <c r="O1519" s="39"/>
      <c r="P1519" s="39"/>
      <c r="Q1519" s="39"/>
      <c r="R1519" s="39"/>
      <c r="S1519" s="39"/>
      <c r="T1519" s="39"/>
      <c r="U1519" s="39"/>
      <c r="V1519" s="39"/>
      <c r="W1519" s="39"/>
      <c r="X1519" s="49" t="s">
        <v>102</v>
      </c>
      <c r="Y1519" s="50">
        <v>18900</v>
      </c>
      <c r="Z1519" s="51">
        <v>14500</v>
      </c>
      <c r="AA1519" s="52">
        <f t="shared" si="35"/>
        <v>0.767195767195767</v>
      </c>
      <c r="AB1519" s="12">
        <v>14500</v>
      </c>
      <c r="AC1519" s="12">
        <v>0</v>
      </c>
      <c r="AD1519" s="43"/>
      <c r="AE1519" s="43"/>
      <c r="AF1519" s="43"/>
      <c r="AG1519" s="43"/>
      <c r="AH1519" s="43"/>
      <c r="AI1519" s="43"/>
      <c r="AJ1519" s="43"/>
      <c r="AK1519" s="43"/>
      <c r="AL1519" s="43"/>
      <c r="AM1519" s="43"/>
      <c r="AN1519" s="43"/>
      <c r="AO1519" s="43"/>
      <c r="AP1519" s="43"/>
      <c r="AQ1519" s="43"/>
      <c r="AR1519" s="43"/>
      <c r="AS1519" s="43"/>
      <c r="AT1519" s="43"/>
      <c r="AU1519" s="43"/>
      <c r="AV1519" s="43"/>
    </row>
    <row r="1520" ht="15.75" spans="1:48">
      <c r="A1520" s="12">
        <v>1516</v>
      </c>
      <c r="B1520" s="44">
        <v>666</v>
      </c>
      <c r="C1520" s="45" t="s">
        <v>151</v>
      </c>
      <c r="D1520" s="46"/>
      <c r="E1520" s="47" t="s">
        <v>113</v>
      </c>
      <c r="F1520" s="48">
        <v>2.1</v>
      </c>
      <c r="G1520" s="38">
        <v>1.33</v>
      </c>
      <c r="H1520" s="39"/>
      <c r="I1520" s="39"/>
      <c r="J1520" s="39"/>
      <c r="K1520" s="39"/>
      <c r="L1520" s="39"/>
      <c r="M1520" s="39"/>
      <c r="N1520" s="39"/>
      <c r="O1520" s="39"/>
      <c r="P1520" s="39"/>
      <c r="Q1520" s="39">
        <v>1.33</v>
      </c>
      <c r="R1520" s="39"/>
      <c r="S1520" s="39"/>
      <c r="T1520" s="39"/>
      <c r="U1520" s="39"/>
      <c r="V1520" s="39"/>
      <c r="W1520" s="39"/>
      <c r="X1520" s="49" t="s">
        <v>101</v>
      </c>
      <c r="Y1520" s="50">
        <v>4032</v>
      </c>
      <c r="Z1520" s="51">
        <v>3060</v>
      </c>
      <c r="AA1520" s="52">
        <f t="shared" si="35"/>
        <v>0.758928571428571</v>
      </c>
      <c r="AB1520" s="12">
        <v>3060</v>
      </c>
      <c r="AC1520" s="12">
        <v>0</v>
      </c>
      <c r="AD1520" s="43"/>
      <c r="AE1520" s="43"/>
      <c r="AF1520" s="43"/>
      <c r="AG1520" s="43"/>
      <c r="AH1520" s="43"/>
      <c r="AI1520" s="43"/>
      <c r="AJ1520" s="43"/>
      <c r="AK1520" s="43"/>
      <c r="AL1520" s="43"/>
      <c r="AM1520" s="43"/>
      <c r="AN1520" s="43"/>
      <c r="AO1520" s="43"/>
      <c r="AP1520" s="43"/>
      <c r="AQ1520" s="43"/>
      <c r="AR1520" s="43"/>
      <c r="AS1520" s="43"/>
      <c r="AT1520" s="43"/>
      <c r="AU1520" s="43"/>
      <c r="AV1520" s="43"/>
    </row>
    <row r="1521" ht="15.75" spans="1:48">
      <c r="A1521" s="12">
        <v>1517</v>
      </c>
      <c r="B1521" s="44">
        <v>666</v>
      </c>
      <c r="C1521" s="45" t="s">
        <v>151</v>
      </c>
      <c r="D1521" s="46"/>
      <c r="E1521" s="47" t="s">
        <v>113</v>
      </c>
      <c r="F1521" s="48">
        <v>2.03</v>
      </c>
      <c r="G1521" s="38">
        <v>0.17</v>
      </c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  <c r="S1521" s="39"/>
      <c r="T1521" s="39"/>
      <c r="U1521" s="39">
        <v>0.17</v>
      </c>
      <c r="V1521" s="39"/>
      <c r="W1521" s="39"/>
      <c r="X1521" s="49" t="s">
        <v>295</v>
      </c>
      <c r="Y1521" s="50">
        <v>3897.6</v>
      </c>
      <c r="Z1521" s="51">
        <v>2520</v>
      </c>
      <c r="AA1521" s="52">
        <f t="shared" si="35"/>
        <v>0.646551724137931</v>
      </c>
      <c r="AB1521" s="12">
        <v>2520</v>
      </c>
      <c r="AC1521" s="12">
        <v>0</v>
      </c>
      <c r="AD1521" s="43"/>
      <c r="AE1521" s="43"/>
      <c r="AF1521" s="43"/>
      <c r="AG1521" s="43"/>
      <c r="AH1521" s="43"/>
      <c r="AI1521" s="43"/>
      <c r="AJ1521" s="43"/>
      <c r="AK1521" s="43"/>
      <c r="AL1521" s="43"/>
      <c r="AM1521" s="43"/>
      <c r="AN1521" s="43"/>
      <c r="AO1521" s="43"/>
      <c r="AP1521" s="43"/>
      <c r="AQ1521" s="43"/>
      <c r="AR1521" s="43"/>
      <c r="AS1521" s="43"/>
      <c r="AT1521" s="43"/>
      <c r="AU1521" s="43"/>
      <c r="AV1521" s="43"/>
    </row>
    <row r="1522" ht="15.75" spans="1:48">
      <c r="A1522" s="12">
        <v>1518</v>
      </c>
      <c r="B1522" s="44">
        <v>4489</v>
      </c>
      <c r="C1522" s="45" t="s">
        <v>88</v>
      </c>
      <c r="D1522" s="46"/>
      <c r="E1522" s="47" t="s">
        <v>113</v>
      </c>
      <c r="F1522" s="48">
        <v>2.83</v>
      </c>
      <c r="G1522" s="38">
        <v>0</v>
      </c>
      <c r="H1522" s="39"/>
      <c r="I1522" s="39"/>
      <c r="J1522" s="39"/>
      <c r="K1522" s="39"/>
      <c r="L1522" s="39"/>
      <c r="M1522" s="39"/>
      <c r="N1522" s="39"/>
      <c r="O1522" s="39"/>
      <c r="P1522" s="39"/>
      <c r="Q1522" s="39"/>
      <c r="R1522" s="39"/>
      <c r="S1522" s="39"/>
      <c r="T1522" s="39"/>
      <c r="U1522" s="39"/>
      <c r="V1522" s="39"/>
      <c r="W1522" s="39"/>
      <c r="X1522" s="49" t="s">
        <v>103</v>
      </c>
      <c r="Y1522" s="50">
        <v>2377.2</v>
      </c>
      <c r="Z1522" s="51">
        <v>2155</v>
      </c>
      <c r="AA1522" s="52">
        <f t="shared" si="35"/>
        <v>0.906528689214202</v>
      </c>
      <c r="AB1522" s="12">
        <v>2155</v>
      </c>
      <c r="AC1522" s="12">
        <v>0</v>
      </c>
      <c r="AD1522" s="43"/>
      <c r="AE1522" s="43"/>
      <c r="AF1522" s="43"/>
      <c r="AG1522" s="43"/>
      <c r="AH1522" s="43"/>
      <c r="AI1522" s="43"/>
      <c r="AJ1522" s="43"/>
      <c r="AK1522" s="43"/>
      <c r="AL1522" s="43"/>
      <c r="AM1522" s="43"/>
      <c r="AN1522" s="43"/>
      <c r="AO1522" s="43"/>
      <c r="AP1522" s="43"/>
      <c r="AQ1522" s="43"/>
      <c r="AR1522" s="43"/>
      <c r="AS1522" s="43"/>
      <c r="AT1522" s="43"/>
      <c r="AU1522" s="43"/>
      <c r="AV1522" s="43"/>
    </row>
    <row r="1523" ht="15.75" spans="1:48">
      <c r="A1523" s="12">
        <v>1519</v>
      </c>
      <c r="B1523" s="44">
        <v>4490</v>
      </c>
      <c r="C1523" s="45" t="s">
        <v>91</v>
      </c>
      <c r="D1523" s="46"/>
      <c r="E1523" s="47" t="s">
        <v>113</v>
      </c>
      <c r="F1523" s="48">
        <v>2.84</v>
      </c>
      <c r="G1523" s="38">
        <v>0</v>
      </c>
      <c r="H1523" s="39"/>
      <c r="I1523" s="39"/>
      <c r="J1523" s="39"/>
      <c r="K1523" s="39"/>
      <c r="L1523" s="39"/>
      <c r="M1523" s="39"/>
      <c r="N1523" s="39"/>
      <c r="O1523" s="39"/>
      <c r="P1523" s="39"/>
      <c r="Q1523" s="39"/>
      <c r="R1523" s="39"/>
      <c r="S1523" s="39"/>
      <c r="T1523" s="39"/>
      <c r="U1523" s="39"/>
      <c r="V1523" s="39"/>
      <c r="W1523" s="39"/>
      <c r="X1523" s="49" t="s">
        <v>103</v>
      </c>
      <c r="Y1523" s="50">
        <v>2385.6</v>
      </c>
      <c r="Z1523" s="51">
        <v>1800</v>
      </c>
      <c r="AA1523" s="52">
        <f t="shared" si="35"/>
        <v>0.754527162977867</v>
      </c>
      <c r="AB1523" s="12">
        <v>1800</v>
      </c>
      <c r="AC1523" s="12">
        <v>0</v>
      </c>
      <c r="AD1523" s="43"/>
      <c r="AE1523" s="43"/>
      <c r="AF1523" s="43"/>
      <c r="AG1523" s="43"/>
      <c r="AH1523" s="43"/>
      <c r="AI1523" s="43"/>
      <c r="AJ1523" s="43"/>
      <c r="AK1523" s="43"/>
      <c r="AL1523" s="43"/>
      <c r="AM1523" s="43"/>
      <c r="AN1523" s="43"/>
      <c r="AO1523" s="43"/>
      <c r="AP1523" s="43"/>
      <c r="AQ1523" s="43"/>
      <c r="AR1523" s="43"/>
      <c r="AS1523" s="43"/>
      <c r="AT1523" s="43"/>
      <c r="AU1523" s="43"/>
      <c r="AV1523" s="43"/>
    </row>
    <row r="1524" ht="15.75" spans="1:48">
      <c r="A1524" s="12">
        <v>1520</v>
      </c>
      <c r="B1524" s="61" t="s">
        <v>354</v>
      </c>
      <c r="C1524" s="62" t="s">
        <v>355</v>
      </c>
      <c r="D1524" s="46"/>
      <c r="E1524" s="47" t="s">
        <v>50</v>
      </c>
      <c r="F1524" s="48">
        <v>7.33</v>
      </c>
      <c r="G1524" s="38">
        <v>0.83</v>
      </c>
      <c r="H1524" s="39"/>
      <c r="I1524" s="39"/>
      <c r="J1524" s="39"/>
      <c r="K1524" s="39"/>
      <c r="L1524" s="39"/>
      <c r="M1524" s="39"/>
      <c r="N1524" s="39"/>
      <c r="O1524" s="39"/>
      <c r="P1524" s="39"/>
      <c r="Q1524" s="39">
        <v>0.83</v>
      </c>
      <c r="R1524" s="39"/>
      <c r="S1524" s="39"/>
      <c r="T1524" s="39"/>
      <c r="U1524" s="39"/>
      <c r="V1524" s="39"/>
      <c r="W1524" s="39"/>
      <c r="X1524" s="49" t="s">
        <v>356</v>
      </c>
      <c r="Y1524" s="50">
        <v>0</v>
      </c>
      <c r="Z1524" s="51"/>
      <c r="AA1524" s="52">
        <f t="shared" ref="AA1524:AA1555" si="36">IFERROR(Z1524/Y1524,0)</f>
        <v>0</v>
      </c>
      <c r="AB1524" s="12">
        <v>0</v>
      </c>
      <c r="AC1524" s="12">
        <v>0</v>
      </c>
      <c r="AD1524" s="43"/>
      <c r="AE1524" s="43"/>
      <c r="AF1524" s="43"/>
      <c r="AG1524" s="43"/>
      <c r="AH1524" s="43"/>
      <c r="AI1524" s="43"/>
      <c r="AJ1524" s="43"/>
      <c r="AK1524" s="43"/>
      <c r="AL1524" s="43"/>
      <c r="AM1524" s="43"/>
      <c r="AN1524" s="43"/>
      <c r="AO1524" s="43"/>
      <c r="AP1524" s="43"/>
      <c r="AQ1524" s="43"/>
      <c r="AR1524" s="43"/>
      <c r="AS1524" s="43"/>
      <c r="AT1524" s="43"/>
      <c r="AU1524" s="43"/>
      <c r="AV1524" s="43"/>
    </row>
    <row r="1525" ht="15.75" spans="1:48">
      <c r="A1525" s="12">
        <v>1521</v>
      </c>
      <c r="B1525" s="53">
        <v>4185</v>
      </c>
      <c r="C1525" s="45" t="s">
        <v>72</v>
      </c>
      <c r="D1525" s="46" t="s">
        <v>81</v>
      </c>
      <c r="E1525" s="47" t="s">
        <v>50</v>
      </c>
      <c r="F1525" s="48">
        <v>10.5</v>
      </c>
      <c r="G1525" s="38">
        <v>1.51</v>
      </c>
      <c r="H1525" s="39"/>
      <c r="I1525" s="39"/>
      <c r="J1525" s="39"/>
      <c r="K1525" s="39">
        <v>0.17</v>
      </c>
      <c r="L1525" s="39"/>
      <c r="M1525" s="39"/>
      <c r="N1525" s="39"/>
      <c r="O1525" s="39"/>
      <c r="P1525" s="39"/>
      <c r="Q1525" s="39">
        <v>1.17</v>
      </c>
      <c r="R1525" s="39"/>
      <c r="S1525" s="39"/>
      <c r="T1525" s="39"/>
      <c r="U1525" s="39">
        <v>0.17</v>
      </c>
      <c r="V1525" s="39"/>
      <c r="W1525" s="39"/>
      <c r="X1525" s="49" t="s">
        <v>332</v>
      </c>
      <c r="Y1525" s="50">
        <v>63000</v>
      </c>
      <c r="Z1525" s="51">
        <v>70354</v>
      </c>
      <c r="AA1525" s="52">
        <f t="shared" si="36"/>
        <v>1.11673015873016</v>
      </c>
      <c r="AB1525" s="12">
        <v>70162</v>
      </c>
      <c r="AC1525" s="12">
        <v>192</v>
      </c>
      <c r="AD1525" s="43"/>
      <c r="AE1525" s="43"/>
      <c r="AF1525" s="43"/>
      <c r="AG1525" s="19">
        <v>192</v>
      </c>
      <c r="AH1525" s="43"/>
      <c r="AI1525" s="43"/>
      <c r="AJ1525" s="43"/>
      <c r="AK1525" s="43"/>
      <c r="AL1525" s="43"/>
      <c r="AM1525" s="43"/>
      <c r="AN1525" s="43"/>
      <c r="AO1525" s="43"/>
      <c r="AP1525" s="43"/>
      <c r="AQ1525" s="43"/>
      <c r="AR1525" s="43"/>
      <c r="AS1525" s="43"/>
      <c r="AT1525" s="43"/>
      <c r="AU1525" s="43"/>
      <c r="AV1525" s="43"/>
    </row>
    <row r="1526" ht="15.75" spans="1:48">
      <c r="A1526" s="12">
        <v>1522</v>
      </c>
      <c r="B1526" s="44">
        <v>4344</v>
      </c>
      <c r="C1526" s="45" t="s">
        <v>85</v>
      </c>
      <c r="D1526" s="46" t="s">
        <v>138</v>
      </c>
      <c r="E1526" s="47" t="s">
        <v>50</v>
      </c>
      <c r="F1526" s="48">
        <v>5</v>
      </c>
      <c r="G1526" s="38">
        <v>1.17</v>
      </c>
      <c r="H1526" s="39"/>
      <c r="I1526" s="39"/>
      <c r="J1526" s="39"/>
      <c r="K1526" s="39"/>
      <c r="L1526" s="39"/>
      <c r="M1526" s="39"/>
      <c r="N1526" s="39"/>
      <c r="O1526" s="39"/>
      <c r="P1526" s="39"/>
      <c r="Q1526" s="39">
        <v>1</v>
      </c>
      <c r="R1526" s="39"/>
      <c r="S1526" s="39"/>
      <c r="T1526" s="39"/>
      <c r="U1526" s="39">
        <v>0.17</v>
      </c>
      <c r="V1526" s="39"/>
      <c r="W1526" s="39"/>
      <c r="X1526" s="49" t="s">
        <v>201</v>
      </c>
      <c r="Y1526" s="50">
        <v>9750</v>
      </c>
      <c r="Z1526" s="51">
        <v>9600</v>
      </c>
      <c r="AA1526" s="52">
        <f t="shared" si="36"/>
        <v>0.984615384615385</v>
      </c>
      <c r="AB1526" s="12">
        <v>9600</v>
      </c>
      <c r="AC1526" s="12">
        <v>0</v>
      </c>
      <c r="AD1526" s="43"/>
      <c r="AE1526" s="43"/>
      <c r="AF1526" s="43"/>
      <c r="AG1526" s="43"/>
      <c r="AH1526" s="43"/>
      <c r="AI1526" s="43"/>
      <c r="AJ1526" s="43"/>
      <c r="AK1526" s="43"/>
      <c r="AL1526" s="43"/>
      <c r="AM1526" s="43"/>
      <c r="AN1526" s="43"/>
      <c r="AO1526" s="43"/>
      <c r="AP1526" s="43"/>
      <c r="AQ1526" s="43"/>
      <c r="AR1526" s="43"/>
      <c r="AS1526" s="43"/>
      <c r="AT1526" s="43"/>
      <c r="AU1526" s="43"/>
      <c r="AV1526" s="43"/>
    </row>
    <row r="1527" ht="15.75" spans="1:48">
      <c r="A1527" s="12">
        <v>1523</v>
      </c>
      <c r="B1527" s="44">
        <v>2959</v>
      </c>
      <c r="C1527" s="45" t="s">
        <v>86</v>
      </c>
      <c r="D1527" s="46"/>
      <c r="E1527" s="47" t="s">
        <v>50</v>
      </c>
      <c r="F1527" s="48">
        <v>10.83</v>
      </c>
      <c r="G1527" s="38">
        <v>1.17</v>
      </c>
      <c r="H1527" s="39"/>
      <c r="I1527" s="39"/>
      <c r="J1527" s="39"/>
      <c r="K1527" s="39"/>
      <c r="L1527" s="39"/>
      <c r="M1527" s="39"/>
      <c r="N1527" s="39"/>
      <c r="O1527" s="39"/>
      <c r="P1527" s="39"/>
      <c r="Q1527" s="39">
        <v>1.17</v>
      </c>
      <c r="R1527" s="39"/>
      <c r="S1527" s="39"/>
      <c r="T1527" s="39"/>
      <c r="U1527" s="39"/>
      <c r="V1527" s="39"/>
      <c r="W1527" s="39"/>
      <c r="X1527" s="49" t="s">
        <v>60</v>
      </c>
      <c r="Y1527" s="50">
        <v>0</v>
      </c>
      <c r="Z1527" s="51"/>
      <c r="AA1527" s="52">
        <f t="shared" si="36"/>
        <v>0</v>
      </c>
      <c r="AB1527" s="12">
        <v>0</v>
      </c>
      <c r="AC1527" s="12">
        <v>0</v>
      </c>
      <c r="AD1527" s="43"/>
      <c r="AE1527" s="43"/>
      <c r="AF1527" s="43"/>
      <c r="AG1527" s="43"/>
      <c r="AH1527" s="43"/>
      <c r="AI1527" s="43"/>
      <c r="AJ1527" s="43"/>
      <c r="AK1527" s="43"/>
      <c r="AL1527" s="43"/>
      <c r="AM1527" s="43"/>
      <c r="AN1527" s="43"/>
      <c r="AO1527" s="43"/>
      <c r="AP1527" s="43"/>
      <c r="AQ1527" s="43"/>
      <c r="AR1527" s="43"/>
      <c r="AS1527" s="43"/>
      <c r="AT1527" s="43"/>
      <c r="AU1527" s="43"/>
      <c r="AV1527" s="43"/>
    </row>
    <row r="1528" ht="15.75" spans="1:48">
      <c r="A1528" s="12">
        <v>1524</v>
      </c>
      <c r="B1528" s="44">
        <v>4173</v>
      </c>
      <c r="C1528" s="45" t="s">
        <v>75</v>
      </c>
      <c r="D1528" s="59" t="s">
        <v>83</v>
      </c>
      <c r="E1528" s="47" t="s">
        <v>50</v>
      </c>
      <c r="F1528" s="48">
        <v>7</v>
      </c>
      <c r="G1528" s="38">
        <v>1</v>
      </c>
      <c r="H1528" s="39"/>
      <c r="I1528" s="39"/>
      <c r="J1528" s="39"/>
      <c r="K1528" s="39"/>
      <c r="L1528" s="39"/>
      <c r="M1528" s="39"/>
      <c r="N1528" s="39"/>
      <c r="O1528" s="39"/>
      <c r="P1528" s="39"/>
      <c r="Q1528" s="39">
        <v>0.83</v>
      </c>
      <c r="R1528" s="39"/>
      <c r="S1528" s="39"/>
      <c r="T1528" s="39"/>
      <c r="U1528" s="39">
        <v>0.17</v>
      </c>
      <c r="V1528" s="39"/>
      <c r="W1528" s="39"/>
      <c r="X1528" s="49" t="s">
        <v>342</v>
      </c>
      <c r="Y1528" s="50">
        <v>31500</v>
      </c>
      <c r="Z1528" s="51">
        <v>29999</v>
      </c>
      <c r="AA1528" s="52">
        <f t="shared" si="36"/>
        <v>0.952349206349206</v>
      </c>
      <c r="AB1528" s="12">
        <v>29999</v>
      </c>
      <c r="AC1528" s="12">
        <v>0</v>
      </c>
      <c r="AD1528" s="43"/>
      <c r="AE1528" s="43"/>
      <c r="AF1528" s="43"/>
      <c r="AG1528" s="43"/>
      <c r="AH1528" s="43"/>
      <c r="AI1528" s="43"/>
      <c r="AJ1528" s="43"/>
      <c r="AK1528" s="43"/>
      <c r="AL1528" s="43"/>
      <c r="AM1528" s="43"/>
      <c r="AN1528" s="43"/>
      <c r="AO1528" s="43"/>
      <c r="AP1528" s="43"/>
      <c r="AQ1528" s="43"/>
      <c r="AR1528" s="43"/>
      <c r="AS1528" s="43"/>
      <c r="AT1528" s="43"/>
      <c r="AU1528" s="43"/>
      <c r="AV1528" s="43"/>
    </row>
    <row r="1529" ht="15.75" spans="1:48">
      <c r="A1529" s="12">
        <v>1525</v>
      </c>
      <c r="B1529" s="44">
        <v>4173</v>
      </c>
      <c r="C1529" s="45" t="s">
        <v>75</v>
      </c>
      <c r="D1529" s="59" t="s">
        <v>78</v>
      </c>
      <c r="E1529" s="47" t="s">
        <v>50</v>
      </c>
      <c r="F1529" s="48">
        <v>10.33</v>
      </c>
      <c r="G1529" s="38">
        <v>1.67</v>
      </c>
      <c r="H1529" s="39"/>
      <c r="I1529" s="39"/>
      <c r="J1529" s="39"/>
      <c r="K1529" s="39">
        <v>0.33</v>
      </c>
      <c r="L1529" s="39"/>
      <c r="M1529" s="39"/>
      <c r="N1529" s="39"/>
      <c r="O1529" s="39"/>
      <c r="P1529" s="39"/>
      <c r="Q1529" s="39">
        <v>1.17</v>
      </c>
      <c r="R1529" s="39"/>
      <c r="S1529" s="39"/>
      <c r="T1529" s="39"/>
      <c r="U1529" s="39">
        <v>0.17</v>
      </c>
      <c r="V1529" s="39"/>
      <c r="W1529" s="39"/>
      <c r="X1529" s="49" t="s">
        <v>79</v>
      </c>
      <c r="Y1529" s="50">
        <v>68797.8</v>
      </c>
      <c r="Z1529" s="51">
        <v>57600</v>
      </c>
      <c r="AA1529" s="52">
        <f t="shared" si="36"/>
        <v>0.837236074409356</v>
      </c>
      <c r="AB1529" s="12">
        <v>57496</v>
      </c>
      <c r="AC1529" s="12">
        <v>104</v>
      </c>
      <c r="AD1529" s="43"/>
      <c r="AE1529" s="43"/>
      <c r="AF1529" s="43"/>
      <c r="AG1529" s="19">
        <v>104</v>
      </c>
      <c r="AH1529" s="43"/>
      <c r="AI1529" s="43"/>
      <c r="AJ1529" s="43"/>
      <c r="AK1529" s="43"/>
      <c r="AL1529" s="43"/>
      <c r="AM1529" s="43"/>
      <c r="AN1529" s="43"/>
      <c r="AO1529" s="43"/>
      <c r="AP1529" s="43"/>
      <c r="AQ1529" s="43"/>
      <c r="AR1529" s="43"/>
      <c r="AS1529" s="43"/>
      <c r="AT1529" s="43"/>
      <c r="AU1529" s="43"/>
      <c r="AV1529" s="43"/>
    </row>
    <row r="1530" ht="15.75" spans="1:48">
      <c r="A1530" s="12">
        <v>1526</v>
      </c>
      <c r="B1530" s="44">
        <v>4173</v>
      </c>
      <c r="C1530" s="45" t="s">
        <v>75</v>
      </c>
      <c r="D1530" s="59" t="s">
        <v>76</v>
      </c>
      <c r="E1530" s="47" t="s">
        <v>50</v>
      </c>
      <c r="F1530" s="48">
        <v>10.67</v>
      </c>
      <c r="G1530" s="38">
        <v>1.34</v>
      </c>
      <c r="H1530" s="39"/>
      <c r="I1530" s="39"/>
      <c r="J1530" s="39"/>
      <c r="K1530" s="39"/>
      <c r="L1530" s="39"/>
      <c r="M1530" s="39"/>
      <c r="N1530" s="39"/>
      <c r="O1530" s="39"/>
      <c r="P1530" s="39"/>
      <c r="Q1530" s="39">
        <v>1.17</v>
      </c>
      <c r="R1530" s="39"/>
      <c r="S1530" s="39"/>
      <c r="T1530" s="39"/>
      <c r="U1530" s="39">
        <v>0.17</v>
      </c>
      <c r="V1530" s="39"/>
      <c r="W1530" s="39"/>
      <c r="X1530" s="49" t="s">
        <v>77</v>
      </c>
      <c r="Y1530" s="50">
        <v>64020</v>
      </c>
      <c r="Z1530" s="51">
        <v>57600</v>
      </c>
      <c r="AA1530" s="52">
        <f t="shared" si="36"/>
        <v>0.899718837863168</v>
      </c>
      <c r="AB1530" s="12">
        <v>57536</v>
      </c>
      <c r="AC1530" s="12">
        <v>64</v>
      </c>
      <c r="AD1530" s="43"/>
      <c r="AE1530" s="43"/>
      <c r="AF1530" s="43"/>
      <c r="AG1530" s="19">
        <v>64</v>
      </c>
      <c r="AH1530" s="43"/>
      <c r="AI1530" s="43"/>
      <c r="AJ1530" s="43"/>
      <c r="AK1530" s="43"/>
      <c r="AL1530" s="43"/>
      <c r="AM1530" s="43"/>
      <c r="AN1530" s="43"/>
      <c r="AO1530" s="43"/>
      <c r="AP1530" s="43"/>
      <c r="AQ1530" s="43"/>
      <c r="AR1530" s="43"/>
      <c r="AS1530" s="43"/>
      <c r="AT1530" s="43"/>
      <c r="AU1530" s="43"/>
      <c r="AV1530" s="43"/>
    </row>
    <row r="1531" ht="15.75" spans="1:48">
      <c r="A1531" s="12">
        <v>1527</v>
      </c>
      <c r="B1531" s="44">
        <v>4173</v>
      </c>
      <c r="C1531" s="45" t="s">
        <v>75</v>
      </c>
      <c r="D1531" s="46" t="s">
        <v>207</v>
      </c>
      <c r="E1531" s="47" t="s">
        <v>50</v>
      </c>
      <c r="F1531" s="48">
        <v>10.67</v>
      </c>
      <c r="G1531" s="38">
        <v>1.34</v>
      </c>
      <c r="H1531" s="39"/>
      <c r="I1531" s="39"/>
      <c r="J1531" s="39"/>
      <c r="K1531" s="39"/>
      <c r="L1531" s="39"/>
      <c r="M1531" s="39"/>
      <c r="N1531" s="39"/>
      <c r="O1531" s="39"/>
      <c r="P1531" s="39"/>
      <c r="Q1531" s="39">
        <v>1.17</v>
      </c>
      <c r="R1531" s="39"/>
      <c r="S1531" s="39"/>
      <c r="T1531" s="39"/>
      <c r="U1531" s="39">
        <v>0.17</v>
      </c>
      <c r="V1531" s="39"/>
      <c r="W1531" s="39"/>
      <c r="X1531" s="49" t="s">
        <v>79</v>
      </c>
      <c r="Y1531" s="50">
        <v>71062.2</v>
      </c>
      <c r="Z1531" s="51">
        <v>59856</v>
      </c>
      <c r="AA1531" s="52">
        <f t="shared" si="36"/>
        <v>0.842304347458987</v>
      </c>
      <c r="AB1531" s="12">
        <v>59712</v>
      </c>
      <c r="AC1531" s="12">
        <v>144</v>
      </c>
      <c r="AD1531" s="43"/>
      <c r="AE1531" s="43"/>
      <c r="AF1531" s="43"/>
      <c r="AG1531" s="19">
        <v>144</v>
      </c>
      <c r="AH1531" s="43"/>
      <c r="AI1531" s="43"/>
      <c r="AJ1531" s="43"/>
      <c r="AK1531" s="43"/>
      <c r="AL1531" s="43"/>
      <c r="AM1531" s="43"/>
      <c r="AN1531" s="43"/>
      <c r="AO1531" s="43"/>
      <c r="AP1531" s="43"/>
      <c r="AQ1531" s="43"/>
      <c r="AR1531" s="43"/>
      <c r="AS1531" s="43"/>
      <c r="AT1531" s="43"/>
      <c r="AU1531" s="43"/>
      <c r="AV1531" s="43"/>
    </row>
    <row r="1532" ht="15.75" spans="1:48">
      <c r="A1532" s="12">
        <v>1528</v>
      </c>
      <c r="B1532" s="44">
        <v>4310</v>
      </c>
      <c r="C1532" s="45" t="s">
        <v>99</v>
      </c>
      <c r="D1532" s="46">
        <v>6</v>
      </c>
      <c r="E1532" s="47" t="s">
        <v>50</v>
      </c>
      <c r="F1532" s="48">
        <v>9.5</v>
      </c>
      <c r="G1532" s="38">
        <v>1.67</v>
      </c>
      <c r="H1532" s="39"/>
      <c r="I1532" s="39"/>
      <c r="J1532" s="39"/>
      <c r="K1532" s="39"/>
      <c r="L1532" s="39"/>
      <c r="M1532" s="39"/>
      <c r="N1532" s="39"/>
      <c r="O1532" s="39"/>
      <c r="P1532" s="39"/>
      <c r="Q1532" s="39">
        <v>1.17</v>
      </c>
      <c r="R1532" s="39"/>
      <c r="S1532" s="39"/>
      <c r="T1532" s="39">
        <v>0.33</v>
      </c>
      <c r="U1532" s="39">
        <v>0.17</v>
      </c>
      <c r="V1532" s="39"/>
      <c r="W1532" s="39"/>
      <c r="X1532" s="49">
        <v>1090</v>
      </c>
      <c r="Y1532" s="50">
        <v>6270</v>
      </c>
      <c r="Z1532" s="51">
        <v>6250</v>
      </c>
      <c r="AA1532" s="52">
        <f t="shared" si="36"/>
        <v>0.996810207336523</v>
      </c>
      <c r="AB1532" s="12">
        <v>6217</v>
      </c>
      <c r="AC1532" s="12">
        <v>33</v>
      </c>
      <c r="AD1532" s="19">
        <v>33</v>
      </c>
      <c r="AE1532" s="43"/>
      <c r="AF1532" s="43"/>
      <c r="AG1532" s="43"/>
      <c r="AH1532" s="43"/>
      <c r="AI1532" s="43"/>
      <c r="AJ1532" s="43"/>
      <c r="AK1532" s="43"/>
      <c r="AL1532" s="43"/>
      <c r="AM1532" s="43"/>
      <c r="AN1532" s="43"/>
      <c r="AO1532" s="43"/>
      <c r="AP1532" s="43"/>
      <c r="AQ1532" s="43"/>
      <c r="AR1532" s="43"/>
      <c r="AS1532" s="43"/>
      <c r="AT1532" s="43"/>
      <c r="AU1532" s="43"/>
      <c r="AV1532" s="43"/>
    </row>
    <row r="1533" ht="15.75" spans="1:48">
      <c r="A1533" s="12">
        <v>1529</v>
      </c>
      <c r="B1533" s="44">
        <v>3277</v>
      </c>
      <c r="C1533" s="45" t="s">
        <v>106</v>
      </c>
      <c r="D1533" s="46"/>
      <c r="E1533" s="47" t="s">
        <v>50</v>
      </c>
      <c r="F1533" s="48">
        <v>10.83</v>
      </c>
      <c r="G1533" s="38">
        <v>1.17</v>
      </c>
      <c r="H1533" s="39"/>
      <c r="I1533" s="39"/>
      <c r="J1533" s="39"/>
      <c r="K1533" s="39"/>
      <c r="L1533" s="39"/>
      <c r="M1533" s="39"/>
      <c r="N1533" s="39"/>
      <c r="O1533" s="39"/>
      <c r="P1533" s="39"/>
      <c r="Q1533" s="39">
        <v>1.17</v>
      </c>
      <c r="R1533" s="39"/>
      <c r="S1533" s="39"/>
      <c r="T1533" s="39"/>
      <c r="U1533" s="39"/>
      <c r="V1533" s="39"/>
      <c r="W1533" s="39"/>
      <c r="X1533" s="49" t="s">
        <v>259</v>
      </c>
      <c r="Y1533" s="50">
        <v>0</v>
      </c>
      <c r="Z1533" s="51"/>
      <c r="AA1533" s="52">
        <f t="shared" si="36"/>
        <v>0</v>
      </c>
      <c r="AB1533" s="12">
        <v>0</v>
      </c>
      <c r="AC1533" s="12">
        <v>0</v>
      </c>
      <c r="AD1533" s="43"/>
      <c r="AE1533" s="43"/>
      <c r="AF1533" s="43"/>
      <c r="AG1533" s="43"/>
      <c r="AH1533" s="43"/>
      <c r="AI1533" s="43"/>
      <c r="AJ1533" s="43"/>
      <c r="AK1533" s="43"/>
      <c r="AL1533" s="43"/>
      <c r="AM1533" s="43"/>
      <c r="AN1533" s="43"/>
      <c r="AO1533" s="43"/>
      <c r="AP1533" s="43"/>
      <c r="AQ1533" s="43"/>
      <c r="AR1533" s="43"/>
      <c r="AS1533" s="43"/>
      <c r="AT1533" s="43"/>
      <c r="AU1533" s="43"/>
      <c r="AV1533" s="43"/>
    </row>
    <row r="1534" ht="15.75" spans="1:48">
      <c r="A1534" s="12">
        <v>1530</v>
      </c>
      <c r="B1534" s="61" t="s">
        <v>357</v>
      </c>
      <c r="C1534" s="62" t="s">
        <v>358</v>
      </c>
      <c r="D1534" s="46">
        <v>18</v>
      </c>
      <c r="E1534" s="47" t="s">
        <v>93</v>
      </c>
      <c r="F1534" s="48">
        <v>7.33</v>
      </c>
      <c r="G1534" s="38">
        <v>0.83</v>
      </c>
      <c r="H1534" s="39"/>
      <c r="I1534" s="39"/>
      <c r="J1534" s="39"/>
      <c r="K1534" s="39"/>
      <c r="L1534" s="39"/>
      <c r="M1534" s="39"/>
      <c r="N1534" s="39"/>
      <c r="O1534" s="39"/>
      <c r="P1534" s="39"/>
      <c r="Q1534" s="39">
        <v>0.83</v>
      </c>
      <c r="R1534" s="39"/>
      <c r="S1534" s="39"/>
      <c r="T1534" s="39"/>
      <c r="U1534" s="39"/>
      <c r="V1534" s="39"/>
      <c r="W1534" s="39"/>
      <c r="X1534" s="49">
        <v>2801</v>
      </c>
      <c r="Y1534" s="50">
        <v>4434.65</v>
      </c>
      <c r="Z1534" s="51">
        <v>2070</v>
      </c>
      <c r="AA1534" s="52">
        <f t="shared" si="36"/>
        <v>0.466778663479643</v>
      </c>
      <c r="AB1534" s="12">
        <v>2070</v>
      </c>
      <c r="AC1534" s="12">
        <v>0</v>
      </c>
      <c r="AD1534" s="43"/>
      <c r="AE1534" s="43"/>
      <c r="AF1534" s="43"/>
      <c r="AG1534" s="43"/>
      <c r="AH1534" s="43"/>
      <c r="AI1534" s="43"/>
      <c r="AJ1534" s="43"/>
      <c r="AK1534" s="43"/>
      <c r="AL1534" s="43"/>
      <c r="AM1534" s="43"/>
      <c r="AN1534" s="43"/>
      <c r="AO1534" s="43"/>
      <c r="AP1534" s="43"/>
      <c r="AQ1534" s="43"/>
      <c r="AR1534" s="43"/>
      <c r="AS1534" s="43"/>
      <c r="AT1534" s="43"/>
      <c r="AU1534" s="43"/>
      <c r="AV1534" s="43"/>
    </row>
    <row r="1535" ht="15.75" spans="1:48">
      <c r="A1535" s="12">
        <v>1531</v>
      </c>
      <c r="B1535" s="61" t="s">
        <v>359</v>
      </c>
      <c r="C1535" s="62" t="s">
        <v>360</v>
      </c>
      <c r="D1535" s="46">
        <v>2</v>
      </c>
      <c r="E1535" s="47" t="s">
        <v>93</v>
      </c>
      <c r="F1535" s="48">
        <v>7.33</v>
      </c>
      <c r="G1535" s="38">
        <v>0.83</v>
      </c>
      <c r="H1535" s="39"/>
      <c r="I1535" s="39"/>
      <c r="J1535" s="39"/>
      <c r="K1535" s="39"/>
      <c r="L1535" s="39"/>
      <c r="M1535" s="39"/>
      <c r="N1535" s="39"/>
      <c r="O1535" s="39"/>
      <c r="P1535" s="39"/>
      <c r="Q1535" s="39">
        <v>0.83</v>
      </c>
      <c r="R1535" s="39"/>
      <c r="S1535" s="39"/>
      <c r="T1535" s="39"/>
      <c r="U1535" s="39"/>
      <c r="V1535" s="39"/>
      <c r="W1535" s="39"/>
      <c r="X1535" s="49">
        <v>8234</v>
      </c>
      <c r="Y1535" s="50">
        <v>4837.8</v>
      </c>
      <c r="Z1535" s="51">
        <v>1650</v>
      </c>
      <c r="AA1535" s="52">
        <f t="shared" si="36"/>
        <v>0.34106412005457</v>
      </c>
      <c r="AB1535" s="12">
        <v>1650</v>
      </c>
      <c r="AC1535" s="12">
        <v>0</v>
      </c>
      <c r="AD1535" s="43"/>
      <c r="AE1535" s="43"/>
      <c r="AF1535" s="43"/>
      <c r="AG1535" s="43"/>
      <c r="AH1535" s="43"/>
      <c r="AI1535" s="43"/>
      <c r="AJ1535" s="43"/>
      <c r="AK1535" s="43"/>
      <c r="AL1535" s="43"/>
      <c r="AM1535" s="43"/>
      <c r="AN1535" s="43"/>
      <c r="AO1535" s="43"/>
      <c r="AP1535" s="43"/>
      <c r="AQ1535" s="43"/>
      <c r="AR1535" s="43"/>
      <c r="AS1535" s="43"/>
      <c r="AT1535" s="43"/>
      <c r="AU1535" s="43"/>
      <c r="AV1535" s="43"/>
    </row>
    <row r="1536" ht="15.75" spans="1:48">
      <c r="A1536" s="12">
        <v>1532</v>
      </c>
      <c r="B1536" s="61" t="s">
        <v>361</v>
      </c>
      <c r="C1536" s="62" t="s">
        <v>362</v>
      </c>
      <c r="D1536" s="46">
        <v>21</v>
      </c>
      <c r="E1536" s="47" t="s">
        <v>93</v>
      </c>
      <c r="F1536" s="48">
        <v>7.17</v>
      </c>
      <c r="G1536" s="38">
        <v>1</v>
      </c>
      <c r="H1536" s="39"/>
      <c r="I1536" s="39"/>
      <c r="J1536" s="39"/>
      <c r="K1536" s="39"/>
      <c r="L1536" s="39"/>
      <c r="M1536" s="39"/>
      <c r="N1536" s="39"/>
      <c r="O1536" s="39"/>
      <c r="P1536" s="39"/>
      <c r="Q1536" s="39">
        <v>0.83</v>
      </c>
      <c r="R1536" s="39"/>
      <c r="S1536" s="39"/>
      <c r="T1536" s="39"/>
      <c r="U1536" s="39">
        <v>0.17</v>
      </c>
      <c r="V1536" s="39"/>
      <c r="W1536" s="39"/>
      <c r="X1536" s="49" t="s">
        <v>96</v>
      </c>
      <c r="Y1536" s="50">
        <v>10396.5</v>
      </c>
      <c r="Z1536" s="51">
        <v>3500</v>
      </c>
      <c r="AA1536" s="52">
        <f t="shared" si="36"/>
        <v>0.336651757803107</v>
      </c>
      <c r="AB1536" s="12">
        <v>3500</v>
      </c>
      <c r="AC1536" s="12">
        <v>0</v>
      </c>
      <c r="AD1536" s="43"/>
      <c r="AE1536" s="43"/>
      <c r="AF1536" s="43"/>
      <c r="AG1536" s="43"/>
      <c r="AH1536" s="43"/>
      <c r="AI1536" s="43"/>
      <c r="AJ1536" s="43"/>
      <c r="AK1536" s="43"/>
      <c r="AL1536" s="43"/>
      <c r="AM1536" s="43"/>
      <c r="AN1536" s="43"/>
      <c r="AO1536" s="43"/>
      <c r="AP1536" s="43"/>
      <c r="AQ1536" s="43"/>
      <c r="AR1536" s="43"/>
      <c r="AS1536" s="43"/>
      <c r="AT1536" s="43"/>
      <c r="AU1536" s="43"/>
      <c r="AV1536" s="43"/>
    </row>
    <row r="1537" ht="15.75" spans="1:48">
      <c r="A1537" s="12">
        <v>1533</v>
      </c>
      <c r="B1537" s="61" t="s">
        <v>363</v>
      </c>
      <c r="C1537" s="62" t="s">
        <v>364</v>
      </c>
      <c r="D1537" s="46">
        <v>8</v>
      </c>
      <c r="E1537" s="47" t="s">
        <v>93</v>
      </c>
      <c r="F1537" s="48">
        <v>7.33</v>
      </c>
      <c r="G1537" s="38">
        <v>0.83</v>
      </c>
      <c r="H1537" s="39"/>
      <c r="I1537" s="39"/>
      <c r="J1537" s="39"/>
      <c r="K1537" s="39"/>
      <c r="L1537" s="39"/>
      <c r="M1537" s="39"/>
      <c r="N1537" s="39"/>
      <c r="O1537" s="39"/>
      <c r="P1537" s="39"/>
      <c r="Q1537" s="39">
        <v>0.83</v>
      </c>
      <c r="R1537" s="39"/>
      <c r="S1537" s="39"/>
      <c r="T1537" s="39"/>
      <c r="U1537" s="39"/>
      <c r="V1537" s="39"/>
      <c r="W1537" s="39"/>
      <c r="X1537" s="49">
        <v>9968</v>
      </c>
      <c r="Y1537" s="50">
        <v>4434.65</v>
      </c>
      <c r="Z1537" s="51">
        <v>2680</v>
      </c>
      <c r="AA1537" s="52">
        <f t="shared" si="36"/>
        <v>0.604331796195867</v>
      </c>
      <c r="AB1537" s="12">
        <v>2680</v>
      </c>
      <c r="AC1537" s="12">
        <v>0</v>
      </c>
      <c r="AD1537" s="43"/>
      <c r="AE1537" s="43"/>
      <c r="AF1537" s="43"/>
      <c r="AG1537" s="43"/>
      <c r="AH1537" s="43"/>
      <c r="AI1537" s="43"/>
      <c r="AJ1537" s="43"/>
      <c r="AK1537" s="43"/>
      <c r="AL1537" s="43"/>
      <c r="AM1537" s="43"/>
      <c r="AN1537" s="43"/>
      <c r="AO1537" s="43"/>
      <c r="AP1537" s="43"/>
      <c r="AQ1537" s="43"/>
      <c r="AR1537" s="43"/>
      <c r="AS1537" s="43"/>
      <c r="AT1537" s="43"/>
      <c r="AU1537" s="43"/>
      <c r="AV1537" s="43"/>
    </row>
    <row r="1538" ht="15.75" spans="1:48">
      <c r="A1538" s="12">
        <v>1534</v>
      </c>
      <c r="B1538" s="61" t="s">
        <v>365</v>
      </c>
      <c r="C1538" s="62" t="s">
        <v>366</v>
      </c>
      <c r="D1538" s="46">
        <v>5</v>
      </c>
      <c r="E1538" s="47" t="s">
        <v>93</v>
      </c>
      <c r="F1538" s="48">
        <v>8.33</v>
      </c>
      <c r="G1538" s="38">
        <v>1</v>
      </c>
      <c r="H1538" s="39"/>
      <c r="I1538" s="39"/>
      <c r="J1538" s="39"/>
      <c r="K1538" s="39"/>
      <c r="L1538" s="39"/>
      <c r="M1538" s="39"/>
      <c r="N1538" s="39"/>
      <c r="O1538" s="39"/>
      <c r="P1538" s="39"/>
      <c r="Q1538" s="39">
        <v>0.83</v>
      </c>
      <c r="R1538" s="39"/>
      <c r="S1538" s="39"/>
      <c r="T1538" s="39"/>
      <c r="U1538" s="39">
        <v>0.17</v>
      </c>
      <c r="V1538" s="39"/>
      <c r="W1538" s="39"/>
      <c r="X1538" s="49">
        <v>5770</v>
      </c>
      <c r="Y1538" s="50">
        <v>5039.65</v>
      </c>
      <c r="Z1538" s="51">
        <v>2862</v>
      </c>
      <c r="AA1538" s="52">
        <f t="shared" si="36"/>
        <v>0.567896580119651</v>
      </c>
      <c r="AB1538" s="12">
        <v>2574</v>
      </c>
      <c r="AC1538" s="12">
        <v>288</v>
      </c>
      <c r="AD1538" s="19">
        <v>288</v>
      </c>
      <c r="AE1538" s="43"/>
      <c r="AF1538" s="43"/>
      <c r="AG1538" s="43"/>
      <c r="AH1538" s="43"/>
      <c r="AI1538" s="43"/>
      <c r="AJ1538" s="43"/>
      <c r="AK1538" s="43"/>
      <c r="AL1538" s="43"/>
      <c r="AM1538" s="43"/>
      <c r="AN1538" s="43"/>
      <c r="AO1538" s="43"/>
      <c r="AP1538" s="43"/>
      <c r="AQ1538" s="43"/>
      <c r="AR1538" s="43"/>
      <c r="AS1538" s="43"/>
      <c r="AT1538" s="43"/>
      <c r="AU1538" s="43"/>
      <c r="AV1538" s="43"/>
    </row>
    <row r="1539" ht="15.75" spans="1:48">
      <c r="A1539" s="12">
        <v>1535</v>
      </c>
      <c r="B1539" s="44">
        <v>669</v>
      </c>
      <c r="C1539" s="45" t="s">
        <v>94</v>
      </c>
      <c r="D1539" s="46">
        <v>15</v>
      </c>
      <c r="E1539" s="47" t="s">
        <v>50</v>
      </c>
      <c r="F1539" s="48">
        <v>9.17</v>
      </c>
      <c r="G1539" s="38">
        <v>2.84</v>
      </c>
      <c r="H1539" s="39"/>
      <c r="I1539" s="39"/>
      <c r="J1539" s="39"/>
      <c r="K1539" s="39"/>
      <c r="L1539" s="39"/>
      <c r="M1539" s="39"/>
      <c r="N1539" s="39"/>
      <c r="O1539" s="39"/>
      <c r="P1539" s="39"/>
      <c r="Q1539" s="39">
        <v>1.17</v>
      </c>
      <c r="R1539" s="39"/>
      <c r="S1539" s="39">
        <v>1</v>
      </c>
      <c r="T1539" s="39">
        <v>0.33</v>
      </c>
      <c r="U1539" s="39">
        <v>0.17</v>
      </c>
      <c r="V1539" s="39"/>
      <c r="W1539" s="39">
        <v>0.17</v>
      </c>
      <c r="X1539" s="49">
        <v>9149</v>
      </c>
      <c r="Y1539" s="50">
        <v>3301.2</v>
      </c>
      <c r="Z1539" s="51">
        <v>2151</v>
      </c>
      <c r="AA1539" s="52">
        <f t="shared" si="36"/>
        <v>0.651581243184297</v>
      </c>
      <c r="AB1539" s="12">
        <v>2084</v>
      </c>
      <c r="AC1539" s="12">
        <v>67</v>
      </c>
      <c r="AD1539" s="19">
        <v>67</v>
      </c>
      <c r="AE1539" s="43"/>
      <c r="AF1539" s="43"/>
      <c r="AG1539" s="43"/>
      <c r="AH1539" s="43"/>
      <c r="AI1539" s="43"/>
      <c r="AJ1539" s="43"/>
      <c r="AK1539" s="43"/>
      <c r="AL1539" s="43"/>
      <c r="AM1539" s="43"/>
      <c r="AN1539" s="43"/>
      <c r="AO1539" s="43"/>
      <c r="AP1539" s="43"/>
      <c r="AQ1539" s="43"/>
      <c r="AR1539" s="43"/>
      <c r="AS1539" s="43"/>
      <c r="AT1539" s="43"/>
      <c r="AU1539" s="43"/>
      <c r="AV1539" s="43"/>
    </row>
    <row r="1540" ht="15.75" spans="1:48">
      <c r="A1540" s="12">
        <v>1536</v>
      </c>
      <c r="B1540" s="44">
        <v>3268</v>
      </c>
      <c r="C1540" s="45" t="s">
        <v>80</v>
      </c>
      <c r="D1540" s="46"/>
      <c r="E1540" s="47" t="s">
        <v>50</v>
      </c>
      <c r="F1540" s="48">
        <v>1.67</v>
      </c>
      <c r="G1540" s="38">
        <v>0</v>
      </c>
      <c r="H1540" s="39"/>
      <c r="I1540" s="39"/>
      <c r="J1540" s="39"/>
      <c r="K1540" s="39"/>
      <c r="L1540" s="39"/>
      <c r="M1540" s="39"/>
      <c r="N1540" s="39"/>
      <c r="O1540" s="39"/>
      <c r="P1540" s="39"/>
      <c r="Q1540" s="39"/>
      <c r="R1540" s="39"/>
      <c r="S1540" s="39"/>
      <c r="T1540" s="39"/>
      <c r="U1540" s="39"/>
      <c r="V1540" s="39"/>
      <c r="W1540" s="39"/>
      <c r="X1540" s="49" t="s">
        <v>285</v>
      </c>
      <c r="Y1540" s="50">
        <v>784.9</v>
      </c>
      <c r="Z1540" s="51">
        <v>720</v>
      </c>
      <c r="AA1540" s="52">
        <f t="shared" si="36"/>
        <v>0.917314307555103</v>
      </c>
      <c r="AB1540" s="12">
        <v>720</v>
      </c>
      <c r="AC1540" s="12">
        <v>0</v>
      </c>
      <c r="AD1540" s="43"/>
      <c r="AE1540" s="43"/>
      <c r="AF1540" s="43"/>
      <c r="AG1540" s="43"/>
      <c r="AH1540" s="43"/>
      <c r="AI1540" s="43"/>
      <c r="AJ1540" s="43"/>
      <c r="AK1540" s="43"/>
      <c r="AL1540" s="43"/>
      <c r="AM1540" s="43"/>
      <c r="AN1540" s="43"/>
      <c r="AO1540" s="43"/>
      <c r="AP1540" s="43"/>
      <c r="AQ1540" s="43"/>
      <c r="AR1540" s="43"/>
      <c r="AS1540" s="43"/>
      <c r="AT1540" s="43"/>
      <c r="AU1540" s="43"/>
      <c r="AV1540" s="43"/>
    </row>
    <row r="1541" ht="15.75" spans="1:48">
      <c r="A1541" s="12">
        <v>1537</v>
      </c>
      <c r="B1541" s="44">
        <v>761</v>
      </c>
      <c r="C1541" s="45" t="s">
        <v>89</v>
      </c>
      <c r="D1541" s="46"/>
      <c r="E1541" s="47" t="s">
        <v>50</v>
      </c>
      <c r="F1541" s="48">
        <v>0.83</v>
      </c>
      <c r="G1541" s="38">
        <v>0</v>
      </c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  <c r="S1541" s="39"/>
      <c r="T1541" s="39"/>
      <c r="U1541" s="39"/>
      <c r="V1541" s="39"/>
      <c r="W1541" s="39"/>
      <c r="X1541" s="49" t="s">
        <v>285</v>
      </c>
      <c r="Y1541" s="50">
        <v>390.1</v>
      </c>
      <c r="Z1541" s="51">
        <v>360</v>
      </c>
      <c r="AA1541" s="52">
        <f t="shared" si="36"/>
        <v>0.922840297359651</v>
      </c>
      <c r="AB1541" s="12">
        <v>360</v>
      </c>
      <c r="AC1541" s="12">
        <v>0</v>
      </c>
      <c r="AD1541" s="43"/>
      <c r="AE1541" s="43"/>
      <c r="AF1541" s="43"/>
      <c r="AG1541" s="43"/>
      <c r="AH1541" s="43"/>
      <c r="AI1541" s="43"/>
      <c r="AJ1541" s="43"/>
      <c r="AK1541" s="43"/>
      <c r="AL1541" s="43"/>
      <c r="AM1541" s="43"/>
      <c r="AN1541" s="43"/>
      <c r="AO1541" s="43"/>
      <c r="AP1541" s="43"/>
      <c r="AQ1541" s="43"/>
      <c r="AR1541" s="43"/>
      <c r="AS1541" s="43"/>
      <c r="AT1541" s="43"/>
      <c r="AU1541" s="43"/>
      <c r="AV1541" s="43"/>
    </row>
    <row r="1542" ht="15.75" spans="1:48">
      <c r="A1542" s="12">
        <v>1538</v>
      </c>
      <c r="B1542" s="44">
        <v>4382</v>
      </c>
      <c r="C1542" s="45" t="s">
        <v>173</v>
      </c>
      <c r="D1542" s="46"/>
      <c r="E1542" s="47" t="s">
        <v>50</v>
      </c>
      <c r="F1542" s="48">
        <v>4.17</v>
      </c>
      <c r="G1542" s="38">
        <v>0.83</v>
      </c>
      <c r="H1542" s="39"/>
      <c r="I1542" s="39"/>
      <c r="J1542" s="39"/>
      <c r="K1542" s="39"/>
      <c r="L1542" s="39"/>
      <c r="M1542" s="39"/>
      <c r="N1542" s="39"/>
      <c r="O1542" s="39"/>
      <c r="P1542" s="39"/>
      <c r="Q1542" s="39">
        <v>0.83</v>
      </c>
      <c r="R1542" s="39"/>
      <c r="S1542" s="39"/>
      <c r="T1542" s="39"/>
      <c r="U1542" s="39"/>
      <c r="V1542" s="39"/>
      <c r="W1542" s="39"/>
      <c r="X1542" s="49" t="s">
        <v>98</v>
      </c>
      <c r="Y1542" s="50">
        <v>1959.9</v>
      </c>
      <c r="Z1542" s="51">
        <v>1620</v>
      </c>
      <c r="AA1542" s="52">
        <f t="shared" si="36"/>
        <v>0.826572784325731</v>
      </c>
      <c r="AB1542" s="12">
        <v>1620</v>
      </c>
      <c r="AC1542" s="12">
        <v>0</v>
      </c>
      <c r="AD1542" s="43"/>
      <c r="AE1542" s="43"/>
      <c r="AF1542" s="43"/>
      <c r="AG1542" s="43"/>
      <c r="AH1542" s="43"/>
      <c r="AI1542" s="43"/>
      <c r="AJ1542" s="43"/>
      <c r="AK1542" s="43"/>
      <c r="AL1542" s="43"/>
      <c r="AM1542" s="43"/>
      <c r="AN1542" s="43"/>
      <c r="AO1542" s="43"/>
      <c r="AP1542" s="43"/>
      <c r="AQ1542" s="43"/>
      <c r="AR1542" s="43"/>
      <c r="AS1542" s="43"/>
      <c r="AT1542" s="43"/>
      <c r="AU1542" s="43"/>
      <c r="AV1542" s="43"/>
    </row>
    <row r="1543" ht="15.75" spans="1:48">
      <c r="A1543" s="12">
        <v>1539</v>
      </c>
      <c r="B1543" s="44">
        <v>4382</v>
      </c>
      <c r="C1543" s="45" t="s">
        <v>173</v>
      </c>
      <c r="D1543" s="46"/>
      <c r="E1543" s="47" t="s">
        <v>50</v>
      </c>
      <c r="F1543" s="48">
        <v>3</v>
      </c>
      <c r="G1543" s="38">
        <v>0</v>
      </c>
      <c r="H1543" s="39"/>
      <c r="I1543" s="39"/>
      <c r="J1543" s="39"/>
      <c r="K1543" s="39"/>
      <c r="L1543" s="39"/>
      <c r="M1543" s="39"/>
      <c r="N1543" s="39"/>
      <c r="O1543" s="39"/>
      <c r="P1543" s="39"/>
      <c r="Q1543" s="39"/>
      <c r="R1543" s="39"/>
      <c r="S1543" s="39"/>
      <c r="T1543" s="39"/>
      <c r="U1543" s="39"/>
      <c r="V1543" s="39"/>
      <c r="W1543" s="39"/>
      <c r="X1543" s="49" t="s">
        <v>285</v>
      </c>
      <c r="Y1543" s="50">
        <v>1410</v>
      </c>
      <c r="Z1543" s="51">
        <v>1260</v>
      </c>
      <c r="AA1543" s="52">
        <f t="shared" si="36"/>
        <v>0.893617021276596</v>
      </c>
      <c r="AB1543" s="12">
        <v>1260</v>
      </c>
      <c r="AC1543" s="12">
        <v>0</v>
      </c>
      <c r="AD1543" s="43"/>
      <c r="AE1543" s="43"/>
      <c r="AF1543" s="43"/>
      <c r="AG1543" s="43"/>
      <c r="AH1543" s="43"/>
      <c r="AI1543" s="43"/>
      <c r="AJ1543" s="43"/>
      <c r="AK1543" s="43"/>
      <c r="AL1543" s="43"/>
      <c r="AM1543" s="43"/>
      <c r="AN1543" s="43"/>
      <c r="AO1543" s="43"/>
      <c r="AP1543" s="43"/>
      <c r="AQ1543" s="43"/>
      <c r="AR1543" s="43"/>
      <c r="AS1543" s="43"/>
      <c r="AT1543" s="43"/>
      <c r="AU1543" s="43"/>
      <c r="AV1543" s="43"/>
    </row>
    <row r="1544" ht="15.75" spans="1:48">
      <c r="A1544" s="12">
        <v>1540</v>
      </c>
      <c r="B1544" s="44">
        <v>947</v>
      </c>
      <c r="C1544" s="45" t="s">
        <v>143</v>
      </c>
      <c r="D1544" s="46"/>
      <c r="E1544" s="47" t="s">
        <v>50</v>
      </c>
      <c r="F1544" s="48">
        <v>10</v>
      </c>
      <c r="G1544" s="38">
        <v>2.01</v>
      </c>
      <c r="H1544" s="39"/>
      <c r="I1544" s="39"/>
      <c r="J1544" s="39">
        <v>0.17</v>
      </c>
      <c r="K1544" s="39"/>
      <c r="L1544" s="39"/>
      <c r="M1544" s="39"/>
      <c r="N1544" s="39"/>
      <c r="O1544" s="39"/>
      <c r="P1544" s="39"/>
      <c r="Q1544" s="39">
        <v>1.17</v>
      </c>
      <c r="R1544" s="39"/>
      <c r="S1544" s="39"/>
      <c r="T1544" s="39">
        <v>0.5</v>
      </c>
      <c r="U1544" s="39">
        <v>0.17</v>
      </c>
      <c r="V1544" s="39"/>
      <c r="W1544" s="39"/>
      <c r="X1544" s="49">
        <v>6270</v>
      </c>
      <c r="Y1544" s="50">
        <v>6050</v>
      </c>
      <c r="Z1544" s="51">
        <v>5680</v>
      </c>
      <c r="AA1544" s="52">
        <f t="shared" si="36"/>
        <v>0.938842975206612</v>
      </c>
      <c r="AB1544" s="12">
        <v>5626</v>
      </c>
      <c r="AC1544" s="12">
        <v>54</v>
      </c>
      <c r="AD1544" s="19">
        <v>54</v>
      </c>
      <c r="AE1544" s="43"/>
      <c r="AF1544" s="43"/>
      <c r="AG1544" s="43"/>
      <c r="AH1544" s="43"/>
      <c r="AI1544" s="43"/>
      <c r="AJ1544" s="43"/>
      <c r="AK1544" s="43"/>
      <c r="AL1544" s="43"/>
      <c r="AM1544" s="43"/>
      <c r="AN1544" s="43"/>
      <c r="AO1544" s="43"/>
      <c r="AP1544" s="43"/>
      <c r="AQ1544" s="43"/>
      <c r="AR1544" s="43"/>
      <c r="AS1544" s="43"/>
      <c r="AT1544" s="43"/>
      <c r="AU1544" s="43"/>
      <c r="AV1544" s="43"/>
    </row>
    <row r="1545" ht="15.75" spans="1:48">
      <c r="A1545" s="12">
        <v>1541</v>
      </c>
      <c r="B1545" s="44">
        <v>676</v>
      </c>
      <c r="C1545" s="45" t="s">
        <v>171</v>
      </c>
      <c r="D1545" s="46"/>
      <c r="E1545" s="47" t="s">
        <v>50</v>
      </c>
      <c r="F1545" s="48">
        <v>4</v>
      </c>
      <c r="G1545" s="38">
        <v>3.67</v>
      </c>
      <c r="H1545" s="39"/>
      <c r="I1545" s="39"/>
      <c r="J1545" s="39"/>
      <c r="K1545" s="39"/>
      <c r="L1545" s="39"/>
      <c r="M1545" s="39"/>
      <c r="N1545" s="39"/>
      <c r="O1545" s="39"/>
      <c r="P1545" s="39"/>
      <c r="Q1545" s="39">
        <v>1.17</v>
      </c>
      <c r="R1545" s="39"/>
      <c r="S1545" s="39">
        <v>2.33</v>
      </c>
      <c r="T1545" s="39"/>
      <c r="U1545" s="39">
        <v>0.17</v>
      </c>
      <c r="V1545" s="39"/>
      <c r="W1545" s="39"/>
      <c r="X1545" s="49" t="s">
        <v>98</v>
      </c>
      <c r="Y1545" s="50">
        <v>1880</v>
      </c>
      <c r="Z1545" s="51">
        <v>1800</v>
      </c>
      <c r="AA1545" s="52">
        <f t="shared" si="36"/>
        <v>0.957446808510638</v>
      </c>
      <c r="AB1545" s="12">
        <v>1800</v>
      </c>
      <c r="AC1545" s="12">
        <v>0</v>
      </c>
      <c r="AD1545" s="43"/>
      <c r="AE1545" s="43"/>
      <c r="AF1545" s="43"/>
      <c r="AG1545" s="43"/>
      <c r="AH1545" s="43"/>
      <c r="AI1545" s="43"/>
      <c r="AJ1545" s="43"/>
      <c r="AK1545" s="43"/>
      <c r="AL1545" s="43"/>
      <c r="AM1545" s="43"/>
      <c r="AN1545" s="43"/>
      <c r="AO1545" s="43"/>
      <c r="AP1545" s="43"/>
      <c r="AQ1545" s="43"/>
      <c r="AR1545" s="43"/>
      <c r="AS1545" s="43"/>
      <c r="AT1545" s="43"/>
      <c r="AU1545" s="43"/>
      <c r="AV1545" s="43"/>
    </row>
    <row r="1546" ht="15.75" spans="1:48">
      <c r="A1546" s="12">
        <v>1542</v>
      </c>
      <c r="B1546" s="44">
        <v>676</v>
      </c>
      <c r="C1546" s="45" t="s">
        <v>171</v>
      </c>
      <c r="D1546" s="46"/>
      <c r="E1546" s="47" t="s">
        <v>50</v>
      </c>
      <c r="F1546" s="48">
        <v>3</v>
      </c>
      <c r="G1546" s="38">
        <v>0</v>
      </c>
      <c r="H1546" s="39"/>
      <c r="I1546" s="39"/>
      <c r="J1546" s="39"/>
      <c r="K1546" s="39"/>
      <c r="L1546" s="39"/>
      <c r="M1546" s="39"/>
      <c r="N1546" s="39"/>
      <c r="O1546" s="39"/>
      <c r="P1546" s="39"/>
      <c r="Q1546" s="39"/>
      <c r="R1546" s="39"/>
      <c r="S1546" s="39"/>
      <c r="T1546" s="39"/>
      <c r="U1546" s="39"/>
      <c r="V1546" s="39"/>
      <c r="W1546" s="39"/>
      <c r="X1546" s="49" t="s">
        <v>285</v>
      </c>
      <c r="Y1546" s="50">
        <v>1410</v>
      </c>
      <c r="Z1546" s="51">
        <v>1440</v>
      </c>
      <c r="AA1546" s="52">
        <f t="shared" si="36"/>
        <v>1.02127659574468</v>
      </c>
      <c r="AB1546" s="12">
        <v>1440</v>
      </c>
      <c r="AC1546" s="12">
        <v>0</v>
      </c>
      <c r="AD1546" s="43"/>
      <c r="AE1546" s="43"/>
      <c r="AF1546" s="43"/>
      <c r="AG1546" s="43"/>
      <c r="AH1546" s="43"/>
      <c r="AI1546" s="43"/>
      <c r="AJ1546" s="43"/>
      <c r="AK1546" s="43"/>
      <c r="AL1546" s="43"/>
      <c r="AM1546" s="43"/>
      <c r="AN1546" s="43"/>
      <c r="AO1546" s="43"/>
      <c r="AP1546" s="43"/>
      <c r="AQ1546" s="43"/>
      <c r="AR1546" s="43"/>
      <c r="AS1546" s="43"/>
      <c r="AT1546" s="43"/>
      <c r="AU1546" s="43"/>
      <c r="AV1546" s="43"/>
    </row>
    <row r="1547" ht="15.75" spans="1:48">
      <c r="A1547" s="12">
        <v>1543</v>
      </c>
      <c r="B1547" s="44" t="s">
        <v>185</v>
      </c>
      <c r="C1547" s="45" t="s">
        <v>179</v>
      </c>
      <c r="D1547" s="46"/>
      <c r="E1547" s="47" t="s">
        <v>50</v>
      </c>
      <c r="F1547" s="48">
        <v>5.35</v>
      </c>
      <c r="G1547" s="38">
        <v>1.5</v>
      </c>
      <c r="H1547" s="39"/>
      <c r="I1547" s="39"/>
      <c r="J1547" s="39"/>
      <c r="K1547" s="39"/>
      <c r="L1547" s="39"/>
      <c r="M1547" s="39"/>
      <c r="N1547" s="39"/>
      <c r="O1547" s="39"/>
      <c r="P1547" s="39"/>
      <c r="Q1547" s="39">
        <v>1.17</v>
      </c>
      <c r="R1547" s="39"/>
      <c r="S1547" s="39"/>
      <c r="T1547" s="39"/>
      <c r="U1547" s="39">
        <v>0.33</v>
      </c>
      <c r="V1547" s="39"/>
      <c r="W1547" s="39"/>
      <c r="X1547" s="49">
        <v>8484</v>
      </c>
      <c r="Y1547" s="50">
        <v>2889</v>
      </c>
      <c r="Z1547" s="51">
        <v>2320</v>
      </c>
      <c r="AA1547" s="52">
        <f t="shared" si="36"/>
        <v>0.803046036690896</v>
      </c>
      <c r="AB1547" s="12">
        <v>2320</v>
      </c>
      <c r="AC1547" s="12">
        <v>0</v>
      </c>
      <c r="AD1547" s="43"/>
      <c r="AE1547" s="43"/>
      <c r="AF1547" s="43"/>
      <c r="AG1547" s="43"/>
      <c r="AH1547" s="43"/>
      <c r="AI1547" s="43"/>
      <c r="AJ1547" s="43"/>
      <c r="AK1547" s="43"/>
      <c r="AL1547" s="43"/>
      <c r="AM1547" s="43"/>
      <c r="AN1547" s="43"/>
      <c r="AO1547" s="43"/>
      <c r="AP1547" s="43"/>
      <c r="AQ1547" s="43"/>
      <c r="AR1547" s="43"/>
      <c r="AS1547" s="43"/>
      <c r="AT1547" s="43"/>
      <c r="AU1547" s="43"/>
      <c r="AV1547" s="43"/>
    </row>
    <row r="1548" ht="15.75" spans="1:48">
      <c r="A1548" s="12">
        <v>1544</v>
      </c>
      <c r="B1548" s="44" t="s">
        <v>185</v>
      </c>
      <c r="C1548" s="45" t="s">
        <v>179</v>
      </c>
      <c r="D1548" s="46"/>
      <c r="E1548" s="47" t="s">
        <v>50</v>
      </c>
      <c r="F1548" s="48">
        <v>3.33</v>
      </c>
      <c r="G1548" s="38">
        <v>0</v>
      </c>
      <c r="H1548" s="39"/>
      <c r="I1548" s="39"/>
      <c r="J1548" s="39"/>
      <c r="K1548" s="39"/>
      <c r="L1548" s="39"/>
      <c r="M1548" s="39"/>
      <c r="N1548" s="39"/>
      <c r="O1548" s="39"/>
      <c r="P1548" s="39"/>
      <c r="Q1548" s="39"/>
      <c r="R1548" s="39"/>
      <c r="S1548" s="39"/>
      <c r="T1548" s="39"/>
      <c r="U1548" s="39"/>
      <c r="V1548" s="39"/>
      <c r="W1548" s="39"/>
      <c r="X1548" s="49" t="s">
        <v>367</v>
      </c>
      <c r="Y1548" s="50">
        <v>0</v>
      </c>
      <c r="Z1548" s="51"/>
      <c r="AA1548" s="52">
        <f t="shared" si="36"/>
        <v>0</v>
      </c>
      <c r="AB1548" s="12">
        <v>0</v>
      </c>
      <c r="AC1548" s="12">
        <v>0</v>
      </c>
      <c r="AD1548" s="43"/>
      <c r="AE1548" s="43"/>
      <c r="AF1548" s="43"/>
      <c r="AG1548" s="43"/>
      <c r="AH1548" s="43"/>
      <c r="AI1548" s="43"/>
      <c r="AJ1548" s="43"/>
      <c r="AK1548" s="43"/>
      <c r="AL1548" s="43"/>
      <c r="AM1548" s="43"/>
      <c r="AN1548" s="43"/>
      <c r="AO1548" s="43"/>
      <c r="AP1548" s="43"/>
      <c r="AQ1548" s="43"/>
      <c r="AR1548" s="43"/>
      <c r="AS1548" s="43"/>
      <c r="AT1548" s="43"/>
      <c r="AU1548" s="43"/>
      <c r="AV1548" s="43"/>
    </row>
    <row r="1549" ht="15.75" spans="1:48">
      <c r="A1549" s="12">
        <v>1545</v>
      </c>
      <c r="B1549" s="44" t="s">
        <v>185</v>
      </c>
      <c r="C1549" s="45" t="s">
        <v>179</v>
      </c>
      <c r="D1549" s="46"/>
      <c r="E1549" s="47" t="s">
        <v>50</v>
      </c>
      <c r="F1549" s="48">
        <v>1.83</v>
      </c>
      <c r="G1549" s="38">
        <v>0</v>
      </c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  <c r="S1549" s="39"/>
      <c r="T1549" s="39"/>
      <c r="U1549" s="39"/>
      <c r="V1549" s="39"/>
      <c r="W1549" s="39"/>
      <c r="X1549" s="49">
        <v>8234</v>
      </c>
      <c r="Y1549" s="50">
        <v>1207.8</v>
      </c>
      <c r="Z1549" s="51">
        <v>980</v>
      </c>
      <c r="AA1549" s="52">
        <f t="shared" si="36"/>
        <v>0.811392614671303</v>
      </c>
      <c r="AB1549" s="12">
        <v>980</v>
      </c>
      <c r="AC1549" s="12">
        <v>0</v>
      </c>
      <c r="AD1549" s="43"/>
      <c r="AE1549" s="43"/>
      <c r="AF1549" s="43"/>
      <c r="AG1549" s="43"/>
      <c r="AH1549" s="43"/>
      <c r="AI1549" s="43"/>
      <c r="AJ1549" s="43"/>
      <c r="AK1549" s="43"/>
      <c r="AL1549" s="43"/>
      <c r="AM1549" s="43"/>
      <c r="AN1549" s="43"/>
      <c r="AO1549" s="43"/>
      <c r="AP1549" s="43"/>
      <c r="AQ1549" s="43"/>
      <c r="AR1549" s="43"/>
      <c r="AS1549" s="43"/>
      <c r="AT1549" s="43"/>
      <c r="AU1549" s="43"/>
      <c r="AV1549" s="43"/>
    </row>
    <row r="1550" ht="15.75" spans="1:48">
      <c r="A1550" s="12">
        <v>1546</v>
      </c>
      <c r="B1550" s="44">
        <v>3268</v>
      </c>
      <c r="C1550" s="45" t="s">
        <v>80</v>
      </c>
      <c r="D1550" s="46"/>
      <c r="E1550" s="47" t="s">
        <v>50</v>
      </c>
      <c r="F1550" s="48">
        <v>3.5</v>
      </c>
      <c r="G1550" s="38">
        <v>0.83</v>
      </c>
      <c r="H1550" s="39"/>
      <c r="I1550" s="39"/>
      <c r="J1550" s="39"/>
      <c r="K1550" s="39"/>
      <c r="L1550" s="39"/>
      <c r="M1550" s="39"/>
      <c r="N1550" s="39"/>
      <c r="O1550" s="39"/>
      <c r="P1550" s="39"/>
      <c r="Q1550" s="39">
        <v>0.33</v>
      </c>
      <c r="R1550" s="39"/>
      <c r="S1550" s="39"/>
      <c r="T1550" s="39">
        <v>0.33</v>
      </c>
      <c r="U1550" s="39">
        <v>0.17</v>
      </c>
      <c r="V1550" s="39"/>
      <c r="W1550" s="39"/>
      <c r="X1550" s="49" t="s">
        <v>96</v>
      </c>
      <c r="Y1550" s="50">
        <v>5075</v>
      </c>
      <c r="Z1550" s="51">
        <v>5000</v>
      </c>
      <c r="AA1550" s="52">
        <f t="shared" si="36"/>
        <v>0.985221674876847</v>
      </c>
      <c r="AB1550" s="12">
        <v>5000</v>
      </c>
      <c r="AC1550" s="12">
        <v>0</v>
      </c>
      <c r="AD1550" s="43"/>
      <c r="AE1550" s="43"/>
      <c r="AF1550" s="43"/>
      <c r="AG1550" s="43"/>
      <c r="AH1550" s="43"/>
      <c r="AI1550" s="43"/>
      <c r="AJ1550" s="43"/>
      <c r="AK1550" s="43"/>
      <c r="AL1550" s="43"/>
      <c r="AM1550" s="43"/>
      <c r="AN1550" s="43"/>
      <c r="AO1550" s="43"/>
      <c r="AP1550" s="43"/>
      <c r="AQ1550" s="43"/>
      <c r="AR1550" s="43"/>
      <c r="AS1550" s="43"/>
      <c r="AT1550" s="43"/>
      <c r="AU1550" s="43"/>
      <c r="AV1550" s="43"/>
    </row>
    <row r="1551" ht="15.75" spans="1:48">
      <c r="A1551" s="12">
        <v>1547</v>
      </c>
      <c r="B1551" s="44">
        <v>3268</v>
      </c>
      <c r="C1551" s="45" t="s">
        <v>80</v>
      </c>
      <c r="D1551" s="46"/>
      <c r="E1551" s="47" t="s">
        <v>50</v>
      </c>
      <c r="F1551" s="48">
        <v>5</v>
      </c>
      <c r="G1551" s="38">
        <v>1</v>
      </c>
      <c r="H1551" s="39"/>
      <c r="I1551" s="39"/>
      <c r="J1551" s="39"/>
      <c r="K1551" s="39"/>
      <c r="L1551" s="39"/>
      <c r="M1551" s="39"/>
      <c r="N1551" s="39"/>
      <c r="O1551" s="39"/>
      <c r="P1551" s="39"/>
      <c r="Q1551" s="39">
        <v>0.83</v>
      </c>
      <c r="R1551" s="39"/>
      <c r="S1551" s="39"/>
      <c r="T1551" s="39"/>
      <c r="U1551" s="39">
        <v>0.17</v>
      </c>
      <c r="V1551" s="39"/>
      <c r="W1551" s="39"/>
      <c r="X1551" s="49" t="s">
        <v>222</v>
      </c>
      <c r="Y1551" s="50">
        <v>7250</v>
      </c>
      <c r="Z1551" s="51">
        <v>6750</v>
      </c>
      <c r="AA1551" s="52">
        <f t="shared" si="36"/>
        <v>0.931034482758621</v>
      </c>
      <c r="AB1551" s="12">
        <v>6750</v>
      </c>
      <c r="AC1551" s="12">
        <v>0</v>
      </c>
      <c r="AD1551" s="43"/>
      <c r="AE1551" s="43"/>
      <c r="AF1551" s="43"/>
      <c r="AG1551" s="43"/>
      <c r="AH1551" s="43"/>
      <c r="AI1551" s="43"/>
      <c r="AJ1551" s="43"/>
      <c r="AK1551" s="43"/>
      <c r="AL1551" s="43"/>
      <c r="AM1551" s="43"/>
      <c r="AN1551" s="43"/>
      <c r="AO1551" s="43"/>
      <c r="AP1551" s="43"/>
      <c r="AQ1551" s="43"/>
      <c r="AR1551" s="43"/>
      <c r="AS1551" s="43"/>
      <c r="AT1551" s="43"/>
      <c r="AU1551" s="43"/>
      <c r="AV1551" s="43"/>
    </row>
    <row r="1552" ht="15.75" spans="1:48">
      <c r="A1552" s="12">
        <v>1548</v>
      </c>
      <c r="B1552" s="61" t="s">
        <v>368</v>
      </c>
      <c r="C1552" s="62" t="s">
        <v>369</v>
      </c>
      <c r="D1552" s="46"/>
      <c r="E1552" s="47" t="s">
        <v>93</v>
      </c>
      <c r="F1552" s="48">
        <v>6</v>
      </c>
      <c r="G1552" s="38">
        <v>0.83</v>
      </c>
      <c r="H1552" s="39"/>
      <c r="I1552" s="39"/>
      <c r="J1552" s="39"/>
      <c r="K1552" s="39"/>
      <c r="L1552" s="39"/>
      <c r="M1552" s="39"/>
      <c r="N1552" s="39"/>
      <c r="O1552" s="39"/>
      <c r="P1552" s="39"/>
      <c r="Q1552" s="39">
        <v>0.83</v>
      </c>
      <c r="R1552" s="39"/>
      <c r="S1552" s="39"/>
      <c r="T1552" s="39"/>
      <c r="U1552" s="39"/>
      <c r="V1552" s="39"/>
      <c r="W1552" s="39"/>
      <c r="X1552" s="49" t="s">
        <v>98</v>
      </c>
      <c r="Y1552" s="50">
        <v>2820</v>
      </c>
      <c r="Z1552" s="51">
        <v>360</v>
      </c>
      <c r="AA1552" s="52">
        <f t="shared" si="36"/>
        <v>0.127659574468085</v>
      </c>
      <c r="AB1552" s="12">
        <v>360</v>
      </c>
      <c r="AC1552" s="12">
        <v>0</v>
      </c>
      <c r="AD1552" s="43"/>
      <c r="AE1552" s="43"/>
      <c r="AF1552" s="43"/>
      <c r="AG1552" s="43"/>
      <c r="AH1552" s="43"/>
      <c r="AI1552" s="43"/>
      <c r="AJ1552" s="43"/>
      <c r="AK1552" s="43"/>
      <c r="AL1552" s="43"/>
      <c r="AM1552" s="43"/>
      <c r="AN1552" s="43"/>
      <c r="AO1552" s="43"/>
      <c r="AP1552" s="43"/>
      <c r="AQ1552" s="43"/>
      <c r="AR1552" s="43"/>
      <c r="AS1552" s="43"/>
      <c r="AT1552" s="43"/>
      <c r="AU1552" s="43"/>
      <c r="AV1552" s="43"/>
    </row>
    <row r="1553" ht="15.75" spans="1:48">
      <c r="A1553" s="12">
        <v>1549</v>
      </c>
      <c r="B1553" s="61" t="s">
        <v>368</v>
      </c>
      <c r="C1553" s="62" t="s">
        <v>369</v>
      </c>
      <c r="D1553" s="46"/>
      <c r="E1553" s="47" t="s">
        <v>93</v>
      </c>
      <c r="F1553" s="48">
        <v>1.17</v>
      </c>
      <c r="G1553" s="38">
        <v>0</v>
      </c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  <c r="S1553" s="39"/>
      <c r="T1553" s="39"/>
      <c r="U1553" s="39"/>
      <c r="V1553" s="39"/>
      <c r="W1553" s="39"/>
      <c r="X1553" s="49" t="s">
        <v>285</v>
      </c>
      <c r="Y1553" s="50">
        <v>549.9</v>
      </c>
      <c r="Z1553" s="51">
        <v>180</v>
      </c>
      <c r="AA1553" s="52">
        <f t="shared" si="36"/>
        <v>0.327332242225859</v>
      </c>
      <c r="AB1553" s="12">
        <v>180</v>
      </c>
      <c r="AC1553" s="12">
        <v>0</v>
      </c>
      <c r="AD1553" s="43"/>
      <c r="AE1553" s="43"/>
      <c r="AF1553" s="43"/>
      <c r="AG1553" s="43"/>
      <c r="AH1553" s="43"/>
      <c r="AI1553" s="43"/>
      <c r="AJ1553" s="43"/>
      <c r="AK1553" s="43"/>
      <c r="AL1553" s="43"/>
      <c r="AM1553" s="43"/>
      <c r="AN1553" s="43"/>
      <c r="AO1553" s="43"/>
      <c r="AP1553" s="43"/>
      <c r="AQ1553" s="43"/>
      <c r="AR1553" s="43"/>
      <c r="AS1553" s="43"/>
      <c r="AT1553" s="43"/>
      <c r="AU1553" s="43"/>
      <c r="AV1553" s="43"/>
    </row>
    <row r="1554" ht="15.75" spans="1:48">
      <c r="A1554" s="12">
        <v>1550</v>
      </c>
      <c r="B1554" s="44">
        <v>4412</v>
      </c>
      <c r="C1554" s="45" t="s">
        <v>177</v>
      </c>
      <c r="D1554" s="46">
        <v>8</v>
      </c>
      <c r="E1554" s="47" t="s">
        <v>50</v>
      </c>
      <c r="F1554" s="48">
        <v>1</v>
      </c>
      <c r="G1554" s="38">
        <v>1</v>
      </c>
      <c r="H1554" s="39"/>
      <c r="I1554" s="39"/>
      <c r="J1554" s="39"/>
      <c r="K1554" s="39"/>
      <c r="L1554" s="39"/>
      <c r="M1554" s="39"/>
      <c r="N1554" s="39"/>
      <c r="O1554" s="39"/>
      <c r="P1554" s="39"/>
      <c r="Q1554" s="39">
        <v>1</v>
      </c>
      <c r="R1554" s="39"/>
      <c r="S1554" s="39"/>
      <c r="T1554" s="39"/>
      <c r="U1554" s="39"/>
      <c r="V1554" s="39"/>
      <c r="W1554" s="39"/>
      <c r="X1554" s="49">
        <v>9968</v>
      </c>
      <c r="Y1554" s="50">
        <v>605</v>
      </c>
      <c r="Z1554" s="51">
        <v>600</v>
      </c>
      <c r="AA1554" s="52">
        <f t="shared" si="36"/>
        <v>0.991735537190083</v>
      </c>
      <c r="AB1554" s="12">
        <v>600</v>
      </c>
      <c r="AC1554" s="12">
        <v>0</v>
      </c>
      <c r="AD1554" s="43"/>
      <c r="AE1554" s="43"/>
      <c r="AF1554" s="43"/>
      <c r="AG1554" s="43"/>
      <c r="AH1554" s="43"/>
      <c r="AI1554" s="43"/>
      <c r="AJ1554" s="43"/>
      <c r="AK1554" s="43"/>
      <c r="AL1554" s="43"/>
      <c r="AM1554" s="43"/>
      <c r="AN1554" s="43"/>
      <c r="AO1554" s="43"/>
      <c r="AP1554" s="43"/>
      <c r="AQ1554" s="43"/>
      <c r="AR1554" s="43"/>
      <c r="AS1554" s="43"/>
      <c r="AT1554" s="43"/>
      <c r="AU1554" s="43"/>
      <c r="AV1554" s="43"/>
    </row>
    <row r="1555" ht="15.75" spans="1:48">
      <c r="A1555" s="12">
        <v>1551</v>
      </c>
      <c r="B1555" s="44">
        <v>4412</v>
      </c>
      <c r="C1555" s="45" t="s">
        <v>177</v>
      </c>
      <c r="D1555" s="46">
        <v>16</v>
      </c>
      <c r="E1555" s="47" t="s">
        <v>50</v>
      </c>
      <c r="F1555" s="48">
        <v>5.33</v>
      </c>
      <c r="G1555" s="38">
        <v>0.5</v>
      </c>
      <c r="H1555" s="39"/>
      <c r="I1555" s="39"/>
      <c r="J1555" s="39"/>
      <c r="K1555" s="39"/>
      <c r="L1555" s="39"/>
      <c r="M1555" s="39"/>
      <c r="N1555" s="39"/>
      <c r="O1555" s="39"/>
      <c r="P1555" s="39"/>
      <c r="Q1555" s="39"/>
      <c r="R1555" s="39"/>
      <c r="S1555" s="39"/>
      <c r="T1555" s="39">
        <v>0.33</v>
      </c>
      <c r="U1555" s="39">
        <v>0.17</v>
      </c>
      <c r="V1555" s="39"/>
      <c r="W1555" s="39"/>
      <c r="X1555" s="49">
        <v>7630</v>
      </c>
      <c r="Y1555" s="50">
        <v>959.4</v>
      </c>
      <c r="Z1555" s="51">
        <v>960</v>
      </c>
      <c r="AA1555" s="52">
        <f t="shared" si="36"/>
        <v>1.00062539086929</v>
      </c>
      <c r="AB1555" s="12">
        <v>854</v>
      </c>
      <c r="AC1555" s="12">
        <v>106</v>
      </c>
      <c r="AD1555" s="19">
        <v>106</v>
      </c>
      <c r="AE1555" s="43"/>
      <c r="AF1555" s="43"/>
      <c r="AG1555" s="43"/>
      <c r="AH1555" s="43"/>
      <c r="AI1555" s="43"/>
      <c r="AJ1555" s="43"/>
      <c r="AK1555" s="43"/>
      <c r="AL1555" s="43"/>
      <c r="AM1555" s="43"/>
      <c r="AN1555" s="43"/>
      <c r="AO1555" s="43"/>
      <c r="AP1555" s="43"/>
      <c r="AQ1555" s="43"/>
      <c r="AR1555" s="43"/>
      <c r="AS1555" s="43"/>
      <c r="AT1555" s="43"/>
      <c r="AU1555" s="43"/>
      <c r="AV1555" s="43"/>
    </row>
    <row r="1556" ht="15.75" spans="1:48">
      <c r="A1556" s="12">
        <v>1552</v>
      </c>
      <c r="B1556" s="44">
        <v>4360</v>
      </c>
      <c r="C1556" s="45" t="s">
        <v>97</v>
      </c>
      <c r="D1556" s="46">
        <v>5</v>
      </c>
      <c r="E1556" s="47" t="s">
        <v>50</v>
      </c>
      <c r="F1556" s="48">
        <v>1.5</v>
      </c>
      <c r="G1556" s="38">
        <v>1.17</v>
      </c>
      <c r="H1556" s="39"/>
      <c r="I1556" s="39"/>
      <c r="J1556" s="39"/>
      <c r="K1556" s="39"/>
      <c r="L1556" s="39"/>
      <c r="M1556" s="39"/>
      <c r="N1556" s="39"/>
      <c r="O1556" s="39"/>
      <c r="P1556" s="39"/>
      <c r="Q1556" s="39">
        <v>1.17</v>
      </c>
      <c r="R1556" s="39"/>
      <c r="S1556" s="39"/>
      <c r="T1556" s="39"/>
      <c r="U1556" s="39"/>
      <c r="V1556" s="39"/>
      <c r="W1556" s="39"/>
      <c r="X1556" s="49">
        <v>5770</v>
      </c>
      <c r="Y1556" s="50">
        <v>907.5</v>
      </c>
      <c r="Z1556" s="51">
        <v>887</v>
      </c>
      <c r="AA1556" s="52">
        <f t="shared" ref="AA1556:AA1587" si="37">IFERROR(Z1556/Y1556,0)</f>
        <v>0.977410468319559</v>
      </c>
      <c r="AB1556" s="12">
        <v>875</v>
      </c>
      <c r="AC1556" s="12">
        <v>12</v>
      </c>
      <c r="AD1556" s="19">
        <v>12</v>
      </c>
      <c r="AE1556" s="43"/>
      <c r="AF1556" s="43"/>
      <c r="AG1556" s="43"/>
      <c r="AH1556" s="43"/>
      <c r="AI1556" s="43"/>
      <c r="AJ1556" s="43"/>
      <c r="AK1556" s="43"/>
      <c r="AL1556" s="43"/>
      <c r="AM1556" s="43"/>
      <c r="AN1556" s="43"/>
      <c r="AO1556" s="43"/>
      <c r="AP1556" s="43"/>
      <c r="AQ1556" s="43"/>
      <c r="AR1556" s="43"/>
      <c r="AS1556" s="43"/>
      <c r="AT1556" s="43"/>
      <c r="AU1556" s="43"/>
      <c r="AV1556" s="43"/>
    </row>
    <row r="1557" ht="15.75" spans="1:48">
      <c r="A1557" s="12">
        <v>1553</v>
      </c>
      <c r="B1557" s="44">
        <v>4360</v>
      </c>
      <c r="C1557" s="45" t="s">
        <v>97</v>
      </c>
      <c r="D1557" s="46">
        <v>3</v>
      </c>
      <c r="E1557" s="47" t="s">
        <v>50</v>
      </c>
      <c r="F1557" s="48">
        <v>9</v>
      </c>
      <c r="G1557" s="38">
        <v>0.34</v>
      </c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  <c r="S1557" s="39"/>
      <c r="T1557" s="39"/>
      <c r="U1557" s="39">
        <v>0.17</v>
      </c>
      <c r="V1557" s="39"/>
      <c r="W1557" s="39">
        <v>0.17</v>
      </c>
      <c r="X1557" s="49">
        <v>9740</v>
      </c>
      <c r="Y1557" s="50">
        <v>3780</v>
      </c>
      <c r="Z1557" s="51">
        <v>3605</v>
      </c>
      <c r="AA1557" s="52">
        <f t="shared" si="37"/>
        <v>0.953703703703704</v>
      </c>
      <c r="AB1557" s="12">
        <v>3605</v>
      </c>
      <c r="AC1557" s="12">
        <v>0</v>
      </c>
      <c r="AD1557" s="43"/>
      <c r="AE1557" s="43"/>
      <c r="AF1557" s="43"/>
      <c r="AG1557" s="43"/>
      <c r="AH1557" s="43"/>
      <c r="AI1557" s="43"/>
      <c r="AJ1557" s="43"/>
      <c r="AK1557" s="43"/>
      <c r="AL1557" s="43"/>
      <c r="AM1557" s="43"/>
      <c r="AN1557" s="43"/>
      <c r="AO1557" s="43"/>
      <c r="AP1557" s="43"/>
      <c r="AQ1557" s="43"/>
      <c r="AR1557" s="43"/>
      <c r="AS1557" s="43"/>
      <c r="AT1557" s="43"/>
      <c r="AU1557" s="43"/>
      <c r="AV1557" s="43"/>
    </row>
    <row r="1558" ht="15.75" spans="1:48">
      <c r="A1558" s="12">
        <v>1554</v>
      </c>
      <c r="B1558" s="61" t="s">
        <v>370</v>
      </c>
      <c r="C1558" s="62" t="s">
        <v>371</v>
      </c>
      <c r="D1558" s="46"/>
      <c r="E1558" s="47" t="s">
        <v>50</v>
      </c>
      <c r="F1558" s="48">
        <v>7.33</v>
      </c>
      <c r="G1558" s="38">
        <v>0.83</v>
      </c>
      <c r="H1558" s="39"/>
      <c r="I1558" s="39"/>
      <c r="J1558" s="39"/>
      <c r="K1558" s="39"/>
      <c r="L1558" s="39"/>
      <c r="M1558" s="39"/>
      <c r="N1558" s="39"/>
      <c r="O1558" s="39"/>
      <c r="P1558" s="39"/>
      <c r="Q1558" s="39">
        <v>0.83</v>
      </c>
      <c r="R1558" s="39"/>
      <c r="S1558" s="39"/>
      <c r="T1558" s="39"/>
      <c r="U1558" s="39"/>
      <c r="V1558" s="39"/>
      <c r="W1558" s="39"/>
      <c r="X1558" s="49" t="s">
        <v>105</v>
      </c>
      <c r="Y1558" s="50">
        <v>4837.8</v>
      </c>
      <c r="Z1558" s="51">
        <v>1650</v>
      </c>
      <c r="AA1558" s="52">
        <f t="shared" si="37"/>
        <v>0.34106412005457</v>
      </c>
      <c r="AB1558" s="12">
        <v>1650</v>
      </c>
      <c r="AC1558" s="12">
        <v>0</v>
      </c>
      <c r="AD1558" s="43"/>
      <c r="AE1558" s="43"/>
      <c r="AF1558" s="43"/>
      <c r="AG1558" s="43"/>
      <c r="AH1558" s="43"/>
      <c r="AI1558" s="43"/>
      <c r="AJ1558" s="43"/>
      <c r="AK1558" s="43"/>
      <c r="AL1558" s="43"/>
      <c r="AM1558" s="43"/>
      <c r="AN1558" s="43"/>
      <c r="AO1558" s="43"/>
      <c r="AP1558" s="43"/>
      <c r="AQ1558" s="43"/>
      <c r="AR1558" s="43"/>
      <c r="AS1558" s="43"/>
      <c r="AT1558" s="43"/>
      <c r="AU1558" s="43"/>
      <c r="AV1558" s="43"/>
    </row>
    <row r="1559" ht="15.75" spans="1:48">
      <c r="A1559" s="12">
        <v>1555</v>
      </c>
      <c r="B1559" s="61" t="s">
        <v>372</v>
      </c>
      <c r="C1559" s="62" t="s">
        <v>373</v>
      </c>
      <c r="D1559" s="46"/>
      <c r="E1559" s="47" t="s">
        <v>50</v>
      </c>
      <c r="F1559" s="48">
        <v>7.33</v>
      </c>
      <c r="G1559" s="38">
        <v>0.83</v>
      </c>
      <c r="H1559" s="39"/>
      <c r="I1559" s="39"/>
      <c r="J1559" s="39"/>
      <c r="K1559" s="39"/>
      <c r="L1559" s="39"/>
      <c r="M1559" s="39"/>
      <c r="N1559" s="39"/>
      <c r="O1559" s="39"/>
      <c r="P1559" s="39"/>
      <c r="Q1559" s="39">
        <v>0.83</v>
      </c>
      <c r="R1559" s="39"/>
      <c r="S1559" s="39"/>
      <c r="T1559" s="39"/>
      <c r="U1559" s="39"/>
      <c r="V1559" s="39"/>
      <c r="W1559" s="39"/>
      <c r="X1559" s="49" t="s">
        <v>103</v>
      </c>
      <c r="Y1559" s="50">
        <v>6157.2</v>
      </c>
      <c r="Z1559" s="51">
        <v>2680</v>
      </c>
      <c r="AA1559" s="52">
        <f t="shared" si="37"/>
        <v>0.435262781783928</v>
      </c>
      <c r="AB1559" s="12">
        <v>2680</v>
      </c>
      <c r="AC1559" s="12">
        <v>0</v>
      </c>
      <c r="AD1559" s="43"/>
      <c r="AE1559" s="43"/>
      <c r="AF1559" s="43"/>
      <c r="AG1559" s="43"/>
      <c r="AH1559" s="43"/>
      <c r="AI1559" s="43"/>
      <c r="AJ1559" s="43"/>
      <c r="AK1559" s="43"/>
      <c r="AL1559" s="43"/>
      <c r="AM1559" s="43"/>
      <c r="AN1559" s="43"/>
      <c r="AO1559" s="43"/>
      <c r="AP1559" s="43"/>
      <c r="AQ1559" s="43"/>
      <c r="AR1559" s="43"/>
      <c r="AS1559" s="43"/>
      <c r="AT1559" s="43"/>
      <c r="AU1559" s="43"/>
      <c r="AV1559" s="43"/>
    </row>
    <row r="1560" ht="15.75" spans="1:48">
      <c r="A1560" s="12">
        <v>1556</v>
      </c>
      <c r="B1560" s="61" t="s">
        <v>374</v>
      </c>
      <c r="C1560" s="62" t="s">
        <v>375</v>
      </c>
      <c r="D1560" s="46"/>
      <c r="E1560" s="47" t="s">
        <v>50</v>
      </c>
      <c r="F1560" s="48">
        <v>7.33</v>
      </c>
      <c r="G1560" s="38">
        <v>0.83</v>
      </c>
      <c r="H1560" s="39"/>
      <c r="I1560" s="39"/>
      <c r="J1560" s="39"/>
      <c r="K1560" s="39"/>
      <c r="L1560" s="39"/>
      <c r="M1560" s="39"/>
      <c r="N1560" s="39"/>
      <c r="O1560" s="39"/>
      <c r="P1560" s="39"/>
      <c r="Q1560" s="39">
        <v>0.83</v>
      </c>
      <c r="R1560" s="39"/>
      <c r="S1560" s="39"/>
      <c r="T1560" s="39"/>
      <c r="U1560" s="39"/>
      <c r="V1560" s="39"/>
      <c r="W1560" s="39"/>
      <c r="X1560" s="49" t="s">
        <v>103</v>
      </c>
      <c r="Y1560" s="50">
        <v>6157.2</v>
      </c>
      <c r="Z1560" s="51">
        <v>1287</v>
      </c>
      <c r="AA1560" s="52">
        <f t="shared" si="37"/>
        <v>0.209023582147729</v>
      </c>
      <c r="AB1560" s="12">
        <v>1287</v>
      </c>
      <c r="AC1560" s="12">
        <v>0</v>
      </c>
      <c r="AD1560" s="43"/>
      <c r="AE1560" s="43"/>
      <c r="AF1560" s="43"/>
      <c r="AG1560" s="43"/>
      <c r="AH1560" s="43"/>
      <c r="AI1560" s="43"/>
      <c r="AJ1560" s="43"/>
      <c r="AK1560" s="43"/>
      <c r="AL1560" s="43"/>
      <c r="AM1560" s="43"/>
      <c r="AN1560" s="43"/>
      <c r="AO1560" s="43"/>
      <c r="AP1560" s="43"/>
      <c r="AQ1560" s="43"/>
      <c r="AR1560" s="43"/>
      <c r="AS1560" s="43"/>
      <c r="AT1560" s="43"/>
      <c r="AU1560" s="43"/>
      <c r="AV1560" s="43"/>
    </row>
    <row r="1561" ht="15.75" spans="1:48">
      <c r="A1561" s="12">
        <v>1557</v>
      </c>
      <c r="B1561" s="61" t="s">
        <v>376</v>
      </c>
      <c r="C1561" s="62" t="s">
        <v>377</v>
      </c>
      <c r="D1561" s="46"/>
      <c r="E1561" s="47" t="s">
        <v>50</v>
      </c>
      <c r="F1561" s="48">
        <v>7.33</v>
      </c>
      <c r="G1561" s="38">
        <v>0.83</v>
      </c>
      <c r="H1561" s="39"/>
      <c r="I1561" s="39"/>
      <c r="J1561" s="39"/>
      <c r="K1561" s="39"/>
      <c r="L1561" s="39"/>
      <c r="M1561" s="39"/>
      <c r="N1561" s="39"/>
      <c r="O1561" s="39"/>
      <c r="P1561" s="39"/>
      <c r="Q1561" s="39">
        <v>0.83</v>
      </c>
      <c r="R1561" s="39"/>
      <c r="S1561" s="39"/>
      <c r="T1561" s="39"/>
      <c r="U1561" s="39"/>
      <c r="V1561" s="39"/>
      <c r="W1561" s="39"/>
      <c r="X1561" s="49" t="s">
        <v>103</v>
      </c>
      <c r="Y1561" s="50">
        <v>6157.2</v>
      </c>
      <c r="Z1561" s="51">
        <v>1287</v>
      </c>
      <c r="AA1561" s="52">
        <f t="shared" si="37"/>
        <v>0.209023582147729</v>
      </c>
      <c r="AB1561" s="12">
        <v>1287</v>
      </c>
      <c r="AC1561" s="12">
        <v>0</v>
      </c>
      <c r="AD1561" s="43"/>
      <c r="AE1561" s="43"/>
      <c r="AF1561" s="43"/>
      <c r="AG1561" s="43"/>
      <c r="AH1561" s="43"/>
      <c r="AI1561" s="43"/>
      <c r="AJ1561" s="43"/>
      <c r="AK1561" s="43"/>
      <c r="AL1561" s="43"/>
      <c r="AM1561" s="43"/>
      <c r="AN1561" s="43"/>
      <c r="AO1561" s="43"/>
      <c r="AP1561" s="43"/>
      <c r="AQ1561" s="43"/>
      <c r="AR1561" s="43"/>
      <c r="AS1561" s="43"/>
      <c r="AT1561" s="43"/>
      <c r="AU1561" s="43"/>
      <c r="AV1561" s="43"/>
    </row>
    <row r="1562" ht="15.75" spans="1:48">
      <c r="A1562" s="12">
        <v>1558</v>
      </c>
      <c r="B1562" s="44">
        <v>4324</v>
      </c>
      <c r="C1562" s="45" t="s">
        <v>331</v>
      </c>
      <c r="D1562" s="46"/>
      <c r="E1562" s="47" t="s">
        <v>50</v>
      </c>
      <c r="F1562" s="48">
        <v>10.5</v>
      </c>
      <c r="G1562" s="38">
        <v>1.17</v>
      </c>
      <c r="H1562" s="39"/>
      <c r="I1562" s="39"/>
      <c r="J1562" s="39"/>
      <c r="K1562" s="39"/>
      <c r="L1562" s="39"/>
      <c r="M1562" s="39"/>
      <c r="N1562" s="39"/>
      <c r="O1562" s="39"/>
      <c r="P1562" s="39"/>
      <c r="Q1562" s="39">
        <v>1.17</v>
      </c>
      <c r="R1562" s="39"/>
      <c r="S1562" s="39"/>
      <c r="T1562" s="39"/>
      <c r="U1562" s="39"/>
      <c r="V1562" s="39"/>
      <c r="W1562" s="39"/>
      <c r="X1562" s="49" t="s">
        <v>105</v>
      </c>
      <c r="Y1562" s="50">
        <v>6930</v>
      </c>
      <c r="Z1562" s="51">
        <v>5750</v>
      </c>
      <c r="AA1562" s="52">
        <f t="shared" si="37"/>
        <v>0.82972582972583</v>
      </c>
      <c r="AB1562" s="12">
        <v>5750</v>
      </c>
      <c r="AC1562" s="12">
        <v>0</v>
      </c>
      <c r="AD1562" s="43"/>
      <c r="AE1562" s="43"/>
      <c r="AF1562" s="43"/>
      <c r="AG1562" s="43"/>
      <c r="AH1562" s="43"/>
      <c r="AI1562" s="43"/>
      <c r="AJ1562" s="43"/>
      <c r="AK1562" s="43"/>
      <c r="AL1562" s="43"/>
      <c r="AM1562" s="43"/>
      <c r="AN1562" s="43"/>
      <c r="AO1562" s="43"/>
      <c r="AP1562" s="43"/>
      <c r="AQ1562" s="43"/>
      <c r="AR1562" s="43"/>
      <c r="AS1562" s="43"/>
      <c r="AT1562" s="43"/>
      <c r="AU1562" s="43"/>
      <c r="AV1562" s="43"/>
    </row>
    <row r="1563" ht="15.75" spans="1:48">
      <c r="A1563" s="12">
        <v>1559</v>
      </c>
      <c r="B1563" s="44">
        <v>4324</v>
      </c>
      <c r="C1563" s="45" t="s">
        <v>331</v>
      </c>
      <c r="D1563" s="46"/>
      <c r="E1563" s="47" t="s">
        <v>50</v>
      </c>
      <c r="F1563" s="48">
        <v>0.33</v>
      </c>
      <c r="G1563" s="38">
        <v>0</v>
      </c>
      <c r="H1563" s="39"/>
      <c r="I1563" s="39"/>
      <c r="J1563" s="39"/>
      <c r="K1563" s="39"/>
      <c r="L1563" s="39"/>
      <c r="M1563" s="39"/>
      <c r="N1563" s="39"/>
      <c r="O1563" s="39"/>
      <c r="P1563" s="39"/>
      <c r="Q1563" s="39"/>
      <c r="R1563" s="39"/>
      <c r="S1563" s="39"/>
      <c r="T1563" s="39"/>
      <c r="U1563" s="39"/>
      <c r="V1563" s="39"/>
      <c r="W1563" s="39"/>
      <c r="X1563" s="49" t="s">
        <v>103</v>
      </c>
      <c r="Y1563" s="50">
        <v>277.2</v>
      </c>
      <c r="Z1563" s="51">
        <v>270</v>
      </c>
      <c r="AA1563" s="52">
        <f t="shared" si="37"/>
        <v>0.974025974025974</v>
      </c>
      <c r="AB1563" s="12">
        <v>270</v>
      </c>
      <c r="AC1563" s="12">
        <v>0</v>
      </c>
      <c r="AD1563" s="43"/>
      <c r="AE1563" s="43"/>
      <c r="AF1563" s="43"/>
      <c r="AG1563" s="43"/>
      <c r="AH1563" s="43"/>
      <c r="AI1563" s="43"/>
      <c r="AJ1563" s="43"/>
      <c r="AK1563" s="43"/>
      <c r="AL1563" s="43"/>
      <c r="AM1563" s="43"/>
      <c r="AN1563" s="43"/>
      <c r="AO1563" s="43"/>
      <c r="AP1563" s="43"/>
      <c r="AQ1563" s="43"/>
      <c r="AR1563" s="43"/>
      <c r="AS1563" s="43"/>
      <c r="AT1563" s="43"/>
      <c r="AU1563" s="43"/>
      <c r="AV1563" s="43"/>
    </row>
    <row r="1564" ht="15.75" spans="1:48">
      <c r="A1564" s="12">
        <v>1560</v>
      </c>
      <c r="B1564" s="44">
        <v>4310</v>
      </c>
      <c r="C1564" s="45" t="s">
        <v>99</v>
      </c>
      <c r="D1564" s="46"/>
      <c r="E1564" s="47" t="s">
        <v>50</v>
      </c>
      <c r="F1564" s="48">
        <v>0.83</v>
      </c>
      <c r="G1564" s="38">
        <v>0</v>
      </c>
      <c r="H1564" s="39"/>
      <c r="I1564" s="39"/>
      <c r="J1564" s="39"/>
      <c r="K1564" s="39"/>
      <c r="L1564" s="39"/>
      <c r="M1564" s="39"/>
      <c r="N1564" s="39"/>
      <c r="O1564" s="39"/>
      <c r="P1564" s="39"/>
      <c r="Q1564" s="39"/>
      <c r="R1564" s="39"/>
      <c r="S1564" s="39"/>
      <c r="T1564" s="39"/>
      <c r="U1564" s="39"/>
      <c r="V1564" s="39"/>
      <c r="W1564" s="39"/>
      <c r="X1564" s="49" t="s">
        <v>105</v>
      </c>
      <c r="Y1564" s="50">
        <v>547.8</v>
      </c>
      <c r="Z1564" s="51">
        <v>500</v>
      </c>
      <c r="AA1564" s="52">
        <f t="shared" si="37"/>
        <v>0.912741876597298</v>
      </c>
      <c r="AB1564" s="12">
        <v>500</v>
      </c>
      <c r="AC1564" s="12">
        <v>0</v>
      </c>
      <c r="AD1564" s="43"/>
      <c r="AE1564" s="43"/>
      <c r="AF1564" s="43"/>
      <c r="AG1564" s="43"/>
      <c r="AH1564" s="43"/>
      <c r="AI1564" s="43"/>
      <c r="AJ1564" s="43"/>
      <c r="AK1564" s="43"/>
      <c r="AL1564" s="43"/>
      <c r="AM1564" s="43"/>
      <c r="AN1564" s="43"/>
      <c r="AO1564" s="43"/>
      <c r="AP1564" s="43"/>
      <c r="AQ1564" s="43"/>
      <c r="AR1564" s="43"/>
      <c r="AS1564" s="43"/>
      <c r="AT1564" s="43"/>
      <c r="AU1564" s="43"/>
      <c r="AV1564" s="43"/>
    </row>
    <row r="1565" ht="15.75" spans="1:48">
      <c r="A1565" s="12">
        <v>1561</v>
      </c>
      <c r="B1565" s="44">
        <v>4412</v>
      </c>
      <c r="C1565" s="45" t="s">
        <v>177</v>
      </c>
      <c r="D1565" s="46"/>
      <c r="E1565" s="47" t="s">
        <v>50</v>
      </c>
      <c r="F1565" s="48">
        <v>1</v>
      </c>
      <c r="G1565" s="38">
        <v>0.17</v>
      </c>
      <c r="H1565" s="39"/>
      <c r="I1565" s="39"/>
      <c r="J1565" s="39"/>
      <c r="K1565" s="39"/>
      <c r="L1565" s="39"/>
      <c r="M1565" s="39"/>
      <c r="N1565" s="39"/>
      <c r="O1565" s="39"/>
      <c r="P1565" s="39"/>
      <c r="Q1565" s="39">
        <v>0.17</v>
      </c>
      <c r="R1565" s="39"/>
      <c r="S1565" s="39"/>
      <c r="T1565" s="39"/>
      <c r="U1565" s="39"/>
      <c r="V1565" s="39"/>
      <c r="W1565" s="39"/>
      <c r="X1565" s="49" t="s">
        <v>103</v>
      </c>
      <c r="Y1565" s="50">
        <v>588</v>
      </c>
      <c r="Z1565" s="51">
        <v>600</v>
      </c>
      <c r="AA1565" s="52">
        <f t="shared" si="37"/>
        <v>1.02040816326531</v>
      </c>
      <c r="AB1565" s="12">
        <v>600</v>
      </c>
      <c r="AC1565" s="12">
        <v>0</v>
      </c>
      <c r="AD1565" s="43"/>
      <c r="AE1565" s="43"/>
      <c r="AF1565" s="43"/>
      <c r="AG1565" s="43"/>
      <c r="AH1565" s="43"/>
      <c r="AI1565" s="43"/>
      <c r="AJ1565" s="43"/>
      <c r="AK1565" s="43"/>
      <c r="AL1565" s="43"/>
      <c r="AM1565" s="43"/>
      <c r="AN1565" s="43"/>
      <c r="AO1565" s="43"/>
      <c r="AP1565" s="43"/>
      <c r="AQ1565" s="43"/>
      <c r="AR1565" s="43"/>
      <c r="AS1565" s="43"/>
      <c r="AT1565" s="43"/>
      <c r="AU1565" s="43"/>
      <c r="AV1565" s="43"/>
    </row>
    <row r="1566" ht="15.75" spans="1:48">
      <c r="A1566" s="12">
        <v>1562</v>
      </c>
      <c r="B1566" s="44">
        <v>4412</v>
      </c>
      <c r="C1566" s="45" t="s">
        <v>177</v>
      </c>
      <c r="D1566" s="46"/>
      <c r="E1566" s="47" t="s">
        <v>50</v>
      </c>
      <c r="F1566" s="48">
        <v>3</v>
      </c>
      <c r="G1566" s="38">
        <v>0</v>
      </c>
      <c r="H1566" s="39"/>
      <c r="I1566" s="39"/>
      <c r="J1566" s="39"/>
      <c r="K1566" s="39"/>
      <c r="L1566" s="39"/>
      <c r="M1566" s="39"/>
      <c r="N1566" s="39"/>
      <c r="O1566" s="39"/>
      <c r="P1566" s="39"/>
      <c r="Q1566" s="39"/>
      <c r="R1566" s="39"/>
      <c r="S1566" s="39"/>
      <c r="T1566" s="39"/>
      <c r="U1566" s="39"/>
      <c r="V1566" s="39"/>
      <c r="W1566" s="39"/>
      <c r="X1566" s="49" t="s">
        <v>212</v>
      </c>
      <c r="Y1566" s="50">
        <v>630</v>
      </c>
      <c r="Z1566" s="51">
        <v>960</v>
      </c>
      <c r="AA1566" s="52">
        <f t="shared" si="37"/>
        <v>1.52380952380952</v>
      </c>
      <c r="AB1566" s="12">
        <v>960</v>
      </c>
      <c r="AC1566" s="12">
        <v>0</v>
      </c>
      <c r="AD1566" s="43"/>
      <c r="AE1566" s="43"/>
      <c r="AF1566" s="43"/>
      <c r="AG1566" s="43"/>
      <c r="AH1566" s="43"/>
      <c r="AI1566" s="43"/>
      <c r="AJ1566" s="43"/>
      <c r="AK1566" s="43"/>
      <c r="AL1566" s="43"/>
      <c r="AM1566" s="43"/>
      <c r="AN1566" s="43"/>
      <c r="AO1566" s="43"/>
      <c r="AP1566" s="43"/>
      <c r="AQ1566" s="43"/>
      <c r="AR1566" s="43"/>
      <c r="AS1566" s="43"/>
      <c r="AT1566" s="43"/>
      <c r="AU1566" s="43"/>
      <c r="AV1566" s="43"/>
    </row>
    <row r="1567" ht="15.75" spans="1:48">
      <c r="A1567" s="12">
        <v>1563</v>
      </c>
      <c r="B1567" s="44">
        <v>4344</v>
      </c>
      <c r="C1567" s="45" t="s">
        <v>85</v>
      </c>
      <c r="D1567" s="46"/>
      <c r="E1567" s="47" t="s">
        <v>50</v>
      </c>
      <c r="F1567" s="48">
        <v>2.5</v>
      </c>
      <c r="G1567" s="38">
        <v>0.33</v>
      </c>
      <c r="H1567" s="39"/>
      <c r="I1567" s="39"/>
      <c r="J1567" s="39"/>
      <c r="K1567" s="39"/>
      <c r="L1567" s="39"/>
      <c r="M1567" s="39"/>
      <c r="N1567" s="39"/>
      <c r="O1567" s="39"/>
      <c r="P1567" s="39"/>
      <c r="Q1567" s="39"/>
      <c r="R1567" s="39"/>
      <c r="S1567" s="39"/>
      <c r="T1567" s="39"/>
      <c r="U1567" s="39">
        <v>0.33</v>
      </c>
      <c r="V1567" s="39"/>
      <c r="W1567" s="39"/>
      <c r="X1567" s="49" t="s">
        <v>104</v>
      </c>
      <c r="Y1567" s="50">
        <v>37500</v>
      </c>
      <c r="Z1567" s="51">
        <v>42364</v>
      </c>
      <c r="AA1567" s="52">
        <f t="shared" si="37"/>
        <v>1.12970666666667</v>
      </c>
      <c r="AB1567" s="12">
        <v>42364</v>
      </c>
      <c r="AC1567" s="12">
        <v>0</v>
      </c>
      <c r="AD1567" s="43"/>
      <c r="AE1567" s="43"/>
      <c r="AF1567" s="43"/>
      <c r="AG1567" s="43"/>
      <c r="AH1567" s="43"/>
      <c r="AI1567" s="43"/>
      <c r="AJ1567" s="43"/>
      <c r="AK1567" s="43"/>
      <c r="AL1567" s="43"/>
      <c r="AM1567" s="43"/>
      <c r="AN1567" s="43"/>
      <c r="AO1567" s="43"/>
      <c r="AP1567" s="43"/>
      <c r="AQ1567" s="43"/>
      <c r="AR1567" s="43"/>
      <c r="AS1567" s="43"/>
      <c r="AT1567" s="43"/>
      <c r="AU1567" s="43"/>
      <c r="AV1567" s="43"/>
    </row>
    <row r="1568" ht="15.75" spans="1:48">
      <c r="A1568" s="12">
        <v>1564</v>
      </c>
      <c r="B1568" s="44" t="s">
        <v>277</v>
      </c>
      <c r="C1568" s="45" t="s">
        <v>182</v>
      </c>
      <c r="D1568" s="46"/>
      <c r="E1568" s="47" t="s">
        <v>50</v>
      </c>
      <c r="F1568" s="48">
        <v>10.83</v>
      </c>
      <c r="G1568" s="38">
        <v>1.17</v>
      </c>
      <c r="H1568" s="39"/>
      <c r="I1568" s="39"/>
      <c r="J1568" s="39"/>
      <c r="K1568" s="39"/>
      <c r="L1568" s="39"/>
      <c r="M1568" s="39"/>
      <c r="N1568" s="39"/>
      <c r="O1568" s="39"/>
      <c r="P1568" s="39"/>
      <c r="Q1568" s="39">
        <v>1.17</v>
      </c>
      <c r="R1568" s="39"/>
      <c r="S1568" s="39"/>
      <c r="T1568" s="39"/>
      <c r="U1568" s="39"/>
      <c r="V1568" s="39"/>
      <c r="W1568" s="39"/>
      <c r="X1568" s="49" t="s">
        <v>103</v>
      </c>
      <c r="Y1568" s="50">
        <v>9097.2</v>
      </c>
      <c r="Z1568" s="51">
        <v>6631</v>
      </c>
      <c r="AA1568" s="52">
        <f t="shared" si="37"/>
        <v>0.72890559732665</v>
      </c>
      <c r="AB1568" s="12">
        <v>6631</v>
      </c>
      <c r="AC1568" s="12">
        <v>0</v>
      </c>
      <c r="AD1568" s="43"/>
      <c r="AE1568" s="43"/>
      <c r="AF1568" s="43"/>
      <c r="AG1568" s="43"/>
      <c r="AH1568" s="43"/>
      <c r="AI1568" s="43"/>
      <c r="AJ1568" s="43"/>
      <c r="AK1568" s="43"/>
      <c r="AL1568" s="43"/>
      <c r="AM1568" s="43"/>
      <c r="AN1568" s="43"/>
      <c r="AO1568" s="43"/>
      <c r="AP1568" s="43"/>
      <c r="AQ1568" s="43"/>
      <c r="AR1568" s="43"/>
      <c r="AS1568" s="43"/>
      <c r="AT1568" s="43"/>
      <c r="AU1568" s="43"/>
      <c r="AV1568" s="43"/>
    </row>
    <row r="1569" ht="15.75" spans="1:48">
      <c r="A1569" s="12">
        <v>1565</v>
      </c>
      <c r="B1569" s="44">
        <v>698</v>
      </c>
      <c r="C1569" s="45" t="s">
        <v>68</v>
      </c>
      <c r="D1569" s="46"/>
      <c r="E1569" s="47" t="s">
        <v>50</v>
      </c>
      <c r="F1569" s="48">
        <v>5</v>
      </c>
      <c r="G1569" s="38">
        <v>0</v>
      </c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  <c r="S1569" s="39"/>
      <c r="T1569" s="39"/>
      <c r="U1569" s="39"/>
      <c r="V1569" s="39"/>
      <c r="W1569" s="39"/>
      <c r="X1569" s="49" t="s">
        <v>105</v>
      </c>
      <c r="Y1569" s="50">
        <v>3300</v>
      </c>
      <c r="Z1569" s="51">
        <v>3300</v>
      </c>
      <c r="AA1569" s="52">
        <f t="shared" si="37"/>
        <v>1</v>
      </c>
      <c r="AB1569" s="12">
        <v>3300</v>
      </c>
      <c r="AC1569" s="12">
        <v>0</v>
      </c>
      <c r="AD1569" s="43"/>
      <c r="AE1569" s="43"/>
      <c r="AF1569" s="43"/>
      <c r="AG1569" s="43"/>
      <c r="AH1569" s="43"/>
      <c r="AI1569" s="43"/>
      <c r="AJ1569" s="43"/>
      <c r="AK1569" s="43"/>
      <c r="AL1569" s="43"/>
      <c r="AM1569" s="43"/>
      <c r="AN1569" s="43"/>
      <c r="AO1569" s="43"/>
      <c r="AP1569" s="43"/>
      <c r="AQ1569" s="43"/>
      <c r="AR1569" s="43"/>
      <c r="AS1569" s="43"/>
      <c r="AT1569" s="43"/>
      <c r="AU1569" s="43"/>
      <c r="AV1569" s="43"/>
    </row>
    <row r="1570" ht="15.75" spans="1:48">
      <c r="A1570" s="12">
        <v>1566</v>
      </c>
      <c r="B1570" s="44">
        <v>698</v>
      </c>
      <c r="C1570" s="45" t="s">
        <v>68</v>
      </c>
      <c r="D1570" s="46"/>
      <c r="E1570" s="47" t="s">
        <v>50</v>
      </c>
      <c r="F1570" s="48">
        <v>5.83</v>
      </c>
      <c r="G1570" s="38">
        <v>1.17</v>
      </c>
      <c r="H1570" s="39"/>
      <c r="I1570" s="39"/>
      <c r="J1570" s="39"/>
      <c r="K1570" s="39"/>
      <c r="L1570" s="39"/>
      <c r="M1570" s="39"/>
      <c r="N1570" s="39"/>
      <c r="O1570" s="39"/>
      <c r="P1570" s="39"/>
      <c r="Q1570" s="39">
        <v>1.17</v>
      </c>
      <c r="R1570" s="39"/>
      <c r="S1570" s="39"/>
      <c r="T1570" s="39"/>
      <c r="U1570" s="39"/>
      <c r="V1570" s="39"/>
      <c r="W1570" s="39"/>
      <c r="X1570" s="49" t="s">
        <v>378</v>
      </c>
      <c r="Y1570" s="50">
        <v>0</v>
      </c>
      <c r="Z1570" s="51"/>
      <c r="AA1570" s="52">
        <f t="shared" si="37"/>
        <v>0</v>
      </c>
      <c r="AB1570" s="12">
        <v>0</v>
      </c>
      <c r="AC1570" s="12">
        <v>0</v>
      </c>
      <c r="AD1570" s="43"/>
      <c r="AE1570" s="43"/>
      <c r="AF1570" s="43"/>
      <c r="AG1570" s="43"/>
      <c r="AH1570" s="43"/>
      <c r="AI1570" s="43"/>
      <c r="AJ1570" s="43"/>
      <c r="AK1570" s="43"/>
      <c r="AL1570" s="43"/>
      <c r="AM1570" s="43"/>
      <c r="AN1570" s="43"/>
      <c r="AO1570" s="43"/>
      <c r="AP1570" s="43"/>
      <c r="AQ1570" s="43"/>
      <c r="AR1570" s="43"/>
      <c r="AS1570" s="43"/>
      <c r="AT1570" s="43"/>
      <c r="AU1570" s="43"/>
      <c r="AV1570" s="43"/>
    </row>
    <row r="1571" ht="15.75" spans="1:48">
      <c r="A1571" s="12">
        <v>1567</v>
      </c>
      <c r="B1571" s="57">
        <v>761</v>
      </c>
      <c r="C1571" s="58" t="s">
        <v>89</v>
      </c>
      <c r="D1571" s="59"/>
      <c r="E1571" s="47" t="s">
        <v>50</v>
      </c>
      <c r="F1571" s="48">
        <v>1.7</v>
      </c>
      <c r="G1571" s="38">
        <v>0</v>
      </c>
      <c r="H1571" s="39"/>
      <c r="I1571" s="39"/>
      <c r="J1571" s="39"/>
      <c r="K1571" s="39"/>
      <c r="L1571" s="39"/>
      <c r="M1571" s="39"/>
      <c r="N1571" s="39"/>
      <c r="O1571" s="39"/>
      <c r="P1571" s="39"/>
      <c r="Q1571" s="39"/>
      <c r="R1571" s="39"/>
      <c r="S1571" s="39"/>
      <c r="T1571" s="39"/>
      <c r="U1571" s="39"/>
      <c r="V1571" s="39"/>
      <c r="W1571" s="39"/>
      <c r="X1571" s="49" t="s">
        <v>101</v>
      </c>
      <c r="Y1571" s="50">
        <v>3264</v>
      </c>
      <c r="Z1571" s="51">
        <v>3240</v>
      </c>
      <c r="AA1571" s="52">
        <f t="shared" si="37"/>
        <v>0.992647058823529</v>
      </c>
      <c r="AB1571" s="12">
        <v>3240</v>
      </c>
      <c r="AC1571" s="12">
        <v>0</v>
      </c>
      <c r="AD1571" s="43"/>
      <c r="AE1571" s="43"/>
      <c r="AF1571" s="43"/>
      <c r="AG1571" s="43"/>
      <c r="AH1571" s="43"/>
      <c r="AI1571" s="43"/>
      <c r="AJ1571" s="43"/>
      <c r="AK1571" s="43"/>
      <c r="AL1571" s="43"/>
      <c r="AM1571" s="43"/>
      <c r="AN1571" s="43"/>
      <c r="AO1571" s="43"/>
      <c r="AP1571" s="43"/>
      <c r="AQ1571" s="43"/>
      <c r="AR1571" s="43"/>
      <c r="AS1571" s="43"/>
      <c r="AT1571" s="43"/>
      <c r="AU1571" s="43"/>
      <c r="AV1571" s="43"/>
    </row>
    <row r="1572" ht="15.75" spans="1:48">
      <c r="A1572" s="12">
        <v>1568</v>
      </c>
      <c r="B1572" s="44">
        <v>761</v>
      </c>
      <c r="C1572" s="45" t="s">
        <v>89</v>
      </c>
      <c r="D1572" s="46"/>
      <c r="E1572" s="47" t="s">
        <v>50</v>
      </c>
      <c r="F1572" s="48">
        <v>2.2</v>
      </c>
      <c r="G1572" s="38">
        <v>0</v>
      </c>
      <c r="H1572" s="39"/>
      <c r="I1572" s="39"/>
      <c r="J1572" s="39"/>
      <c r="K1572" s="39"/>
      <c r="L1572" s="39"/>
      <c r="M1572" s="39"/>
      <c r="N1572" s="39"/>
      <c r="O1572" s="39"/>
      <c r="P1572" s="39"/>
      <c r="Q1572" s="39"/>
      <c r="R1572" s="39"/>
      <c r="S1572" s="39"/>
      <c r="T1572" s="39"/>
      <c r="U1572" s="39"/>
      <c r="V1572" s="39"/>
      <c r="W1572" s="39"/>
      <c r="X1572" s="49" t="s">
        <v>102</v>
      </c>
      <c r="Y1572" s="50">
        <v>9900</v>
      </c>
      <c r="Z1572" s="51">
        <v>10000</v>
      </c>
      <c r="AA1572" s="52">
        <f t="shared" si="37"/>
        <v>1.01010101010101</v>
      </c>
      <c r="AB1572" s="12">
        <v>10000</v>
      </c>
      <c r="AC1572" s="12">
        <v>0</v>
      </c>
      <c r="AD1572" s="43"/>
      <c r="AE1572" s="43"/>
      <c r="AF1572" s="43"/>
      <c r="AG1572" s="43"/>
      <c r="AH1572" s="43"/>
      <c r="AI1572" s="43"/>
      <c r="AJ1572" s="43"/>
      <c r="AK1572" s="43"/>
      <c r="AL1572" s="43"/>
      <c r="AM1572" s="43"/>
      <c r="AN1572" s="43"/>
      <c r="AO1572" s="43"/>
      <c r="AP1572" s="43"/>
      <c r="AQ1572" s="43"/>
      <c r="AR1572" s="43"/>
      <c r="AS1572" s="43"/>
      <c r="AT1572" s="43"/>
      <c r="AU1572" s="43"/>
      <c r="AV1572" s="43"/>
    </row>
    <row r="1573" ht="15.75" spans="1:48">
      <c r="A1573" s="12">
        <v>1569</v>
      </c>
      <c r="B1573" s="44">
        <v>761</v>
      </c>
      <c r="C1573" s="45" t="s">
        <v>89</v>
      </c>
      <c r="D1573" s="46"/>
      <c r="E1573" s="47" t="s">
        <v>50</v>
      </c>
      <c r="F1573" s="48">
        <v>1.3</v>
      </c>
      <c r="G1573" s="38">
        <v>1.5</v>
      </c>
      <c r="H1573" s="39"/>
      <c r="I1573" s="39"/>
      <c r="J1573" s="39"/>
      <c r="K1573" s="39"/>
      <c r="L1573" s="39"/>
      <c r="M1573" s="39"/>
      <c r="N1573" s="39"/>
      <c r="O1573" s="39"/>
      <c r="P1573" s="39"/>
      <c r="Q1573" s="39">
        <v>0.83</v>
      </c>
      <c r="R1573" s="39"/>
      <c r="S1573" s="39">
        <v>0.5</v>
      </c>
      <c r="T1573" s="39"/>
      <c r="U1573" s="39">
        <v>0.17</v>
      </c>
      <c r="V1573" s="39"/>
      <c r="W1573" s="39"/>
      <c r="X1573" s="49" t="s">
        <v>295</v>
      </c>
      <c r="Y1573" s="50">
        <v>2496</v>
      </c>
      <c r="Z1573" s="51">
        <v>2520</v>
      </c>
      <c r="AA1573" s="52">
        <f t="shared" si="37"/>
        <v>1.00961538461538</v>
      </c>
      <c r="AB1573" s="12">
        <v>2520</v>
      </c>
      <c r="AC1573" s="12">
        <v>0</v>
      </c>
      <c r="AD1573" s="43"/>
      <c r="AE1573" s="43"/>
      <c r="AF1573" s="43"/>
      <c r="AG1573" s="43"/>
      <c r="AH1573" s="43"/>
      <c r="AI1573" s="43"/>
      <c r="AJ1573" s="43"/>
      <c r="AK1573" s="43"/>
      <c r="AL1573" s="43"/>
      <c r="AM1573" s="43"/>
      <c r="AN1573" s="43"/>
      <c r="AO1573" s="43"/>
      <c r="AP1573" s="43"/>
      <c r="AQ1573" s="43"/>
      <c r="AR1573" s="43"/>
      <c r="AS1573" s="43"/>
      <c r="AT1573" s="43"/>
      <c r="AU1573" s="43"/>
      <c r="AV1573" s="43"/>
    </row>
    <row r="1574" ht="15.75" spans="1:48">
      <c r="A1574" s="12">
        <v>1570</v>
      </c>
      <c r="B1574" s="44">
        <v>761</v>
      </c>
      <c r="C1574" s="45" t="s">
        <v>89</v>
      </c>
      <c r="D1574" s="46"/>
      <c r="E1574" s="47" t="s">
        <v>50</v>
      </c>
      <c r="F1574" s="48">
        <v>0.469999999999999</v>
      </c>
      <c r="G1574" s="38">
        <v>0</v>
      </c>
      <c r="H1574" s="39"/>
      <c r="I1574" s="39"/>
      <c r="J1574" s="39"/>
      <c r="K1574" s="39"/>
      <c r="L1574" s="39"/>
      <c r="M1574" s="39"/>
      <c r="N1574" s="39"/>
      <c r="O1574" s="39"/>
      <c r="P1574" s="39"/>
      <c r="Q1574" s="39"/>
      <c r="R1574" s="39"/>
      <c r="S1574" s="39"/>
      <c r="T1574" s="39"/>
      <c r="U1574" s="39"/>
      <c r="V1574" s="39"/>
      <c r="W1574" s="39"/>
      <c r="X1574" s="49" t="s">
        <v>152</v>
      </c>
      <c r="Y1574" s="50">
        <v>2044.5</v>
      </c>
      <c r="Z1574" s="51">
        <v>2100</v>
      </c>
      <c r="AA1574" s="52">
        <f t="shared" si="37"/>
        <v>1.02714600146735</v>
      </c>
      <c r="AB1574" s="12">
        <v>2100</v>
      </c>
      <c r="AC1574" s="12">
        <v>0</v>
      </c>
      <c r="AD1574" s="43"/>
      <c r="AE1574" s="43"/>
      <c r="AF1574" s="43"/>
      <c r="AG1574" s="43"/>
      <c r="AH1574" s="43"/>
      <c r="AI1574" s="43"/>
      <c r="AJ1574" s="43"/>
      <c r="AK1574" s="43"/>
      <c r="AL1574" s="43"/>
      <c r="AM1574" s="43"/>
      <c r="AN1574" s="43"/>
      <c r="AO1574" s="43"/>
      <c r="AP1574" s="43"/>
      <c r="AQ1574" s="43"/>
      <c r="AR1574" s="43"/>
      <c r="AS1574" s="43"/>
      <c r="AT1574" s="43"/>
      <c r="AU1574" s="43"/>
      <c r="AV1574" s="43"/>
    </row>
    <row r="1575" ht="15.75" spans="1:48">
      <c r="A1575" s="12">
        <v>1571</v>
      </c>
      <c r="B1575" s="44">
        <v>676</v>
      </c>
      <c r="C1575" s="45" t="s">
        <v>171</v>
      </c>
      <c r="D1575" s="46"/>
      <c r="E1575" s="47" t="s">
        <v>50</v>
      </c>
      <c r="F1575" s="48">
        <v>1</v>
      </c>
      <c r="G1575" s="38">
        <v>0</v>
      </c>
      <c r="H1575" s="39"/>
      <c r="I1575" s="39"/>
      <c r="J1575" s="39"/>
      <c r="K1575" s="39"/>
      <c r="L1575" s="39"/>
      <c r="M1575" s="39"/>
      <c r="N1575" s="39"/>
      <c r="O1575" s="39"/>
      <c r="P1575" s="39"/>
      <c r="Q1575" s="39"/>
      <c r="R1575" s="39"/>
      <c r="S1575" s="39"/>
      <c r="T1575" s="39"/>
      <c r="U1575" s="39"/>
      <c r="V1575" s="39"/>
      <c r="W1575" s="39"/>
      <c r="X1575" s="49" t="s">
        <v>102</v>
      </c>
      <c r="Y1575" s="50">
        <v>4500</v>
      </c>
      <c r="Z1575" s="51">
        <v>5000</v>
      </c>
      <c r="AA1575" s="52">
        <f t="shared" si="37"/>
        <v>1.11111111111111</v>
      </c>
      <c r="AB1575" s="12">
        <v>5000</v>
      </c>
      <c r="AC1575" s="12">
        <v>0</v>
      </c>
      <c r="AD1575" s="43"/>
      <c r="AE1575" s="43"/>
      <c r="AF1575" s="43"/>
      <c r="AG1575" s="43"/>
      <c r="AH1575" s="43"/>
      <c r="AI1575" s="43"/>
      <c r="AJ1575" s="43"/>
      <c r="AK1575" s="43"/>
      <c r="AL1575" s="43"/>
      <c r="AM1575" s="43"/>
      <c r="AN1575" s="43"/>
      <c r="AO1575" s="43"/>
      <c r="AP1575" s="43"/>
      <c r="AQ1575" s="43"/>
      <c r="AR1575" s="43"/>
      <c r="AS1575" s="43"/>
      <c r="AT1575" s="43"/>
      <c r="AU1575" s="43"/>
      <c r="AV1575" s="43"/>
    </row>
    <row r="1576" ht="15.75" spans="1:48">
      <c r="A1576" s="12">
        <v>1572</v>
      </c>
      <c r="B1576" s="44">
        <v>676</v>
      </c>
      <c r="C1576" s="45" t="s">
        <v>171</v>
      </c>
      <c r="D1576" s="46"/>
      <c r="E1576" s="47" t="s">
        <v>50</v>
      </c>
      <c r="F1576" s="48">
        <v>0.33</v>
      </c>
      <c r="G1576" s="38">
        <v>0</v>
      </c>
      <c r="H1576" s="39"/>
      <c r="I1576" s="39"/>
      <c r="J1576" s="39"/>
      <c r="K1576" s="39"/>
      <c r="L1576" s="39"/>
      <c r="M1576" s="39"/>
      <c r="N1576" s="39"/>
      <c r="O1576" s="39"/>
      <c r="P1576" s="39"/>
      <c r="Q1576" s="39"/>
      <c r="R1576" s="39"/>
      <c r="S1576" s="39"/>
      <c r="T1576" s="39"/>
      <c r="U1576" s="39"/>
      <c r="V1576" s="39"/>
      <c r="W1576" s="39"/>
      <c r="X1576" s="49" t="s">
        <v>295</v>
      </c>
      <c r="Y1576" s="50">
        <v>633.6</v>
      </c>
      <c r="Z1576" s="51">
        <v>900</v>
      </c>
      <c r="AA1576" s="52">
        <f t="shared" si="37"/>
        <v>1.42045454545455</v>
      </c>
      <c r="AB1576" s="12">
        <v>900</v>
      </c>
      <c r="AC1576" s="12">
        <v>0</v>
      </c>
      <c r="AD1576" s="43"/>
      <c r="AE1576" s="43"/>
      <c r="AF1576" s="43"/>
      <c r="AG1576" s="43"/>
      <c r="AH1576" s="43"/>
      <c r="AI1576" s="43"/>
      <c r="AJ1576" s="43"/>
      <c r="AK1576" s="43"/>
      <c r="AL1576" s="43"/>
      <c r="AM1576" s="43"/>
      <c r="AN1576" s="43"/>
      <c r="AO1576" s="43"/>
      <c r="AP1576" s="43"/>
      <c r="AQ1576" s="43"/>
      <c r="AR1576" s="43"/>
      <c r="AS1576" s="43"/>
      <c r="AT1576" s="43"/>
      <c r="AU1576" s="43"/>
      <c r="AV1576" s="43"/>
    </row>
    <row r="1577" ht="15.75" spans="1:48">
      <c r="A1577" s="12">
        <v>1573</v>
      </c>
      <c r="B1577" s="44" t="s">
        <v>268</v>
      </c>
      <c r="C1577" s="45" t="e">
        <v>#N/A</v>
      </c>
      <c r="D1577" s="46">
        <v>10</v>
      </c>
      <c r="E1577" s="47" t="s">
        <v>50</v>
      </c>
      <c r="F1577" s="48">
        <v>10.66</v>
      </c>
      <c r="G1577" s="38">
        <v>1.34</v>
      </c>
      <c r="H1577" s="39"/>
      <c r="I1577" s="39"/>
      <c r="J1577" s="39"/>
      <c r="K1577" s="39"/>
      <c r="L1577" s="39"/>
      <c r="M1577" s="39"/>
      <c r="N1577" s="39"/>
      <c r="O1577" s="39"/>
      <c r="P1577" s="39"/>
      <c r="Q1577" s="39">
        <v>1.17</v>
      </c>
      <c r="R1577" s="39"/>
      <c r="S1577" s="39"/>
      <c r="T1577" s="39"/>
      <c r="U1577" s="39">
        <v>0.17</v>
      </c>
      <c r="V1577" s="39"/>
      <c r="W1577" s="39"/>
      <c r="X1577" s="49">
        <v>127</v>
      </c>
      <c r="Y1577" s="50">
        <v>5330</v>
      </c>
      <c r="Z1577" s="51">
        <v>4860</v>
      </c>
      <c r="AA1577" s="52">
        <f t="shared" si="37"/>
        <v>0.911819887429643</v>
      </c>
      <c r="AB1577" s="12">
        <v>4860</v>
      </c>
      <c r="AC1577" s="12">
        <v>0</v>
      </c>
      <c r="AD1577" s="43"/>
      <c r="AE1577" s="43"/>
      <c r="AF1577" s="43"/>
      <c r="AG1577" s="43"/>
      <c r="AH1577" s="43"/>
      <c r="AI1577" s="43"/>
      <c r="AJ1577" s="43"/>
      <c r="AK1577" s="43"/>
      <c r="AL1577" s="43"/>
      <c r="AM1577" s="43"/>
      <c r="AN1577" s="43"/>
      <c r="AO1577" s="43"/>
      <c r="AP1577" s="43"/>
      <c r="AQ1577" s="43"/>
      <c r="AR1577" s="43"/>
      <c r="AS1577" s="43"/>
      <c r="AT1577" s="43"/>
      <c r="AU1577" s="43"/>
      <c r="AV1577" s="43"/>
    </row>
    <row r="1578" ht="15.75" spans="1:48">
      <c r="A1578" s="12">
        <v>1574</v>
      </c>
      <c r="B1578" s="44" t="s">
        <v>269</v>
      </c>
      <c r="C1578" s="45" t="e">
        <v>#N/A</v>
      </c>
      <c r="D1578" s="46">
        <v>11</v>
      </c>
      <c r="E1578" s="47" t="s">
        <v>50</v>
      </c>
      <c r="F1578" s="48">
        <v>10.66</v>
      </c>
      <c r="G1578" s="38">
        <v>1.34</v>
      </c>
      <c r="H1578" s="39"/>
      <c r="I1578" s="39"/>
      <c r="J1578" s="39"/>
      <c r="K1578" s="39"/>
      <c r="L1578" s="39"/>
      <c r="M1578" s="39"/>
      <c r="N1578" s="39"/>
      <c r="O1578" s="39"/>
      <c r="P1578" s="39"/>
      <c r="Q1578" s="39">
        <v>1.17</v>
      </c>
      <c r="R1578" s="39"/>
      <c r="S1578" s="39"/>
      <c r="T1578" s="39"/>
      <c r="U1578" s="39">
        <v>0.17</v>
      </c>
      <c r="V1578" s="39"/>
      <c r="W1578" s="39"/>
      <c r="X1578" s="49" t="s">
        <v>239</v>
      </c>
      <c r="Y1578" s="50">
        <v>5436.6</v>
      </c>
      <c r="Z1578" s="51">
        <v>5265</v>
      </c>
      <c r="AA1578" s="52">
        <f t="shared" si="37"/>
        <v>0.968436154949785</v>
      </c>
      <c r="AB1578" s="12">
        <v>5265</v>
      </c>
      <c r="AC1578" s="12">
        <v>0</v>
      </c>
      <c r="AD1578" s="43"/>
      <c r="AE1578" s="43"/>
      <c r="AF1578" s="43"/>
      <c r="AG1578" s="43"/>
      <c r="AH1578" s="43"/>
      <c r="AI1578" s="43"/>
      <c r="AJ1578" s="43"/>
      <c r="AK1578" s="43"/>
      <c r="AL1578" s="43"/>
      <c r="AM1578" s="43"/>
      <c r="AN1578" s="43"/>
      <c r="AO1578" s="43"/>
      <c r="AP1578" s="43"/>
      <c r="AQ1578" s="43"/>
      <c r="AR1578" s="43"/>
      <c r="AS1578" s="43"/>
      <c r="AT1578" s="43"/>
      <c r="AU1578" s="43"/>
      <c r="AV1578" s="43"/>
    </row>
    <row r="1579" ht="15.75" spans="1:48">
      <c r="A1579" s="12">
        <v>1575</v>
      </c>
      <c r="B1579" s="44">
        <v>3526</v>
      </c>
      <c r="C1579" s="45" t="s">
        <v>65</v>
      </c>
      <c r="D1579" s="46"/>
      <c r="E1579" s="47" t="s">
        <v>50</v>
      </c>
      <c r="F1579" s="48">
        <v>10.83</v>
      </c>
      <c r="G1579" s="38">
        <v>1.17</v>
      </c>
      <c r="H1579" s="39"/>
      <c r="I1579" s="39"/>
      <c r="J1579" s="39"/>
      <c r="K1579" s="39"/>
      <c r="L1579" s="39"/>
      <c r="M1579" s="39"/>
      <c r="N1579" s="39"/>
      <c r="O1579" s="39"/>
      <c r="P1579" s="39"/>
      <c r="Q1579" s="39">
        <v>1.17</v>
      </c>
      <c r="R1579" s="39"/>
      <c r="S1579" s="39"/>
      <c r="T1579" s="39"/>
      <c r="U1579" s="39"/>
      <c r="V1579" s="39"/>
      <c r="W1579" s="39"/>
      <c r="X1579" s="49" t="s">
        <v>246</v>
      </c>
      <c r="Y1579" s="50">
        <v>3628.05</v>
      </c>
      <c r="Z1579" s="51">
        <v>3400</v>
      </c>
      <c r="AA1579" s="52">
        <f t="shared" si="37"/>
        <v>0.937142542136961</v>
      </c>
      <c r="AB1579" s="12">
        <v>3400</v>
      </c>
      <c r="AC1579" s="12">
        <v>0</v>
      </c>
      <c r="AD1579" s="43"/>
      <c r="AE1579" s="43"/>
      <c r="AF1579" s="43"/>
      <c r="AG1579" s="43"/>
      <c r="AH1579" s="43"/>
      <c r="AI1579" s="43"/>
      <c r="AJ1579" s="43"/>
      <c r="AK1579" s="43"/>
      <c r="AL1579" s="43"/>
      <c r="AM1579" s="43"/>
      <c r="AN1579" s="43"/>
      <c r="AO1579" s="43"/>
      <c r="AP1579" s="43"/>
      <c r="AQ1579" s="43"/>
      <c r="AR1579" s="43"/>
      <c r="AS1579" s="43"/>
      <c r="AT1579" s="43"/>
      <c r="AU1579" s="43"/>
      <c r="AV1579" s="43"/>
    </row>
    <row r="1580" ht="15.75" spans="1:48">
      <c r="A1580" s="12">
        <v>1576</v>
      </c>
      <c r="B1580" s="44">
        <v>3352</v>
      </c>
      <c r="C1580" s="45" t="s">
        <v>66</v>
      </c>
      <c r="D1580" s="46"/>
      <c r="E1580" s="47" t="s">
        <v>50</v>
      </c>
      <c r="F1580" s="48">
        <v>10.83</v>
      </c>
      <c r="G1580" s="38">
        <v>1.17</v>
      </c>
      <c r="H1580" s="39"/>
      <c r="I1580" s="39"/>
      <c r="J1580" s="39"/>
      <c r="K1580" s="39"/>
      <c r="L1580" s="39"/>
      <c r="M1580" s="39"/>
      <c r="N1580" s="39"/>
      <c r="O1580" s="39"/>
      <c r="P1580" s="39"/>
      <c r="Q1580" s="39">
        <v>1.17</v>
      </c>
      <c r="R1580" s="39"/>
      <c r="S1580" s="39"/>
      <c r="T1580" s="39"/>
      <c r="U1580" s="39"/>
      <c r="V1580" s="39"/>
      <c r="W1580" s="39"/>
      <c r="X1580" s="49" t="s">
        <v>120</v>
      </c>
      <c r="Y1580" s="50">
        <v>2707.5</v>
      </c>
      <c r="Z1580" s="51">
        <v>2700</v>
      </c>
      <c r="AA1580" s="52">
        <f t="shared" si="37"/>
        <v>0.997229916897507</v>
      </c>
      <c r="AB1580" s="12">
        <v>2700</v>
      </c>
      <c r="AC1580" s="12">
        <v>0</v>
      </c>
      <c r="AD1580" s="43"/>
      <c r="AE1580" s="43"/>
      <c r="AF1580" s="43"/>
      <c r="AG1580" s="43"/>
      <c r="AH1580" s="43"/>
      <c r="AI1580" s="43"/>
      <c r="AJ1580" s="43"/>
      <c r="AK1580" s="43"/>
      <c r="AL1580" s="43"/>
      <c r="AM1580" s="43"/>
      <c r="AN1580" s="43"/>
      <c r="AO1580" s="43"/>
      <c r="AP1580" s="43"/>
      <c r="AQ1580" s="43"/>
      <c r="AR1580" s="43"/>
      <c r="AS1580" s="43"/>
      <c r="AT1580" s="43"/>
      <c r="AU1580" s="43"/>
      <c r="AV1580" s="43"/>
    </row>
    <row r="1581" ht="15.75" spans="1:48">
      <c r="A1581" s="12">
        <v>1577</v>
      </c>
      <c r="B1581" s="61" t="s">
        <v>348</v>
      </c>
      <c r="C1581" s="62" t="s">
        <v>349</v>
      </c>
      <c r="D1581" s="46">
        <v>12</v>
      </c>
      <c r="E1581" s="47" t="s">
        <v>50</v>
      </c>
      <c r="F1581" s="48">
        <v>7</v>
      </c>
      <c r="G1581" s="38">
        <v>1</v>
      </c>
      <c r="H1581" s="39"/>
      <c r="I1581" s="39"/>
      <c r="J1581" s="39"/>
      <c r="K1581" s="39"/>
      <c r="L1581" s="39"/>
      <c r="M1581" s="39"/>
      <c r="N1581" s="39"/>
      <c r="O1581" s="39"/>
      <c r="P1581" s="39"/>
      <c r="Q1581" s="39">
        <v>0.83</v>
      </c>
      <c r="R1581" s="39"/>
      <c r="S1581" s="39"/>
      <c r="T1581" s="39"/>
      <c r="U1581" s="39">
        <v>0.17</v>
      </c>
      <c r="V1581" s="39"/>
      <c r="W1581" s="39"/>
      <c r="X1581" s="49" t="s">
        <v>71</v>
      </c>
      <c r="Y1581" s="50">
        <v>2345</v>
      </c>
      <c r="Z1581" s="51">
        <v>1620</v>
      </c>
      <c r="AA1581" s="52">
        <f t="shared" si="37"/>
        <v>0.690831556503198</v>
      </c>
      <c r="AB1581" s="12">
        <v>1620</v>
      </c>
      <c r="AC1581" s="12">
        <v>0</v>
      </c>
      <c r="AD1581" s="43"/>
      <c r="AE1581" s="43"/>
      <c r="AF1581" s="43"/>
      <c r="AG1581" s="43"/>
      <c r="AH1581" s="43"/>
      <c r="AI1581" s="43"/>
      <c r="AJ1581" s="43"/>
      <c r="AK1581" s="43"/>
      <c r="AL1581" s="43"/>
      <c r="AM1581" s="43"/>
      <c r="AN1581" s="43"/>
      <c r="AO1581" s="43"/>
      <c r="AP1581" s="43"/>
      <c r="AQ1581" s="43"/>
      <c r="AR1581" s="43"/>
      <c r="AS1581" s="43"/>
      <c r="AT1581" s="43"/>
      <c r="AU1581" s="43"/>
      <c r="AV1581" s="43"/>
    </row>
    <row r="1582" ht="15.75" spans="1:48">
      <c r="A1582" s="12">
        <v>1578</v>
      </c>
      <c r="B1582" s="61" t="s">
        <v>344</v>
      </c>
      <c r="C1582" s="62" t="s">
        <v>345</v>
      </c>
      <c r="D1582" s="46"/>
      <c r="E1582" s="47" t="s">
        <v>50</v>
      </c>
      <c r="F1582" s="48">
        <v>6.5</v>
      </c>
      <c r="G1582" s="38">
        <v>1.49</v>
      </c>
      <c r="H1582" s="39"/>
      <c r="I1582" s="39"/>
      <c r="J1582" s="39"/>
      <c r="K1582" s="39">
        <v>0.66</v>
      </c>
      <c r="L1582" s="39"/>
      <c r="M1582" s="39"/>
      <c r="N1582" s="39"/>
      <c r="O1582" s="39"/>
      <c r="P1582" s="39"/>
      <c r="Q1582" s="39">
        <v>0.83</v>
      </c>
      <c r="R1582" s="39"/>
      <c r="S1582" s="39"/>
      <c r="T1582" s="39"/>
      <c r="U1582" s="39"/>
      <c r="V1582" s="39"/>
      <c r="W1582" s="39"/>
      <c r="X1582" s="49" t="s">
        <v>199</v>
      </c>
      <c r="Y1582" s="50">
        <v>2275</v>
      </c>
      <c r="Z1582" s="51">
        <v>1110</v>
      </c>
      <c r="AA1582" s="52">
        <f t="shared" si="37"/>
        <v>0.487912087912088</v>
      </c>
      <c r="AB1582" s="12">
        <v>1110</v>
      </c>
      <c r="AC1582" s="12">
        <v>0</v>
      </c>
      <c r="AD1582" s="43"/>
      <c r="AE1582" s="43"/>
      <c r="AF1582" s="43"/>
      <c r="AG1582" s="43"/>
      <c r="AH1582" s="43"/>
      <c r="AI1582" s="43"/>
      <c r="AJ1582" s="43"/>
      <c r="AK1582" s="43"/>
      <c r="AL1582" s="43"/>
      <c r="AM1582" s="43"/>
      <c r="AN1582" s="43"/>
      <c r="AO1582" s="43"/>
      <c r="AP1582" s="43"/>
      <c r="AQ1582" s="43"/>
      <c r="AR1582" s="43"/>
      <c r="AS1582" s="43"/>
      <c r="AT1582" s="43"/>
      <c r="AU1582" s="43"/>
      <c r="AV1582" s="43"/>
    </row>
    <row r="1583" ht="15.75" spans="1:48">
      <c r="A1583" s="12">
        <v>1579</v>
      </c>
      <c r="B1583" s="61" t="s">
        <v>346</v>
      </c>
      <c r="C1583" s="62" t="s">
        <v>347</v>
      </c>
      <c r="D1583" s="46">
        <v>1</v>
      </c>
      <c r="E1583" s="47" t="s">
        <v>50</v>
      </c>
      <c r="F1583" s="48">
        <v>6.5</v>
      </c>
      <c r="G1583" s="38">
        <v>1.5</v>
      </c>
      <c r="H1583" s="39"/>
      <c r="I1583" s="39"/>
      <c r="J1583" s="39"/>
      <c r="K1583" s="39">
        <v>0.5</v>
      </c>
      <c r="L1583" s="39"/>
      <c r="M1583" s="39"/>
      <c r="N1583" s="39"/>
      <c r="O1583" s="39"/>
      <c r="P1583" s="39"/>
      <c r="Q1583" s="39">
        <v>0.83</v>
      </c>
      <c r="R1583" s="39"/>
      <c r="S1583" s="39"/>
      <c r="T1583" s="39"/>
      <c r="U1583" s="39">
        <v>0.17</v>
      </c>
      <c r="V1583" s="39"/>
      <c r="W1583" s="39"/>
      <c r="X1583" s="49" t="s">
        <v>199</v>
      </c>
      <c r="Y1583" s="50">
        <v>2275</v>
      </c>
      <c r="Z1583" s="51">
        <v>1110</v>
      </c>
      <c r="AA1583" s="52">
        <f t="shared" si="37"/>
        <v>0.487912087912088</v>
      </c>
      <c r="AB1583" s="12">
        <v>1110</v>
      </c>
      <c r="AC1583" s="12">
        <v>0</v>
      </c>
      <c r="AD1583" s="43"/>
      <c r="AE1583" s="43"/>
      <c r="AF1583" s="43"/>
      <c r="AG1583" s="43"/>
      <c r="AH1583" s="43"/>
      <c r="AI1583" s="43"/>
      <c r="AJ1583" s="43"/>
      <c r="AK1583" s="43"/>
      <c r="AL1583" s="43"/>
      <c r="AM1583" s="43"/>
      <c r="AN1583" s="43"/>
      <c r="AO1583" s="43"/>
      <c r="AP1583" s="43"/>
      <c r="AQ1583" s="43"/>
      <c r="AR1583" s="43"/>
      <c r="AS1583" s="43"/>
      <c r="AT1583" s="43"/>
      <c r="AU1583" s="43"/>
      <c r="AV1583" s="43"/>
    </row>
    <row r="1584" ht="15.75" spans="1:48">
      <c r="A1584" s="12">
        <v>1580</v>
      </c>
      <c r="B1584" s="61" t="s">
        <v>350</v>
      </c>
      <c r="C1584" s="62" t="s">
        <v>351</v>
      </c>
      <c r="D1584" s="46">
        <v>12</v>
      </c>
      <c r="E1584" s="47" t="s">
        <v>50</v>
      </c>
      <c r="F1584" s="48">
        <v>7</v>
      </c>
      <c r="G1584" s="38">
        <v>1</v>
      </c>
      <c r="H1584" s="39"/>
      <c r="I1584" s="39"/>
      <c r="J1584" s="39"/>
      <c r="K1584" s="39"/>
      <c r="L1584" s="39"/>
      <c r="M1584" s="39"/>
      <c r="N1584" s="39"/>
      <c r="O1584" s="39"/>
      <c r="P1584" s="39"/>
      <c r="Q1584" s="39">
        <v>0.83</v>
      </c>
      <c r="R1584" s="39"/>
      <c r="S1584" s="39"/>
      <c r="T1584" s="39"/>
      <c r="U1584" s="39">
        <v>0.17</v>
      </c>
      <c r="V1584" s="39"/>
      <c r="W1584" s="39"/>
      <c r="X1584" s="49" t="s">
        <v>71</v>
      </c>
      <c r="Y1584" s="50">
        <v>2345</v>
      </c>
      <c r="Z1584" s="51">
        <v>1620</v>
      </c>
      <c r="AA1584" s="52">
        <f t="shared" si="37"/>
        <v>0.690831556503198</v>
      </c>
      <c r="AB1584" s="12">
        <v>1620</v>
      </c>
      <c r="AC1584" s="12">
        <v>0</v>
      </c>
      <c r="AD1584" s="43"/>
      <c r="AE1584" s="43"/>
      <c r="AF1584" s="43"/>
      <c r="AG1584" s="43"/>
      <c r="AH1584" s="43"/>
      <c r="AI1584" s="43"/>
      <c r="AJ1584" s="43"/>
      <c r="AK1584" s="43"/>
      <c r="AL1584" s="43"/>
      <c r="AM1584" s="43"/>
      <c r="AN1584" s="43"/>
      <c r="AO1584" s="43"/>
      <c r="AP1584" s="43"/>
      <c r="AQ1584" s="43"/>
      <c r="AR1584" s="43"/>
      <c r="AS1584" s="43"/>
      <c r="AT1584" s="43"/>
      <c r="AU1584" s="43"/>
      <c r="AV1584" s="43"/>
    </row>
    <row r="1585" ht="15.75" spans="1:48">
      <c r="A1585" s="12">
        <v>1581</v>
      </c>
      <c r="B1585" s="44">
        <v>2284</v>
      </c>
      <c r="C1585" s="45" t="s">
        <v>59</v>
      </c>
      <c r="D1585" s="46"/>
      <c r="E1585" s="47" t="s">
        <v>50</v>
      </c>
      <c r="F1585" s="48">
        <v>9</v>
      </c>
      <c r="G1585" s="38">
        <v>1</v>
      </c>
      <c r="H1585" s="39"/>
      <c r="I1585" s="39"/>
      <c r="J1585" s="39"/>
      <c r="K1585" s="39"/>
      <c r="L1585" s="39"/>
      <c r="M1585" s="39"/>
      <c r="N1585" s="39"/>
      <c r="O1585" s="39"/>
      <c r="P1585" s="39"/>
      <c r="Q1585" s="39">
        <v>1</v>
      </c>
      <c r="R1585" s="39"/>
      <c r="S1585" s="39"/>
      <c r="T1585" s="39"/>
      <c r="U1585" s="39"/>
      <c r="V1585" s="39"/>
      <c r="W1585" s="39"/>
      <c r="X1585" s="49" t="s">
        <v>60</v>
      </c>
      <c r="Y1585" s="50">
        <v>0</v>
      </c>
      <c r="Z1585" s="51"/>
      <c r="AA1585" s="52">
        <f t="shared" si="37"/>
        <v>0</v>
      </c>
      <c r="AB1585" s="12">
        <v>0</v>
      </c>
      <c r="AC1585" s="12">
        <v>0</v>
      </c>
      <c r="AD1585" s="43"/>
      <c r="AE1585" s="43"/>
      <c r="AF1585" s="43"/>
      <c r="AG1585" s="43"/>
      <c r="AH1585" s="43"/>
      <c r="AI1585" s="43"/>
      <c r="AJ1585" s="43"/>
      <c r="AK1585" s="43"/>
      <c r="AL1585" s="43"/>
      <c r="AM1585" s="43"/>
      <c r="AN1585" s="43"/>
      <c r="AO1585" s="43"/>
      <c r="AP1585" s="43"/>
      <c r="AQ1585" s="43"/>
      <c r="AR1585" s="43"/>
      <c r="AS1585" s="43"/>
      <c r="AT1585" s="43"/>
      <c r="AU1585" s="43"/>
      <c r="AV1585" s="43"/>
    </row>
    <row r="1586" ht="15.75" spans="1:48">
      <c r="A1586" s="12">
        <v>1582</v>
      </c>
      <c r="B1586" s="44">
        <v>3353</v>
      </c>
      <c r="C1586" s="45" t="s">
        <v>48</v>
      </c>
      <c r="D1586" s="46">
        <v>19</v>
      </c>
      <c r="E1586" s="47" t="s">
        <v>50</v>
      </c>
      <c r="F1586" s="48">
        <v>1.66</v>
      </c>
      <c r="G1586" s="38">
        <v>1.34</v>
      </c>
      <c r="H1586" s="39"/>
      <c r="I1586" s="39"/>
      <c r="J1586" s="39"/>
      <c r="K1586" s="39"/>
      <c r="L1586" s="39"/>
      <c r="M1586" s="39"/>
      <c r="N1586" s="39"/>
      <c r="O1586" s="39"/>
      <c r="P1586" s="39"/>
      <c r="Q1586" s="39">
        <v>1.17</v>
      </c>
      <c r="R1586" s="39"/>
      <c r="S1586" s="39"/>
      <c r="T1586" s="39"/>
      <c r="U1586" s="39">
        <v>0.17</v>
      </c>
      <c r="V1586" s="39"/>
      <c r="W1586" s="39"/>
      <c r="X1586" s="49" t="s">
        <v>379</v>
      </c>
      <c r="Y1586" s="50">
        <v>556.1</v>
      </c>
      <c r="Z1586" s="51">
        <v>591</v>
      </c>
      <c r="AA1586" s="52">
        <f t="shared" si="37"/>
        <v>1.06275849667326</v>
      </c>
      <c r="AB1586" s="12">
        <v>591</v>
      </c>
      <c r="AC1586" s="12">
        <v>0</v>
      </c>
      <c r="AD1586" s="43"/>
      <c r="AE1586" s="43"/>
      <c r="AF1586" s="43"/>
      <c r="AG1586" s="43"/>
      <c r="AH1586" s="43"/>
      <c r="AI1586" s="43"/>
      <c r="AJ1586" s="43"/>
      <c r="AK1586" s="43"/>
      <c r="AL1586" s="43"/>
      <c r="AM1586" s="43"/>
      <c r="AN1586" s="43"/>
      <c r="AO1586" s="43"/>
      <c r="AP1586" s="43"/>
      <c r="AQ1586" s="43"/>
      <c r="AR1586" s="43"/>
      <c r="AS1586" s="43"/>
      <c r="AT1586" s="43"/>
      <c r="AU1586" s="43"/>
      <c r="AV1586" s="43"/>
    </row>
    <row r="1587" ht="15.75" spans="1:48">
      <c r="A1587" s="12">
        <v>1583</v>
      </c>
      <c r="B1587" s="44">
        <v>3353</v>
      </c>
      <c r="C1587" s="45" t="s">
        <v>48</v>
      </c>
      <c r="D1587" s="46">
        <v>19</v>
      </c>
      <c r="E1587" s="47" t="s">
        <v>50</v>
      </c>
      <c r="F1587" s="48">
        <v>3.5</v>
      </c>
      <c r="G1587" s="38">
        <v>0</v>
      </c>
      <c r="H1587" s="39"/>
      <c r="I1587" s="39"/>
      <c r="J1587" s="39"/>
      <c r="K1587" s="39"/>
      <c r="L1587" s="39"/>
      <c r="M1587" s="39"/>
      <c r="N1587" s="39"/>
      <c r="O1587" s="39"/>
      <c r="P1587" s="39"/>
      <c r="Q1587" s="39"/>
      <c r="R1587" s="39"/>
      <c r="S1587" s="39"/>
      <c r="T1587" s="39"/>
      <c r="U1587" s="39"/>
      <c r="V1587" s="39"/>
      <c r="W1587" s="39"/>
      <c r="X1587" s="49" t="s">
        <v>126</v>
      </c>
      <c r="Y1587" s="50">
        <v>1172.5</v>
      </c>
      <c r="Z1587" s="51">
        <v>1200</v>
      </c>
      <c r="AA1587" s="52">
        <f t="shared" si="37"/>
        <v>1.02345415778252</v>
      </c>
      <c r="AB1587" s="12">
        <v>1200</v>
      </c>
      <c r="AC1587" s="12">
        <v>0</v>
      </c>
      <c r="AD1587" s="43"/>
      <c r="AE1587" s="43"/>
      <c r="AF1587" s="43"/>
      <c r="AG1587" s="43"/>
      <c r="AH1587" s="43"/>
      <c r="AI1587" s="43"/>
      <c r="AJ1587" s="43"/>
      <c r="AK1587" s="43"/>
      <c r="AL1587" s="43"/>
      <c r="AM1587" s="43"/>
      <c r="AN1587" s="43"/>
      <c r="AO1587" s="43"/>
      <c r="AP1587" s="43"/>
      <c r="AQ1587" s="43"/>
      <c r="AR1587" s="43"/>
      <c r="AS1587" s="43"/>
      <c r="AT1587" s="43"/>
      <c r="AU1587" s="43"/>
      <c r="AV1587" s="43"/>
    </row>
    <row r="1588" ht="15.75" spans="1:48">
      <c r="A1588" s="12">
        <v>1584</v>
      </c>
      <c r="B1588" s="44">
        <v>3353</v>
      </c>
      <c r="C1588" s="45" t="s">
        <v>48</v>
      </c>
      <c r="D1588" s="46"/>
      <c r="E1588" s="47" t="s">
        <v>50</v>
      </c>
      <c r="F1588" s="48">
        <v>5.5</v>
      </c>
      <c r="G1588" s="38">
        <v>0</v>
      </c>
      <c r="H1588" s="39"/>
      <c r="I1588" s="39"/>
      <c r="J1588" s="39"/>
      <c r="K1588" s="39"/>
      <c r="L1588" s="39"/>
      <c r="M1588" s="39"/>
      <c r="N1588" s="39"/>
      <c r="O1588" s="39"/>
      <c r="P1588" s="39"/>
      <c r="Q1588" s="39"/>
      <c r="R1588" s="39"/>
      <c r="S1588" s="39"/>
      <c r="T1588" s="39"/>
      <c r="U1588" s="39"/>
      <c r="V1588" s="39"/>
      <c r="W1588" s="39"/>
      <c r="X1588" s="49" t="s">
        <v>122</v>
      </c>
      <c r="Y1588" s="50">
        <v>0</v>
      </c>
      <c r="Z1588" s="51"/>
      <c r="AA1588" s="52">
        <f t="shared" ref="AA1588:AA1619" si="38">IFERROR(Z1588/Y1588,0)</f>
        <v>0</v>
      </c>
      <c r="AB1588" s="12">
        <v>0</v>
      </c>
      <c r="AC1588" s="12">
        <v>0</v>
      </c>
      <c r="AD1588" s="43"/>
      <c r="AE1588" s="43"/>
      <c r="AF1588" s="43"/>
      <c r="AG1588" s="43"/>
      <c r="AH1588" s="43"/>
      <c r="AI1588" s="43"/>
      <c r="AJ1588" s="43"/>
      <c r="AK1588" s="43"/>
      <c r="AL1588" s="43"/>
      <c r="AM1588" s="43"/>
      <c r="AN1588" s="43"/>
      <c r="AO1588" s="43"/>
      <c r="AP1588" s="43"/>
      <c r="AQ1588" s="43"/>
      <c r="AR1588" s="43"/>
      <c r="AS1588" s="43"/>
      <c r="AT1588" s="43"/>
      <c r="AU1588" s="43"/>
      <c r="AV1588" s="43"/>
    </row>
    <row r="1589" ht="15.75" spans="1:48">
      <c r="A1589" s="12">
        <v>1585</v>
      </c>
      <c r="B1589" s="44">
        <v>2516</v>
      </c>
      <c r="C1589" s="45" t="s">
        <v>189</v>
      </c>
      <c r="D1589" s="46">
        <v>12</v>
      </c>
      <c r="E1589" s="47" t="s">
        <v>50</v>
      </c>
      <c r="F1589" s="48">
        <v>10.33</v>
      </c>
      <c r="G1589" s="38">
        <v>1.67</v>
      </c>
      <c r="H1589" s="39"/>
      <c r="I1589" s="39"/>
      <c r="J1589" s="39"/>
      <c r="K1589" s="39">
        <v>0.33</v>
      </c>
      <c r="L1589" s="39"/>
      <c r="M1589" s="39"/>
      <c r="N1589" s="39"/>
      <c r="O1589" s="39"/>
      <c r="P1589" s="39"/>
      <c r="Q1589" s="39">
        <v>1.17</v>
      </c>
      <c r="R1589" s="39"/>
      <c r="S1589" s="39"/>
      <c r="T1589" s="39"/>
      <c r="U1589" s="39">
        <v>0.17</v>
      </c>
      <c r="V1589" s="39"/>
      <c r="W1589" s="39"/>
      <c r="X1589" s="49" t="s">
        <v>284</v>
      </c>
      <c r="Y1589" s="50">
        <v>8264</v>
      </c>
      <c r="Z1589" s="51">
        <v>7000</v>
      </c>
      <c r="AA1589" s="52">
        <f t="shared" si="38"/>
        <v>0.847047434656341</v>
      </c>
      <c r="AB1589" s="12">
        <v>7000</v>
      </c>
      <c r="AC1589" s="12">
        <v>0</v>
      </c>
      <c r="AD1589" s="43"/>
      <c r="AE1589" s="43"/>
      <c r="AF1589" s="43"/>
      <c r="AG1589" s="43"/>
      <c r="AH1589" s="43"/>
      <c r="AI1589" s="43"/>
      <c r="AJ1589" s="43"/>
      <c r="AK1589" s="43"/>
      <c r="AL1589" s="43"/>
      <c r="AM1589" s="43"/>
      <c r="AN1589" s="43"/>
      <c r="AO1589" s="43"/>
      <c r="AP1589" s="43"/>
      <c r="AQ1589" s="43"/>
      <c r="AR1589" s="43"/>
      <c r="AS1589" s="43"/>
      <c r="AT1589" s="43"/>
      <c r="AU1589" s="43"/>
      <c r="AV1589" s="43"/>
    </row>
    <row r="1590" ht="15.75" spans="1:48">
      <c r="A1590" s="12">
        <v>1586</v>
      </c>
      <c r="B1590" s="44">
        <v>3187</v>
      </c>
      <c r="C1590" s="45" t="s">
        <v>52</v>
      </c>
      <c r="D1590" s="46" t="s">
        <v>215</v>
      </c>
      <c r="E1590" s="47" t="s">
        <v>50</v>
      </c>
      <c r="F1590" s="48">
        <v>2</v>
      </c>
      <c r="G1590" s="38">
        <v>1.17</v>
      </c>
      <c r="H1590" s="39"/>
      <c r="I1590" s="39"/>
      <c r="J1590" s="39"/>
      <c r="K1590" s="39"/>
      <c r="L1590" s="39"/>
      <c r="M1590" s="39"/>
      <c r="N1590" s="39"/>
      <c r="O1590" s="39"/>
      <c r="P1590" s="39"/>
      <c r="Q1590" s="39">
        <v>1.17</v>
      </c>
      <c r="R1590" s="39"/>
      <c r="S1590" s="39"/>
      <c r="T1590" s="39"/>
      <c r="U1590" s="39"/>
      <c r="V1590" s="39"/>
      <c r="W1590" s="39"/>
      <c r="X1590" s="49" t="s">
        <v>117</v>
      </c>
      <c r="Y1590" s="50">
        <v>6210</v>
      </c>
      <c r="Z1590" s="51">
        <v>6300</v>
      </c>
      <c r="AA1590" s="52">
        <f t="shared" si="38"/>
        <v>1.01449275362319</v>
      </c>
      <c r="AB1590" s="12">
        <v>6300</v>
      </c>
      <c r="AC1590" s="12">
        <v>0</v>
      </c>
      <c r="AD1590" s="43"/>
      <c r="AE1590" s="43"/>
      <c r="AF1590" s="43"/>
      <c r="AG1590" s="43"/>
      <c r="AH1590" s="43"/>
      <c r="AI1590" s="43"/>
      <c r="AJ1590" s="43"/>
      <c r="AK1590" s="43"/>
      <c r="AL1590" s="43"/>
      <c r="AM1590" s="43"/>
      <c r="AN1590" s="43"/>
      <c r="AO1590" s="43"/>
      <c r="AP1590" s="43"/>
      <c r="AQ1590" s="43"/>
      <c r="AR1590" s="43"/>
      <c r="AS1590" s="43"/>
      <c r="AT1590" s="43"/>
      <c r="AU1590" s="43"/>
      <c r="AV1590" s="43"/>
    </row>
    <row r="1591" ht="15.75" spans="1:48">
      <c r="A1591" s="12">
        <v>1587</v>
      </c>
      <c r="B1591" s="44">
        <v>3187</v>
      </c>
      <c r="C1591" s="45" t="s">
        <v>52</v>
      </c>
      <c r="D1591" s="46" t="s">
        <v>217</v>
      </c>
      <c r="E1591" s="47" t="s">
        <v>50</v>
      </c>
      <c r="F1591" s="48">
        <v>8.33</v>
      </c>
      <c r="G1591" s="38">
        <v>0.5</v>
      </c>
      <c r="H1591" s="39"/>
      <c r="I1591" s="39"/>
      <c r="J1591" s="39"/>
      <c r="K1591" s="39">
        <v>0.33</v>
      </c>
      <c r="L1591" s="39"/>
      <c r="M1591" s="39"/>
      <c r="N1591" s="39"/>
      <c r="O1591" s="39"/>
      <c r="P1591" s="39"/>
      <c r="Q1591" s="39"/>
      <c r="R1591" s="39"/>
      <c r="S1591" s="39"/>
      <c r="T1591" s="39"/>
      <c r="U1591" s="39">
        <v>0.17</v>
      </c>
      <c r="V1591" s="39"/>
      <c r="W1591" s="39"/>
      <c r="X1591" s="49" t="s">
        <v>216</v>
      </c>
      <c r="Y1591" s="50">
        <v>7080.5</v>
      </c>
      <c r="Z1591" s="51">
        <v>7000</v>
      </c>
      <c r="AA1591" s="52">
        <f t="shared" si="38"/>
        <v>0.988630746416214</v>
      </c>
      <c r="AB1591" s="12">
        <v>7000</v>
      </c>
      <c r="AC1591" s="12">
        <v>0</v>
      </c>
      <c r="AD1591" s="43"/>
      <c r="AE1591" s="43"/>
      <c r="AF1591" s="43"/>
      <c r="AG1591" s="43"/>
      <c r="AH1591" s="43"/>
      <c r="AI1591" s="43"/>
      <c r="AJ1591" s="43"/>
      <c r="AK1591" s="43"/>
      <c r="AL1591" s="43"/>
      <c r="AM1591" s="43"/>
      <c r="AN1591" s="43"/>
      <c r="AO1591" s="43"/>
      <c r="AP1591" s="43"/>
      <c r="AQ1591" s="43"/>
      <c r="AR1591" s="43"/>
      <c r="AS1591" s="43"/>
      <c r="AT1591" s="43"/>
      <c r="AU1591" s="43"/>
      <c r="AV1591" s="43"/>
    </row>
    <row r="1592" ht="15.75" spans="1:48">
      <c r="A1592" s="12">
        <v>1588</v>
      </c>
      <c r="B1592" s="44">
        <v>4031</v>
      </c>
      <c r="C1592" s="45" t="s">
        <v>64</v>
      </c>
      <c r="D1592" s="46"/>
      <c r="E1592" s="47" t="s">
        <v>50</v>
      </c>
      <c r="F1592" s="48">
        <v>3.5</v>
      </c>
      <c r="G1592" s="38">
        <v>0</v>
      </c>
      <c r="H1592" s="39"/>
      <c r="I1592" s="39"/>
      <c r="J1592" s="39"/>
      <c r="K1592" s="39"/>
      <c r="L1592" s="39"/>
      <c r="M1592" s="39"/>
      <c r="N1592" s="39"/>
      <c r="O1592" s="39"/>
      <c r="P1592" s="39"/>
      <c r="Q1592" s="39"/>
      <c r="R1592" s="39"/>
      <c r="S1592" s="39"/>
      <c r="T1592" s="39"/>
      <c r="U1592" s="39"/>
      <c r="V1592" s="39"/>
      <c r="W1592" s="39"/>
      <c r="X1592" s="49" t="s">
        <v>218</v>
      </c>
      <c r="Y1592" s="50">
        <v>8452.5</v>
      </c>
      <c r="Z1592" s="51">
        <v>5880</v>
      </c>
      <c r="AA1592" s="52">
        <f t="shared" si="38"/>
        <v>0.695652173913043</v>
      </c>
      <c r="AB1592" s="12">
        <v>5880</v>
      </c>
      <c r="AC1592" s="12">
        <v>0</v>
      </c>
      <c r="AD1592" s="43"/>
      <c r="AE1592" s="43"/>
      <c r="AF1592" s="43"/>
      <c r="AG1592" s="43"/>
      <c r="AH1592" s="43"/>
      <c r="AI1592" s="43"/>
      <c r="AJ1592" s="43"/>
      <c r="AK1592" s="43"/>
      <c r="AL1592" s="43"/>
      <c r="AM1592" s="43"/>
      <c r="AN1592" s="43"/>
      <c r="AO1592" s="43"/>
      <c r="AP1592" s="43"/>
      <c r="AQ1592" s="43"/>
      <c r="AR1592" s="43"/>
      <c r="AS1592" s="43"/>
      <c r="AT1592" s="43"/>
      <c r="AU1592" s="43"/>
      <c r="AV1592" s="43"/>
    </row>
    <row r="1593" ht="15.75" spans="1:48">
      <c r="A1593" s="12">
        <v>1589</v>
      </c>
      <c r="B1593" s="44">
        <v>4031</v>
      </c>
      <c r="C1593" s="45" t="s">
        <v>64</v>
      </c>
      <c r="D1593" s="46" t="s">
        <v>217</v>
      </c>
      <c r="E1593" s="47" t="s">
        <v>50</v>
      </c>
      <c r="F1593" s="48">
        <v>3.17</v>
      </c>
      <c r="G1593" s="38">
        <v>1.33</v>
      </c>
      <c r="H1593" s="39"/>
      <c r="I1593" s="39"/>
      <c r="J1593" s="39"/>
      <c r="K1593" s="39">
        <v>0.33</v>
      </c>
      <c r="L1593" s="39"/>
      <c r="M1593" s="39"/>
      <c r="N1593" s="39"/>
      <c r="O1593" s="39"/>
      <c r="P1593" s="39"/>
      <c r="Q1593" s="39">
        <v>0.83</v>
      </c>
      <c r="R1593" s="39"/>
      <c r="S1593" s="39"/>
      <c r="T1593" s="39"/>
      <c r="U1593" s="39">
        <v>0.17</v>
      </c>
      <c r="V1593" s="39"/>
      <c r="W1593" s="39"/>
      <c r="X1593" s="49" t="s">
        <v>380</v>
      </c>
      <c r="Y1593" s="50">
        <v>0</v>
      </c>
      <c r="Z1593" s="51">
        <v>7800</v>
      </c>
      <c r="AA1593" s="52">
        <f t="shared" si="38"/>
        <v>0</v>
      </c>
      <c r="AB1593" s="12">
        <v>7800</v>
      </c>
      <c r="AC1593" s="12">
        <v>0</v>
      </c>
      <c r="AD1593" s="43"/>
      <c r="AE1593" s="43"/>
      <c r="AF1593" s="43"/>
      <c r="AG1593" s="43"/>
      <c r="AH1593" s="43"/>
      <c r="AI1593" s="43"/>
      <c r="AJ1593" s="43"/>
      <c r="AK1593" s="43"/>
      <c r="AL1593" s="43"/>
      <c r="AM1593" s="43"/>
      <c r="AN1593" s="43"/>
      <c r="AO1593" s="43"/>
      <c r="AP1593" s="43"/>
      <c r="AQ1593" s="43"/>
      <c r="AR1593" s="43"/>
      <c r="AS1593" s="43"/>
      <c r="AT1593" s="43"/>
      <c r="AU1593" s="43"/>
      <c r="AV1593" s="43"/>
    </row>
    <row r="1594" ht="15.75" spans="1:48">
      <c r="A1594" s="12">
        <v>1590</v>
      </c>
      <c r="B1594" s="44">
        <v>3353</v>
      </c>
      <c r="C1594" s="45" t="s">
        <v>48</v>
      </c>
      <c r="D1594" s="46" t="s">
        <v>215</v>
      </c>
      <c r="E1594" s="47" t="s">
        <v>50</v>
      </c>
      <c r="F1594" s="48">
        <v>2</v>
      </c>
      <c r="G1594" s="38">
        <v>1.34</v>
      </c>
      <c r="H1594" s="39"/>
      <c r="I1594" s="39"/>
      <c r="J1594" s="39"/>
      <c r="K1594" s="39"/>
      <c r="L1594" s="39"/>
      <c r="M1594" s="39"/>
      <c r="N1594" s="39"/>
      <c r="O1594" s="39"/>
      <c r="P1594" s="39"/>
      <c r="Q1594" s="39">
        <v>1.17</v>
      </c>
      <c r="R1594" s="39"/>
      <c r="S1594" s="39"/>
      <c r="T1594" s="39"/>
      <c r="U1594" s="39">
        <v>0.17</v>
      </c>
      <c r="V1594" s="39"/>
      <c r="W1594" s="39"/>
      <c r="X1594" s="49" t="s">
        <v>117</v>
      </c>
      <c r="Y1594" s="50">
        <v>6210</v>
      </c>
      <c r="Z1594" s="51">
        <v>6360</v>
      </c>
      <c r="AA1594" s="52">
        <f t="shared" si="38"/>
        <v>1.02415458937198</v>
      </c>
      <c r="AB1594" s="12">
        <v>6360</v>
      </c>
      <c r="AC1594" s="12">
        <v>0</v>
      </c>
      <c r="AD1594" s="43"/>
      <c r="AE1594" s="43"/>
      <c r="AF1594" s="43"/>
      <c r="AG1594" s="43"/>
      <c r="AH1594" s="43"/>
      <c r="AI1594" s="43"/>
      <c r="AJ1594" s="43"/>
      <c r="AK1594" s="43"/>
      <c r="AL1594" s="43"/>
      <c r="AM1594" s="43"/>
      <c r="AN1594" s="43"/>
      <c r="AO1594" s="43"/>
      <c r="AP1594" s="43"/>
      <c r="AQ1594" s="43"/>
      <c r="AR1594" s="43"/>
      <c r="AS1594" s="43"/>
      <c r="AT1594" s="43"/>
      <c r="AU1594" s="43"/>
      <c r="AV1594" s="43"/>
    </row>
    <row r="1595" ht="15.75" spans="1:48">
      <c r="A1595" s="12">
        <v>1591</v>
      </c>
      <c r="B1595" s="44">
        <v>3353</v>
      </c>
      <c r="C1595" s="45" t="s">
        <v>48</v>
      </c>
      <c r="D1595" s="46"/>
      <c r="E1595" s="47" t="s">
        <v>50</v>
      </c>
      <c r="F1595" s="48">
        <v>8.66</v>
      </c>
      <c r="G1595" s="38">
        <v>0</v>
      </c>
      <c r="H1595" s="39"/>
      <c r="I1595" s="39"/>
      <c r="J1595" s="39"/>
      <c r="K1595" s="39"/>
      <c r="L1595" s="39"/>
      <c r="M1595" s="39"/>
      <c r="N1595" s="39"/>
      <c r="O1595" s="39"/>
      <c r="P1595" s="39"/>
      <c r="Q1595" s="39"/>
      <c r="R1595" s="39"/>
      <c r="S1595" s="39"/>
      <c r="T1595" s="39"/>
      <c r="U1595" s="39"/>
      <c r="V1595" s="39"/>
      <c r="W1595" s="39"/>
      <c r="X1595" s="49" t="s">
        <v>122</v>
      </c>
      <c r="Y1595" s="50">
        <v>0</v>
      </c>
      <c r="Z1595" s="51"/>
      <c r="AA1595" s="52">
        <f t="shared" si="38"/>
        <v>0</v>
      </c>
      <c r="AB1595" s="12">
        <v>0</v>
      </c>
      <c r="AC1595" s="12">
        <v>0</v>
      </c>
      <c r="AD1595" s="43"/>
      <c r="AE1595" s="43"/>
      <c r="AF1595" s="43"/>
      <c r="AG1595" s="43"/>
      <c r="AH1595" s="43"/>
      <c r="AI1595" s="43"/>
      <c r="AJ1595" s="43"/>
      <c r="AK1595" s="43"/>
      <c r="AL1595" s="43"/>
      <c r="AM1595" s="43"/>
      <c r="AN1595" s="43"/>
      <c r="AO1595" s="43"/>
      <c r="AP1595" s="43"/>
      <c r="AQ1595" s="43"/>
      <c r="AR1595" s="43"/>
      <c r="AS1595" s="43"/>
      <c r="AT1595" s="43"/>
      <c r="AU1595" s="43"/>
      <c r="AV1595" s="43"/>
    </row>
    <row r="1596" ht="15.75" spans="1:48">
      <c r="A1596" s="12">
        <v>1592</v>
      </c>
      <c r="B1596" s="44">
        <v>3187</v>
      </c>
      <c r="C1596" s="45" t="s">
        <v>52</v>
      </c>
      <c r="D1596" s="46" t="s">
        <v>264</v>
      </c>
      <c r="E1596" s="47" t="s">
        <v>50</v>
      </c>
      <c r="F1596" s="48">
        <v>10</v>
      </c>
      <c r="G1596" s="38">
        <v>2</v>
      </c>
      <c r="H1596" s="39"/>
      <c r="I1596" s="39"/>
      <c r="J1596" s="39"/>
      <c r="K1596" s="39">
        <v>0.33</v>
      </c>
      <c r="L1596" s="39"/>
      <c r="M1596" s="39"/>
      <c r="N1596" s="39"/>
      <c r="O1596" s="39"/>
      <c r="P1596" s="39"/>
      <c r="Q1596" s="39">
        <v>1.17</v>
      </c>
      <c r="R1596" s="39"/>
      <c r="S1596" s="39"/>
      <c r="T1596" s="39"/>
      <c r="U1596" s="39">
        <v>0.5</v>
      </c>
      <c r="V1596" s="39"/>
      <c r="W1596" s="39"/>
      <c r="X1596" s="49" t="s">
        <v>216</v>
      </c>
      <c r="Y1596" s="50">
        <v>8500</v>
      </c>
      <c r="Z1596" s="51">
        <v>8400</v>
      </c>
      <c r="AA1596" s="52">
        <f t="shared" si="38"/>
        <v>0.988235294117647</v>
      </c>
      <c r="AB1596" s="12">
        <v>8400</v>
      </c>
      <c r="AC1596" s="12">
        <v>0</v>
      </c>
      <c r="AD1596" s="43"/>
      <c r="AE1596" s="43"/>
      <c r="AF1596" s="43"/>
      <c r="AG1596" s="43"/>
      <c r="AH1596" s="43"/>
      <c r="AI1596" s="43"/>
      <c r="AJ1596" s="43"/>
      <c r="AK1596" s="43"/>
      <c r="AL1596" s="43"/>
      <c r="AM1596" s="43"/>
      <c r="AN1596" s="43"/>
      <c r="AO1596" s="43"/>
      <c r="AP1596" s="43"/>
      <c r="AQ1596" s="43"/>
      <c r="AR1596" s="43"/>
      <c r="AS1596" s="43"/>
      <c r="AT1596" s="43"/>
      <c r="AU1596" s="43"/>
      <c r="AV1596" s="43"/>
    </row>
    <row r="1597" ht="15.75" spans="1:48">
      <c r="A1597" s="12">
        <v>1593</v>
      </c>
      <c r="B1597" s="44">
        <v>3111</v>
      </c>
      <c r="C1597" s="45" t="s">
        <v>124</v>
      </c>
      <c r="D1597" s="46" t="s">
        <v>217</v>
      </c>
      <c r="E1597" s="47" t="s">
        <v>50</v>
      </c>
      <c r="F1597" s="48">
        <v>10.66</v>
      </c>
      <c r="G1597" s="38">
        <v>1.34</v>
      </c>
      <c r="H1597" s="39"/>
      <c r="I1597" s="39"/>
      <c r="J1597" s="39"/>
      <c r="K1597" s="39"/>
      <c r="L1597" s="39"/>
      <c r="M1597" s="39"/>
      <c r="N1597" s="39"/>
      <c r="O1597" s="39"/>
      <c r="P1597" s="39"/>
      <c r="Q1597" s="39">
        <v>1.17</v>
      </c>
      <c r="R1597" s="39"/>
      <c r="S1597" s="39"/>
      <c r="T1597" s="39"/>
      <c r="U1597" s="39">
        <v>0.17</v>
      </c>
      <c r="V1597" s="39"/>
      <c r="W1597" s="39"/>
      <c r="X1597" s="49" t="s">
        <v>218</v>
      </c>
      <c r="Y1597" s="50">
        <v>25743.9</v>
      </c>
      <c r="Z1597" s="51">
        <v>26220</v>
      </c>
      <c r="AA1597" s="52">
        <f t="shared" si="38"/>
        <v>1.01849370142053</v>
      </c>
      <c r="AB1597" s="12">
        <v>26220</v>
      </c>
      <c r="AC1597" s="12">
        <v>0</v>
      </c>
      <c r="AD1597" s="43"/>
      <c r="AE1597" s="43"/>
      <c r="AF1597" s="43"/>
      <c r="AG1597" s="43"/>
      <c r="AH1597" s="43"/>
      <c r="AI1597" s="43"/>
      <c r="AJ1597" s="43"/>
      <c r="AK1597" s="43"/>
      <c r="AL1597" s="43"/>
      <c r="AM1597" s="43"/>
      <c r="AN1597" s="43"/>
      <c r="AO1597" s="43"/>
      <c r="AP1597" s="43"/>
      <c r="AQ1597" s="43"/>
      <c r="AR1597" s="43"/>
      <c r="AS1597" s="43"/>
      <c r="AT1597" s="43"/>
      <c r="AU1597" s="43"/>
      <c r="AV1597" s="43"/>
    </row>
    <row r="1598" ht="15.75" spans="1:48">
      <c r="A1598" s="12">
        <v>1594</v>
      </c>
      <c r="B1598" s="44">
        <v>2516</v>
      </c>
      <c r="C1598" s="45" t="s">
        <v>189</v>
      </c>
      <c r="D1598" s="46" t="s">
        <v>116</v>
      </c>
      <c r="E1598" s="47" t="s">
        <v>50</v>
      </c>
      <c r="F1598" s="48">
        <v>0.33</v>
      </c>
      <c r="G1598" s="38">
        <v>0.17</v>
      </c>
      <c r="H1598" s="39"/>
      <c r="I1598" s="39"/>
      <c r="J1598" s="39"/>
      <c r="K1598" s="39">
        <v>0.17</v>
      </c>
      <c r="L1598" s="39"/>
      <c r="M1598" s="39"/>
      <c r="N1598" s="39"/>
      <c r="O1598" s="39"/>
      <c r="P1598" s="39"/>
      <c r="Q1598" s="39"/>
      <c r="R1598" s="39"/>
      <c r="S1598" s="39"/>
      <c r="T1598" s="39"/>
      <c r="U1598" s="39"/>
      <c r="V1598" s="39"/>
      <c r="W1598" s="39"/>
      <c r="X1598" s="49" t="s">
        <v>381</v>
      </c>
      <c r="Y1598" s="50">
        <v>1349.04</v>
      </c>
      <c r="Z1598" s="51">
        <v>1600</v>
      </c>
      <c r="AA1598" s="52">
        <f t="shared" si="38"/>
        <v>1.18602858328886</v>
      </c>
      <c r="AB1598" s="12">
        <v>1600</v>
      </c>
      <c r="AC1598" s="12">
        <v>0</v>
      </c>
      <c r="AD1598" s="43"/>
      <c r="AE1598" s="43"/>
      <c r="AF1598" s="43"/>
      <c r="AG1598" s="43"/>
      <c r="AH1598" s="43"/>
      <c r="AI1598" s="43"/>
      <c r="AJ1598" s="43"/>
      <c r="AK1598" s="43"/>
      <c r="AL1598" s="43"/>
      <c r="AM1598" s="43"/>
      <c r="AN1598" s="43"/>
      <c r="AO1598" s="43"/>
      <c r="AP1598" s="43"/>
      <c r="AQ1598" s="43"/>
      <c r="AR1598" s="43"/>
      <c r="AS1598" s="43"/>
      <c r="AT1598" s="43"/>
      <c r="AU1598" s="43"/>
      <c r="AV1598" s="43"/>
    </row>
    <row r="1599" ht="15.75" spans="1:48">
      <c r="A1599" s="12">
        <v>1595</v>
      </c>
      <c r="B1599" s="44">
        <v>2516</v>
      </c>
      <c r="C1599" s="45" t="s">
        <v>189</v>
      </c>
      <c r="D1599" s="46" t="s">
        <v>116</v>
      </c>
      <c r="E1599" s="47" t="s">
        <v>50</v>
      </c>
      <c r="F1599" s="48">
        <v>9.83</v>
      </c>
      <c r="G1599" s="38">
        <v>1.67</v>
      </c>
      <c r="H1599" s="39"/>
      <c r="I1599" s="39"/>
      <c r="J1599" s="39"/>
      <c r="K1599" s="39">
        <v>0.33</v>
      </c>
      <c r="L1599" s="39"/>
      <c r="M1599" s="39"/>
      <c r="N1599" s="39"/>
      <c r="O1599" s="39"/>
      <c r="P1599" s="39"/>
      <c r="Q1599" s="39">
        <v>1.17</v>
      </c>
      <c r="R1599" s="39"/>
      <c r="S1599" s="39"/>
      <c r="T1599" s="39"/>
      <c r="U1599" s="39">
        <v>0.17</v>
      </c>
      <c r="V1599" s="39"/>
      <c r="W1599" s="39"/>
      <c r="X1599" s="49" t="s">
        <v>284</v>
      </c>
      <c r="Y1599" s="50">
        <v>7864</v>
      </c>
      <c r="Z1599" s="51">
        <v>7920</v>
      </c>
      <c r="AA1599" s="52">
        <f t="shared" si="38"/>
        <v>1.00712105798576</v>
      </c>
      <c r="AB1599" s="12">
        <v>7884</v>
      </c>
      <c r="AC1599" s="12">
        <v>36</v>
      </c>
      <c r="AD1599" s="43"/>
      <c r="AE1599" s="43"/>
      <c r="AF1599" s="43"/>
      <c r="AG1599" s="43"/>
      <c r="AH1599" s="43"/>
      <c r="AI1599" s="43"/>
      <c r="AJ1599" s="43"/>
      <c r="AK1599" s="19">
        <v>1</v>
      </c>
      <c r="AL1599" s="43"/>
      <c r="AM1599" s="43"/>
      <c r="AN1599" s="19">
        <v>35</v>
      </c>
      <c r="AO1599" s="43"/>
      <c r="AP1599" s="43"/>
      <c r="AQ1599" s="43"/>
      <c r="AR1599" s="43"/>
      <c r="AS1599" s="43"/>
      <c r="AT1599" s="43"/>
      <c r="AU1599" s="43"/>
      <c r="AV1599" s="43"/>
    </row>
    <row r="1600" ht="15.75" spans="1:48">
      <c r="A1600" s="12">
        <v>1596</v>
      </c>
      <c r="B1600" s="44" t="s">
        <v>267</v>
      </c>
      <c r="C1600" s="45" t="e">
        <v>#N/A</v>
      </c>
      <c r="D1600" s="46"/>
      <c r="E1600" s="47" t="s">
        <v>50</v>
      </c>
      <c r="F1600" s="48">
        <v>5.55555555555556</v>
      </c>
      <c r="G1600" s="38">
        <v>2.67</v>
      </c>
      <c r="H1600" s="39"/>
      <c r="I1600" s="39"/>
      <c r="J1600" s="39"/>
      <c r="K1600" s="39"/>
      <c r="L1600" s="39"/>
      <c r="M1600" s="39"/>
      <c r="N1600" s="39"/>
      <c r="O1600" s="39"/>
      <c r="P1600" s="39"/>
      <c r="Q1600" s="39">
        <v>1.17</v>
      </c>
      <c r="R1600" s="39"/>
      <c r="S1600" s="39"/>
      <c r="T1600" s="39">
        <v>1.5</v>
      </c>
      <c r="U1600" s="39"/>
      <c r="V1600" s="39"/>
      <c r="W1600" s="39"/>
      <c r="X1600" s="49" t="s">
        <v>63</v>
      </c>
      <c r="Y1600" s="50">
        <v>1000</v>
      </c>
      <c r="Z1600" s="51">
        <v>950</v>
      </c>
      <c r="AA1600" s="52">
        <f t="shared" si="38"/>
        <v>0.95</v>
      </c>
      <c r="AB1600" s="12">
        <v>950</v>
      </c>
      <c r="AC1600" s="12">
        <v>0</v>
      </c>
      <c r="AD1600" s="43"/>
      <c r="AE1600" s="43"/>
      <c r="AF1600" s="43"/>
      <c r="AG1600" s="43"/>
      <c r="AH1600" s="43"/>
      <c r="AI1600" s="43"/>
      <c r="AJ1600" s="43"/>
      <c r="AK1600" s="43"/>
      <c r="AL1600" s="43"/>
      <c r="AM1600" s="43"/>
      <c r="AN1600" s="43"/>
      <c r="AO1600" s="43"/>
      <c r="AP1600" s="43"/>
      <c r="AQ1600" s="43"/>
      <c r="AR1600" s="43"/>
      <c r="AS1600" s="43"/>
      <c r="AT1600" s="43"/>
      <c r="AU1600" s="43"/>
      <c r="AV1600" s="43"/>
    </row>
    <row r="1601" ht="15.75" spans="1:48">
      <c r="A1601" s="12">
        <v>1597</v>
      </c>
      <c r="B1601" s="44" t="s">
        <v>267</v>
      </c>
      <c r="C1601" s="45" t="e">
        <v>#N/A</v>
      </c>
      <c r="D1601" s="46"/>
      <c r="E1601" s="47" t="s">
        <v>50</v>
      </c>
      <c r="F1601" s="48">
        <v>3.77444444444444</v>
      </c>
      <c r="G1601" s="38">
        <v>0</v>
      </c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  <c r="S1601" s="39"/>
      <c r="T1601" s="39"/>
      <c r="U1601" s="39"/>
      <c r="V1601" s="39"/>
      <c r="W1601" s="39"/>
      <c r="X1601" s="49" t="s">
        <v>62</v>
      </c>
      <c r="Y1601" s="50">
        <v>679.4</v>
      </c>
      <c r="Z1601" s="51">
        <v>650</v>
      </c>
      <c r="AA1601" s="52">
        <f t="shared" si="38"/>
        <v>0.956726523403003</v>
      </c>
      <c r="AB1601" s="12">
        <v>650</v>
      </c>
      <c r="AC1601" s="12">
        <v>0</v>
      </c>
      <c r="AD1601" s="43"/>
      <c r="AE1601" s="43"/>
      <c r="AF1601" s="43"/>
      <c r="AG1601" s="43"/>
      <c r="AH1601" s="43"/>
      <c r="AI1601" s="43"/>
      <c r="AJ1601" s="43"/>
      <c r="AK1601" s="43"/>
      <c r="AL1601" s="43"/>
      <c r="AM1601" s="43"/>
      <c r="AN1601" s="43"/>
      <c r="AO1601" s="43"/>
      <c r="AP1601" s="43"/>
      <c r="AQ1601" s="43"/>
      <c r="AR1601" s="43"/>
      <c r="AS1601" s="43"/>
      <c r="AT1601" s="43"/>
      <c r="AU1601" s="43"/>
      <c r="AV1601" s="43"/>
    </row>
    <row r="1602" ht="15.75" spans="1:48">
      <c r="A1602" s="12">
        <v>1598</v>
      </c>
      <c r="B1602" s="44">
        <v>656</v>
      </c>
      <c r="C1602" s="45" t="s">
        <v>195</v>
      </c>
      <c r="D1602" s="46">
        <v>4</v>
      </c>
      <c r="E1602" s="47" t="s">
        <v>50</v>
      </c>
      <c r="F1602" s="48">
        <v>10.33</v>
      </c>
      <c r="G1602" s="38">
        <v>1.67</v>
      </c>
      <c r="H1602" s="39"/>
      <c r="I1602" s="39"/>
      <c r="J1602" s="39"/>
      <c r="K1602" s="39">
        <v>0.33</v>
      </c>
      <c r="L1602" s="39"/>
      <c r="M1602" s="39"/>
      <c r="N1602" s="39"/>
      <c r="O1602" s="39"/>
      <c r="P1602" s="39"/>
      <c r="Q1602" s="39">
        <v>1.17</v>
      </c>
      <c r="R1602" s="39"/>
      <c r="S1602" s="39"/>
      <c r="T1602" s="39"/>
      <c r="U1602" s="39">
        <v>0.17</v>
      </c>
      <c r="V1602" s="39"/>
      <c r="W1602" s="39"/>
      <c r="X1602" s="49">
        <v>8014</v>
      </c>
      <c r="Y1602" s="50">
        <v>5681.5</v>
      </c>
      <c r="Z1602" s="51">
        <v>5670</v>
      </c>
      <c r="AA1602" s="52">
        <f t="shared" si="38"/>
        <v>0.997975886649652</v>
      </c>
      <c r="AB1602" s="12">
        <v>5670</v>
      </c>
      <c r="AC1602" s="12">
        <v>0</v>
      </c>
      <c r="AD1602" s="43"/>
      <c r="AE1602" s="43"/>
      <c r="AF1602" s="43"/>
      <c r="AG1602" s="43"/>
      <c r="AH1602" s="43"/>
      <c r="AI1602" s="43"/>
      <c r="AJ1602" s="43"/>
      <c r="AK1602" s="43"/>
      <c r="AL1602" s="43"/>
      <c r="AM1602" s="43"/>
      <c r="AN1602" s="43"/>
      <c r="AO1602" s="43"/>
      <c r="AP1602" s="43"/>
      <c r="AQ1602" s="43"/>
      <c r="AR1602" s="43"/>
      <c r="AS1602" s="43"/>
      <c r="AT1602" s="43"/>
      <c r="AU1602" s="43"/>
      <c r="AV1602" s="43"/>
    </row>
    <row r="1603" ht="15.75" spans="1:48">
      <c r="A1603" s="12">
        <v>1599</v>
      </c>
      <c r="B1603" s="44">
        <v>4456</v>
      </c>
      <c r="C1603" s="45" t="s">
        <v>119</v>
      </c>
      <c r="D1603" s="46"/>
      <c r="E1603" s="47" t="s">
        <v>50</v>
      </c>
      <c r="F1603" s="48">
        <v>10.83</v>
      </c>
      <c r="G1603" s="38">
        <v>1.17</v>
      </c>
      <c r="H1603" s="39"/>
      <c r="I1603" s="39"/>
      <c r="J1603" s="39"/>
      <c r="K1603" s="39"/>
      <c r="L1603" s="39"/>
      <c r="M1603" s="39"/>
      <c r="N1603" s="39"/>
      <c r="O1603" s="39"/>
      <c r="P1603" s="39"/>
      <c r="Q1603" s="39">
        <v>1.17</v>
      </c>
      <c r="R1603" s="39"/>
      <c r="S1603" s="39"/>
      <c r="T1603" s="39"/>
      <c r="U1603" s="39"/>
      <c r="V1603" s="39"/>
      <c r="W1603" s="39"/>
      <c r="X1603" s="49" t="s">
        <v>67</v>
      </c>
      <c r="Y1603" s="50">
        <v>2707.5</v>
      </c>
      <c r="Z1603" s="51">
        <v>2600</v>
      </c>
      <c r="AA1603" s="52">
        <f t="shared" si="38"/>
        <v>0.960295475530933</v>
      </c>
      <c r="AB1603" s="12">
        <v>2600</v>
      </c>
      <c r="AC1603" s="12">
        <v>0</v>
      </c>
      <c r="AD1603" s="43"/>
      <c r="AE1603" s="43"/>
      <c r="AF1603" s="43"/>
      <c r="AG1603" s="43"/>
      <c r="AH1603" s="43"/>
      <c r="AI1603" s="43"/>
      <c r="AJ1603" s="43"/>
      <c r="AK1603" s="43"/>
      <c r="AL1603" s="43"/>
      <c r="AM1603" s="43"/>
      <c r="AN1603" s="43"/>
      <c r="AO1603" s="43"/>
      <c r="AP1603" s="43"/>
      <c r="AQ1603" s="43"/>
      <c r="AR1603" s="43"/>
      <c r="AS1603" s="43"/>
      <c r="AT1603" s="43"/>
      <c r="AU1603" s="43"/>
      <c r="AV1603" s="43"/>
    </row>
    <row r="1604" ht="15.75" spans="1:48">
      <c r="A1604" s="12">
        <v>1600</v>
      </c>
      <c r="B1604" s="44" t="s">
        <v>289</v>
      </c>
      <c r="C1604" s="45" t="e">
        <v>#N/A</v>
      </c>
      <c r="D1604" s="46">
        <v>10</v>
      </c>
      <c r="E1604" s="47" t="s">
        <v>50</v>
      </c>
      <c r="F1604" s="48">
        <v>10.66</v>
      </c>
      <c r="G1604" s="38">
        <v>1.34</v>
      </c>
      <c r="H1604" s="39"/>
      <c r="I1604" s="39"/>
      <c r="J1604" s="39"/>
      <c r="K1604" s="39"/>
      <c r="L1604" s="39"/>
      <c r="M1604" s="39"/>
      <c r="N1604" s="39"/>
      <c r="O1604" s="39"/>
      <c r="P1604" s="39"/>
      <c r="Q1604" s="39">
        <v>1.17</v>
      </c>
      <c r="R1604" s="39"/>
      <c r="S1604" s="39"/>
      <c r="T1604" s="39"/>
      <c r="U1604" s="39">
        <v>0.17</v>
      </c>
      <c r="V1604" s="39"/>
      <c r="W1604" s="39"/>
      <c r="X1604" s="49">
        <v>127</v>
      </c>
      <c r="Y1604" s="50">
        <v>5330</v>
      </c>
      <c r="Z1604" s="51">
        <v>4995</v>
      </c>
      <c r="AA1604" s="52">
        <f t="shared" si="38"/>
        <v>0.937148217636023</v>
      </c>
      <c r="AB1604" s="12">
        <v>4995</v>
      </c>
      <c r="AC1604" s="12">
        <v>0</v>
      </c>
      <c r="AD1604" s="43"/>
      <c r="AE1604" s="43"/>
      <c r="AF1604" s="43"/>
      <c r="AG1604" s="43"/>
      <c r="AH1604" s="43"/>
      <c r="AI1604" s="43"/>
      <c r="AJ1604" s="43"/>
      <c r="AK1604" s="43"/>
      <c r="AL1604" s="43"/>
      <c r="AM1604" s="43"/>
      <c r="AN1604" s="43"/>
      <c r="AO1604" s="43"/>
      <c r="AP1604" s="43"/>
      <c r="AQ1604" s="43"/>
      <c r="AR1604" s="43"/>
      <c r="AS1604" s="43"/>
      <c r="AT1604" s="43"/>
      <c r="AU1604" s="43"/>
      <c r="AV1604" s="43"/>
    </row>
    <row r="1605" ht="15.75" spans="1:48">
      <c r="A1605" s="12">
        <v>1601</v>
      </c>
      <c r="B1605" s="44" t="s">
        <v>290</v>
      </c>
      <c r="C1605" s="45" t="e">
        <v>#N/A</v>
      </c>
      <c r="D1605" s="46">
        <v>11</v>
      </c>
      <c r="E1605" s="47" t="s">
        <v>50</v>
      </c>
      <c r="F1605" s="48">
        <v>10.66</v>
      </c>
      <c r="G1605" s="38">
        <v>1.34</v>
      </c>
      <c r="H1605" s="39"/>
      <c r="I1605" s="39"/>
      <c r="J1605" s="39"/>
      <c r="K1605" s="39"/>
      <c r="L1605" s="39"/>
      <c r="M1605" s="39"/>
      <c r="N1605" s="39"/>
      <c r="O1605" s="39"/>
      <c r="P1605" s="39"/>
      <c r="Q1605" s="39">
        <v>1.17</v>
      </c>
      <c r="R1605" s="39"/>
      <c r="S1605" s="39"/>
      <c r="T1605" s="39"/>
      <c r="U1605" s="39">
        <v>0.17</v>
      </c>
      <c r="V1605" s="39"/>
      <c r="W1605" s="39"/>
      <c r="X1605" s="49" t="s">
        <v>69</v>
      </c>
      <c r="Y1605" s="50">
        <v>5436.6</v>
      </c>
      <c r="Z1605" s="51">
        <v>5400</v>
      </c>
      <c r="AA1605" s="52">
        <f t="shared" si="38"/>
        <v>0.993267851230548</v>
      </c>
      <c r="AB1605" s="12">
        <v>5400</v>
      </c>
      <c r="AC1605" s="12">
        <v>0</v>
      </c>
      <c r="AD1605" s="43"/>
      <c r="AE1605" s="43"/>
      <c r="AF1605" s="43"/>
      <c r="AG1605" s="43"/>
      <c r="AH1605" s="43"/>
      <c r="AI1605" s="43"/>
      <c r="AJ1605" s="43"/>
      <c r="AK1605" s="43"/>
      <c r="AL1605" s="43"/>
      <c r="AM1605" s="43"/>
      <c r="AN1605" s="43"/>
      <c r="AO1605" s="43"/>
      <c r="AP1605" s="43"/>
      <c r="AQ1605" s="43"/>
      <c r="AR1605" s="43"/>
      <c r="AS1605" s="43"/>
      <c r="AT1605" s="43"/>
      <c r="AU1605" s="43"/>
      <c r="AV1605" s="43"/>
    </row>
    <row r="1606" ht="15.75" spans="1:48">
      <c r="A1606" s="12">
        <v>1602</v>
      </c>
      <c r="B1606" s="44">
        <v>3526</v>
      </c>
      <c r="C1606" s="45" t="s">
        <v>65</v>
      </c>
      <c r="D1606" s="46"/>
      <c r="E1606" s="47" t="s">
        <v>50</v>
      </c>
      <c r="F1606" s="48">
        <v>10.83</v>
      </c>
      <c r="G1606" s="38">
        <v>1.17</v>
      </c>
      <c r="H1606" s="39"/>
      <c r="I1606" s="39"/>
      <c r="J1606" s="39"/>
      <c r="K1606" s="39"/>
      <c r="L1606" s="39"/>
      <c r="M1606" s="39"/>
      <c r="N1606" s="39"/>
      <c r="O1606" s="39"/>
      <c r="P1606" s="39"/>
      <c r="Q1606" s="39">
        <v>1.17</v>
      </c>
      <c r="R1606" s="39"/>
      <c r="S1606" s="39"/>
      <c r="T1606" s="39"/>
      <c r="U1606" s="39"/>
      <c r="V1606" s="39"/>
      <c r="W1606" s="39"/>
      <c r="X1606" s="49" t="s">
        <v>191</v>
      </c>
      <c r="Y1606" s="50">
        <v>3628.05</v>
      </c>
      <c r="Z1606" s="51">
        <v>3400</v>
      </c>
      <c r="AA1606" s="52">
        <f t="shared" si="38"/>
        <v>0.937142542136961</v>
      </c>
      <c r="AB1606" s="12">
        <v>3400</v>
      </c>
      <c r="AC1606" s="12">
        <v>0</v>
      </c>
      <c r="AD1606" s="43"/>
      <c r="AE1606" s="43"/>
      <c r="AF1606" s="43"/>
      <c r="AG1606" s="43"/>
      <c r="AH1606" s="43"/>
      <c r="AI1606" s="43"/>
      <c r="AJ1606" s="43"/>
      <c r="AK1606" s="43"/>
      <c r="AL1606" s="43"/>
      <c r="AM1606" s="43"/>
      <c r="AN1606" s="43"/>
      <c r="AO1606" s="43"/>
      <c r="AP1606" s="43"/>
      <c r="AQ1606" s="43"/>
      <c r="AR1606" s="43"/>
      <c r="AS1606" s="43"/>
      <c r="AT1606" s="43"/>
      <c r="AU1606" s="43"/>
      <c r="AV1606" s="43"/>
    </row>
    <row r="1607" ht="15.75" spans="1:48">
      <c r="A1607" s="12">
        <v>1603</v>
      </c>
      <c r="B1607" s="44">
        <v>3959</v>
      </c>
      <c r="C1607" s="45" t="s">
        <v>123</v>
      </c>
      <c r="D1607" s="46"/>
      <c r="E1607" s="47" t="s">
        <v>50</v>
      </c>
      <c r="F1607" s="48">
        <v>10.83</v>
      </c>
      <c r="G1607" s="38">
        <v>1.17</v>
      </c>
      <c r="H1607" s="39"/>
      <c r="I1607" s="39"/>
      <c r="J1607" s="39"/>
      <c r="K1607" s="39"/>
      <c r="L1607" s="39"/>
      <c r="M1607" s="39"/>
      <c r="N1607" s="39"/>
      <c r="O1607" s="39"/>
      <c r="P1607" s="39"/>
      <c r="Q1607" s="39">
        <v>1.17</v>
      </c>
      <c r="R1607" s="39"/>
      <c r="S1607" s="39"/>
      <c r="T1607" s="39"/>
      <c r="U1607" s="39"/>
      <c r="V1607" s="39"/>
      <c r="W1607" s="39"/>
      <c r="X1607" s="49">
        <v>9276</v>
      </c>
      <c r="Y1607" s="50">
        <v>5415</v>
      </c>
      <c r="Z1607" s="51">
        <v>5420</v>
      </c>
      <c r="AA1607" s="52">
        <f t="shared" si="38"/>
        <v>1.00092336103416</v>
      </c>
      <c r="AB1607" s="12">
        <v>5420</v>
      </c>
      <c r="AC1607" s="12">
        <v>0</v>
      </c>
      <c r="AD1607" s="43"/>
      <c r="AE1607" s="43"/>
      <c r="AF1607" s="43"/>
      <c r="AG1607" s="43"/>
      <c r="AH1607" s="43"/>
      <c r="AI1607" s="43"/>
      <c r="AJ1607" s="43"/>
      <c r="AK1607" s="43"/>
      <c r="AL1607" s="43"/>
      <c r="AM1607" s="43"/>
      <c r="AN1607" s="43"/>
      <c r="AO1607" s="43"/>
      <c r="AP1607" s="43"/>
      <c r="AQ1607" s="43"/>
      <c r="AR1607" s="43"/>
      <c r="AS1607" s="43"/>
      <c r="AT1607" s="43"/>
      <c r="AU1607" s="43"/>
      <c r="AV1607" s="43"/>
    </row>
    <row r="1608" ht="15.75" spans="1:48">
      <c r="A1608" s="12">
        <v>1604</v>
      </c>
      <c r="B1608" s="61" t="s">
        <v>348</v>
      </c>
      <c r="C1608" s="62" t="s">
        <v>349</v>
      </c>
      <c r="D1608" s="46">
        <v>12</v>
      </c>
      <c r="E1608" s="47" t="s">
        <v>50</v>
      </c>
      <c r="F1608" s="48">
        <v>7</v>
      </c>
      <c r="G1608" s="38">
        <v>1</v>
      </c>
      <c r="H1608" s="39"/>
      <c r="I1608" s="39"/>
      <c r="J1608" s="39"/>
      <c r="K1608" s="39">
        <v>0.17</v>
      </c>
      <c r="L1608" s="39"/>
      <c r="M1608" s="39"/>
      <c r="N1608" s="39"/>
      <c r="O1608" s="39"/>
      <c r="P1608" s="39"/>
      <c r="Q1608" s="39">
        <v>0.83</v>
      </c>
      <c r="R1608" s="39"/>
      <c r="S1608" s="39"/>
      <c r="T1608" s="39"/>
      <c r="U1608" s="39"/>
      <c r="V1608" s="39"/>
      <c r="W1608" s="39"/>
      <c r="X1608" s="49" t="s">
        <v>194</v>
      </c>
      <c r="Y1608" s="50">
        <v>2345</v>
      </c>
      <c r="Z1608" s="51">
        <v>1800</v>
      </c>
      <c r="AA1608" s="52">
        <f t="shared" si="38"/>
        <v>0.767590618336887</v>
      </c>
      <c r="AB1608" s="12">
        <v>1800</v>
      </c>
      <c r="AC1608" s="12">
        <v>0</v>
      </c>
      <c r="AD1608" s="43"/>
      <c r="AE1608" s="43"/>
      <c r="AF1608" s="43"/>
      <c r="AG1608" s="43"/>
      <c r="AH1608" s="43"/>
      <c r="AI1608" s="43"/>
      <c r="AJ1608" s="43"/>
      <c r="AK1608" s="43"/>
      <c r="AL1608" s="43"/>
      <c r="AM1608" s="43"/>
      <c r="AN1608" s="43"/>
      <c r="AO1608" s="43"/>
      <c r="AP1608" s="43"/>
      <c r="AQ1608" s="43"/>
      <c r="AR1608" s="43"/>
      <c r="AS1608" s="43"/>
      <c r="AT1608" s="43"/>
      <c r="AU1608" s="43"/>
      <c r="AV1608" s="43"/>
    </row>
    <row r="1609" ht="15.75" spans="1:48">
      <c r="A1609" s="12">
        <v>1605</v>
      </c>
      <c r="B1609" s="61" t="s">
        <v>344</v>
      </c>
      <c r="C1609" s="62" t="s">
        <v>345</v>
      </c>
      <c r="D1609" s="46"/>
      <c r="E1609" s="47" t="s">
        <v>50</v>
      </c>
      <c r="F1609" s="48">
        <v>7</v>
      </c>
      <c r="G1609" s="38">
        <v>1</v>
      </c>
      <c r="H1609" s="39"/>
      <c r="I1609" s="39"/>
      <c r="J1609" s="39"/>
      <c r="K1609" s="39">
        <v>0.17</v>
      </c>
      <c r="L1609" s="39"/>
      <c r="M1609" s="39"/>
      <c r="N1609" s="39"/>
      <c r="O1609" s="39"/>
      <c r="P1609" s="39"/>
      <c r="Q1609" s="39">
        <v>0.83</v>
      </c>
      <c r="R1609" s="39"/>
      <c r="S1609" s="39"/>
      <c r="T1609" s="39"/>
      <c r="U1609" s="39"/>
      <c r="V1609" s="39"/>
      <c r="W1609" s="39"/>
      <c r="X1609" s="49" t="s">
        <v>58</v>
      </c>
      <c r="Y1609" s="50">
        <v>2450</v>
      </c>
      <c r="Z1609" s="51">
        <v>1350</v>
      </c>
      <c r="AA1609" s="52">
        <f t="shared" si="38"/>
        <v>0.551020408163265</v>
      </c>
      <c r="AB1609" s="12">
        <v>1350</v>
      </c>
      <c r="AC1609" s="12">
        <v>0</v>
      </c>
      <c r="AD1609" s="43"/>
      <c r="AE1609" s="43"/>
      <c r="AF1609" s="43"/>
      <c r="AG1609" s="43"/>
      <c r="AH1609" s="43"/>
      <c r="AI1609" s="43"/>
      <c r="AJ1609" s="43"/>
      <c r="AK1609" s="43"/>
      <c r="AL1609" s="43"/>
      <c r="AM1609" s="43"/>
      <c r="AN1609" s="43"/>
      <c r="AO1609" s="43"/>
      <c r="AP1609" s="43"/>
      <c r="AQ1609" s="43"/>
      <c r="AR1609" s="43"/>
      <c r="AS1609" s="43"/>
      <c r="AT1609" s="43"/>
      <c r="AU1609" s="43"/>
      <c r="AV1609" s="43"/>
    </row>
    <row r="1610" ht="15.75" spans="1:48">
      <c r="A1610" s="12">
        <v>1606</v>
      </c>
      <c r="B1610" s="61" t="s">
        <v>346</v>
      </c>
      <c r="C1610" s="62" t="s">
        <v>347</v>
      </c>
      <c r="D1610" s="46">
        <v>1</v>
      </c>
      <c r="E1610" s="47" t="s">
        <v>50</v>
      </c>
      <c r="F1610" s="48">
        <v>7</v>
      </c>
      <c r="G1610" s="38">
        <v>1</v>
      </c>
      <c r="H1610" s="39"/>
      <c r="I1610" s="39"/>
      <c r="J1610" s="39"/>
      <c r="K1610" s="39"/>
      <c r="L1610" s="39"/>
      <c r="M1610" s="39"/>
      <c r="N1610" s="39"/>
      <c r="O1610" s="39"/>
      <c r="P1610" s="39"/>
      <c r="Q1610" s="39">
        <v>0.83</v>
      </c>
      <c r="R1610" s="39"/>
      <c r="S1610" s="39"/>
      <c r="T1610" s="39"/>
      <c r="U1610" s="39">
        <v>0.17</v>
      </c>
      <c r="V1610" s="39"/>
      <c r="W1610" s="39"/>
      <c r="X1610" s="49" t="s">
        <v>58</v>
      </c>
      <c r="Y1610" s="50">
        <v>2450</v>
      </c>
      <c r="Z1610" s="51">
        <v>1350</v>
      </c>
      <c r="AA1610" s="52">
        <f t="shared" si="38"/>
        <v>0.551020408163265</v>
      </c>
      <c r="AB1610" s="12">
        <v>1350</v>
      </c>
      <c r="AC1610" s="12">
        <v>0</v>
      </c>
      <c r="AD1610" s="43"/>
      <c r="AE1610" s="43"/>
      <c r="AF1610" s="43"/>
      <c r="AG1610" s="43"/>
      <c r="AH1610" s="43"/>
      <c r="AI1610" s="43"/>
      <c r="AJ1610" s="43"/>
      <c r="AK1610" s="43"/>
      <c r="AL1610" s="43"/>
      <c r="AM1610" s="43"/>
      <c r="AN1610" s="43"/>
      <c r="AO1610" s="43"/>
      <c r="AP1610" s="43"/>
      <c r="AQ1610" s="43"/>
      <c r="AR1610" s="43"/>
      <c r="AS1610" s="43"/>
      <c r="AT1610" s="43"/>
      <c r="AU1610" s="43"/>
      <c r="AV1610" s="43"/>
    </row>
    <row r="1611" ht="15.75" spans="1:48">
      <c r="A1611" s="12">
        <v>1607</v>
      </c>
      <c r="B1611" s="61" t="s">
        <v>350</v>
      </c>
      <c r="C1611" s="62" t="s">
        <v>351</v>
      </c>
      <c r="D1611" s="46">
        <v>12</v>
      </c>
      <c r="E1611" s="47" t="s">
        <v>50</v>
      </c>
      <c r="F1611" s="48">
        <v>7</v>
      </c>
      <c r="G1611" s="38">
        <v>1</v>
      </c>
      <c r="H1611" s="39"/>
      <c r="I1611" s="39"/>
      <c r="J1611" s="39"/>
      <c r="K1611" s="39"/>
      <c r="L1611" s="39"/>
      <c r="M1611" s="39"/>
      <c r="N1611" s="39"/>
      <c r="O1611" s="39"/>
      <c r="P1611" s="39"/>
      <c r="Q1611" s="39">
        <v>0.83</v>
      </c>
      <c r="R1611" s="39"/>
      <c r="S1611" s="39"/>
      <c r="T1611" s="39"/>
      <c r="U1611" s="39">
        <v>0.17</v>
      </c>
      <c r="V1611" s="39"/>
      <c r="W1611" s="39"/>
      <c r="X1611" s="49" t="s">
        <v>194</v>
      </c>
      <c r="Y1611" s="50">
        <v>2345</v>
      </c>
      <c r="Z1611" s="51">
        <v>1800</v>
      </c>
      <c r="AA1611" s="52">
        <f t="shared" si="38"/>
        <v>0.767590618336887</v>
      </c>
      <c r="AB1611" s="12">
        <v>1800</v>
      </c>
      <c r="AC1611" s="12">
        <v>0</v>
      </c>
      <c r="AD1611" s="43"/>
      <c r="AE1611" s="43"/>
      <c r="AF1611" s="43"/>
      <c r="AG1611" s="43"/>
      <c r="AH1611" s="43"/>
      <c r="AI1611" s="43"/>
      <c r="AJ1611" s="43"/>
      <c r="AK1611" s="43"/>
      <c r="AL1611" s="43"/>
      <c r="AM1611" s="43"/>
      <c r="AN1611" s="43"/>
      <c r="AO1611" s="43"/>
      <c r="AP1611" s="43"/>
      <c r="AQ1611" s="43"/>
      <c r="AR1611" s="43"/>
      <c r="AS1611" s="43"/>
      <c r="AT1611" s="43"/>
      <c r="AU1611" s="43"/>
      <c r="AV1611" s="43"/>
    </row>
    <row r="1612" ht="15.75" spans="1:48">
      <c r="A1612" s="12">
        <v>1608</v>
      </c>
      <c r="B1612" s="44">
        <v>3352</v>
      </c>
      <c r="C1612" s="45" t="s">
        <v>66</v>
      </c>
      <c r="D1612" s="46"/>
      <c r="E1612" s="47" t="s">
        <v>50</v>
      </c>
      <c r="F1612" s="48">
        <v>10.83</v>
      </c>
      <c r="G1612" s="38">
        <v>1.17</v>
      </c>
      <c r="H1612" s="39"/>
      <c r="I1612" s="39"/>
      <c r="J1612" s="39"/>
      <c r="K1612" s="39"/>
      <c r="L1612" s="39"/>
      <c r="M1612" s="39"/>
      <c r="N1612" s="39"/>
      <c r="O1612" s="39"/>
      <c r="P1612" s="39"/>
      <c r="Q1612" s="39">
        <v>1.17</v>
      </c>
      <c r="R1612" s="39"/>
      <c r="S1612" s="39"/>
      <c r="T1612" s="39"/>
      <c r="U1612" s="39"/>
      <c r="V1612" s="39"/>
      <c r="W1612" s="39"/>
      <c r="X1612" s="49" t="s">
        <v>67</v>
      </c>
      <c r="Y1612" s="50">
        <v>2707.5</v>
      </c>
      <c r="Z1612" s="51">
        <v>2700</v>
      </c>
      <c r="AA1612" s="52">
        <f t="shared" si="38"/>
        <v>0.997229916897507</v>
      </c>
      <c r="AB1612" s="12">
        <v>2700</v>
      </c>
      <c r="AC1612" s="12">
        <v>0</v>
      </c>
      <c r="AD1612" s="43"/>
      <c r="AE1612" s="43"/>
      <c r="AF1612" s="43"/>
      <c r="AG1612" s="43"/>
      <c r="AH1612" s="43"/>
      <c r="AI1612" s="43"/>
      <c r="AJ1612" s="43"/>
      <c r="AK1612" s="43"/>
      <c r="AL1612" s="43"/>
      <c r="AM1612" s="43"/>
      <c r="AN1612" s="43"/>
      <c r="AO1612" s="43"/>
      <c r="AP1612" s="43"/>
      <c r="AQ1612" s="43"/>
      <c r="AR1612" s="43"/>
      <c r="AS1612" s="43"/>
      <c r="AT1612" s="43"/>
      <c r="AU1612" s="43"/>
      <c r="AV1612" s="43"/>
    </row>
    <row r="1613" ht="15.75" spans="1:48">
      <c r="A1613" s="12">
        <v>1609</v>
      </c>
      <c r="B1613" s="44">
        <v>4504</v>
      </c>
      <c r="C1613" s="45" t="s">
        <v>304</v>
      </c>
      <c r="D1613" s="46">
        <v>19</v>
      </c>
      <c r="E1613" s="47" t="s">
        <v>50</v>
      </c>
      <c r="F1613" s="48">
        <v>6.5</v>
      </c>
      <c r="G1613" s="38">
        <v>1.17</v>
      </c>
      <c r="H1613" s="39"/>
      <c r="I1613" s="39"/>
      <c r="J1613" s="39"/>
      <c r="K1613" s="39"/>
      <c r="L1613" s="39"/>
      <c r="M1613" s="39"/>
      <c r="N1613" s="39"/>
      <c r="O1613" s="39"/>
      <c r="P1613" s="39"/>
      <c r="Q1613" s="39">
        <v>1.17</v>
      </c>
      <c r="R1613" s="39"/>
      <c r="S1613" s="39"/>
      <c r="T1613" s="39"/>
      <c r="U1613" s="39"/>
      <c r="V1613" s="39"/>
      <c r="W1613" s="39"/>
      <c r="X1613" s="49" t="s">
        <v>194</v>
      </c>
      <c r="Y1613" s="50">
        <v>2177.5</v>
      </c>
      <c r="Z1613" s="51">
        <v>2160</v>
      </c>
      <c r="AA1613" s="52">
        <f t="shared" si="38"/>
        <v>0.991963260619977</v>
      </c>
      <c r="AB1613" s="12">
        <v>2160</v>
      </c>
      <c r="AC1613" s="12">
        <v>0</v>
      </c>
      <c r="AD1613" s="43"/>
      <c r="AE1613" s="43"/>
      <c r="AF1613" s="43"/>
      <c r="AG1613" s="43"/>
      <c r="AH1613" s="43"/>
      <c r="AI1613" s="43"/>
      <c r="AJ1613" s="43"/>
      <c r="AK1613" s="43"/>
      <c r="AL1613" s="43"/>
      <c r="AM1613" s="43"/>
      <c r="AN1613" s="43"/>
      <c r="AO1613" s="43"/>
      <c r="AP1613" s="43"/>
      <c r="AQ1613" s="43"/>
      <c r="AR1613" s="43"/>
      <c r="AS1613" s="43"/>
      <c r="AT1613" s="43"/>
      <c r="AU1613" s="43"/>
      <c r="AV1613" s="43"/>
    </row>
    <row r="1614" ht="15.75" spans="1:48">
      <c r="A1614" s="12">
        <v>1610</v>
      </c>
      <c r="B1614" s="44">
        <v>4504</v>
      </c>
      <c r="C1614" s="45" t="s">
        <v>304</v>
      </c>
      <c r="D1614" s="46"/>
      <c r="E1614" s="47" t="s">
        <v>50</v>
      </c>
      <c r="F1614" s="48">
        <v>2.74725274725275</v>
      </c>
      <c r="G1614" s="38">
        <v>0</v>
      </c>
      <c r="H1614" s="39"/>
      <c r="I1614" s="39"/>
      <c r="J1614" s="39"/>
      <c r="K1614" s="39"/>
      <c r="L1614" s="39"/>
      <c r="M1614" s="39"/>
      <c r="N1614" s="39"/>
      <c r="O1614" s="39"/>
      <c r="P1614" s="39"/>
      <c r="Q1614" s="39"/>
      <c r="R1614" s="39"/>
      <c r="S1614" s="39"/>
      <c r="T1614" s="39"/>
      <c r="U1614" s="39"/>
      <c r="V1614" s="39"/>
      <c r="W1614" s="39"/>
      <c r="X1614" s="49" t="s">
        <v>63</v>
      </c>
      <c r="Y1614" s="50">
        <v>494.505494505494</v>
      </c>
      <c r="Z1614" s="51">
        <v>500</v>
      </c>
      <c r="AA1614" s="52">
        <f t="shared" si="38"/>
        <v>1.01111111111111</v>
      </c>
      <c r="AB1614" s="12">
        <v>500</v>
      </c>
      <c r="AC1614" s="12">
        <v>0</v>
      </c>
      <c r="AD1614" s="43"/>
      <c r="AE1614" s="43"/>
      <c r="AF1614" s="43"/>
      <c r="AG1614" s="43"/>
      <c r="AH1614" s="43"/>
      <c r="AI1614" s="43"/>
      <c r="AJ1614" s="43"/>
      <c r="AK1614" s="43"/>
      <c r="AL1614" s="43"/>
      <c r="AM1614" s="43"/>
      <c r="AN1614" s="43"/>
      <c r="AO1614" s="43"/>
      <c r="AP1614" s="43"/>
      <c r="AQ1614" s="43"/>
      <c r="AR1614" s="43"/>
      <c r="AS1614" s="43"/>
      <c r="AT1614" s="43"/>
      <c r="AU1614" s="43"/>
      <c r="AV1614" s="43"/>
    </row>
    <row r="1615" ht="15.75" spans="1:48">
      <c r="A1615" s="12">
        <v>1611</v>
      </c>
      <c r="B1615" s="44">
        <v>4504</v>
      </c>
      <c r="C1615" s="45" t="s">
        <v>304</v>
      </c>
      <c r="D1615" s="46"/>
      <c r="E1615" s="47" t="s">
        <v>50</v>
      </c>
      <c r="F1615" s="48">
        <v>1.64835164835165</v>
      </c>
      <c r="G1615" s="38">
        <v>0</v>
      </c>
      <c r="H1615" s="39"/>
      <c r="I1615" s="39"/>
      <c r="J1615" s="39"/>
      <c r="K1615" s="39"/>
      <c r="L1615" s="39"/>
      <c r="M1615" s="39"/>
      <c r="N1615" s="39"/>
      <c r="O1615" s="39"/>
      <c r="P1615" s="39"/>
      <c r="Q1615" s="39"/>
      <c r="R1615" s="39"/>
      <c r="S1615" s="39"/>
      <c r="T1615" s="39"/>
      <c r="U1615" s="39"/>
      <c r="V1615" s="39"/>
      <c r="W1615" s="39"/>
      <c r="X1615" s="49" t="s">
        <v>62</v>
      </c>
      <c r="Y1615" s="50">
        <v>296.703296703297</v>
      </c>
      <c r="Z1615" s="51">
        <v>300</v>
      </c>
      <c r="AA1615" s="52">
        <f t="shared" si="38"/>
        <v>1.01111111111111</v>
      </c>
      <c r="AB1615" s="12">
        <v>300</v>
      </c>
      <c r="AC1615" s="12">
        <v>0</v>
      </c>
      <c r="AD1615" s="43"/>
      <c r="AE1615" s="43"/>
      <c r="AF1615" s="43"/>
      <c r="AG1615" s="43"/>
      <c r="AH1615" s="43"/>
      <c r="AI1615" s="43"/>
      <c r="AJ1615" s="43"/>
      <c r="AK1615" s="43"/>
      <c r="AL1615" s="43"/>
      <c r="AM1615" s="43"/>
      <c r="AN1615" s="43"/>
      <c r="AO1615" s="43"/>
      <c r="AP1615" s="43"/>
      <c r="AQ1615" s="43"/>
      <c r="AR1615" s="43"/>
      <c r="AS1615" s="43"/>
      <c r="AT1615" s="43"/>
      <c r="AU1615" s="43"/>
      <c r="AV1615" s="43"/>
    </row>
    <row r="1616" ht="15.75" spans="1:48">
      <c r="A1616" s="12">
        <v>1612</v>
      </c>
      <c r="B1616" s="44">
        <v>655</v>
      </c>
      <c r="C1616" s="45" t="s">
        <v>198</v>
      </c>
      <c r="D1616" s="46">
        <v>19</v>
      </c>
      <c r="E1616" s="47" t="s">
        <v>50</v>
      </c>
      <c r="F1616" s="48">
        <v>6</v>
      </c>
      <c r="G1616" s="38">
        <v>1.67</v>
      </c>
      <c r="H1616" s="39"/>
      <c r="I1616" s="39"/>
      <c r="J1616" s="39"/>
      <c r="K1616" s="39">
        <v>0.33</v>
      </c>
      <c r="L1616" s="39"/>
      <c r="M1616" s="39"/>
      <c r="N1616" s="39"/>
      <c r="O1616" s="39"/>
      <c r="P1616" s="39"/>
      <c r="Q1616" s="39">
        <v>1.17</v>
      </c>
      <c r="R1616" s="39"/>
      <c r="S1616" s="39"/>
      <c r="T1616" s="39"/>
      <c r="U1616" s="39">
        <v>0.17</v>
      </c>
      <c r="V1616" s="39"/>
      <c r="W1616" s="39"/>
      <c r="X1616" s="49" t="s">
        <v>56</v>
      </c>
      <c r="Y1616" s="50">
        <v>2010</v>
      </c>
      <c r="Z1616" s="51">
        <v>2060</v>
      </c>
      <c r="AA1616" s="52">
        <f t="shared" si="38"/>
        <v>1.02487562189055</v>
      </c>
      <c r="AB1616" s="12">
        <v>2060</v>
      </c>
      <c r="AC1616" s="12">
        <v>0</v>
      </c>
      <c r="AD1616" s="43"/>
      <c r="AE1616" s="43"/>
      <c r="AF1616" s="43"/>
      <c r="AG1616" s="43"/>
      <c r="AH1616" s="43"/>
      <c r="AI1616" s="43"/>
      <c r="AJ1616" s="43"/>
      <c r="AK1616" s="43"/>
      <c r="AL1616" s="43"/>
      <c r="AM1616" s="43"/>
      <c r="AN1616" s="43"/>
      <c r="AO1616" s="43"/>
      <c r="AP1616" s="43"/>
      <c r="AQ1616" s="43"/>
      <c r="AR1616" s="43"/>
      <c r="AS1616" s="43"/>
      <c r="AT1616" s="43"/>
      <c r="AU1616" s="43"/>
      <c r="AV1616" s="43"/>
    </row>
    <row r="1617" ht="15.75" spans="1:48">
      <c r="A1617" s="12">
        <v>1613</v>
      </c>
      <c r="B1617" s="44">
        <v>655</v>
      </c>
      <c r="C1617" s="45" t="s">
        <v>198</v>
      </c>
      <c r="D1617" s="46">
        <v>19</v>
      </c>
      <c r="E1617" s="47" t="s">
        <v>50</v>
      </c>
      <c r="F1617" s="48">
        <v>4.33</v>
      </c>
      <c r="G1617" s="38">
        <v>0</v>
      </c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  <c r="S1617" s="39"/>
      <c r="T1617" s="39"/>
      <c r="U1617" s="39"/>
      <c r="V1617" s="39"/>
      <c r="W1617" s="39"/>
      <c r="X1617" s="49" t="s">
        <v>194</v>
      </c>
      <c r="Y1617" s="50">
        <v>1450.55</v>
      </c>
      <c r="Z1617" s="51">
        <v>1440</v>
      </c>
      <c r="AA1617" s="52">
        <f t="shared" si="38"/>
        <v>0.992726896694357</v>
      </c>
      <c r="AB1617" s="12">
        <v>1440</v>
      </c>
      <c r="AC1617" s="12">
        <v>0</v>
      </c>
      <c r="AD1617" s="43"/>
      <c r="AE1617" s="43"/>
      <c r="AF1617" s="43"/>
      <c r="AG1617" s="43"/>
      <c r="AH1617" s="43"/>
      <c r="AI1617" s="43"/>
      <c r="AJ1617" s="43"/>
      <c r="AK1617" s="43"/>
      <c r="AL1617" s="43"/>
      <c r="AM1617" s="43"/>
      <c r="AN1617" s="43"/>
      <c r="AO1617" s="43"/>
      <c r="AP1617" s="43"/>
      <c r="AQ1617" s="43"/>
      <c r="AR1617" s="43"/>
      <c r="AS1617" s="43"/>
      <c r="AT1617" s="43"/>
      <c r="AU1617" s="43"/>
      <c r="AV1617" s="43"/>
    </row>
    <row r="1618" ht="15.75" spans="1:48">
      <c r="A1618" s="12">
        <v>1614</v>
      </c>
      <c r="B1618" s="44">
        <v>4185</v>
      </c>
      <c r="C1618" s="45" t="s">
        <v>72</v>
      </c>
      <c r="D1618" s="46" t="s">
        <v>78</v>
      </c>
      <c r="E1618" s="47" t="s">
        <v>50</v>
      </c>
      <c r="F1618" s="48">
        <v>10.33</v>
      </c>
      <c r="G1618" s="38">
        <v>1.67</v>
      </c>
      <c r="H1618" s="39"/>
      <c r="I1618" s="39"/>
      <c r="J1618" s="39"/>
      <c r="K1618" s="39">
        <v>0.17</v>
      </c>
      <c r="L1618" s="39"/>
      <c r="M1618" s="39"/>
      <c r="N1618" s="39"/>
      <c r="O1618" s="39"/>
      <c r="P1618" s="39"/>
      <c r="Q1618" s="39">
        <v>1.17</v>
      </c>
      <c r="R1618" s="39"/>
      <c r="S1618" s="39"/>
      <c r="T1618" s="39"/>
      <c r="U1618" s="39">
        <v>0.33</v>
      </c>
      <c r="V1618" s="39"/>
      <c r="W1618" s="39"/>
      <c r="X1618" s="49" t="s">
        <v>79</v>
      </c>
      <c r="Y1618" s="50">
        <v>68797.8</v>
      </c>
      <c r="Z1618" s="51">
        <v>58640</v>
      </c>
      <c r="AA1618" s="52">
        <f t="shared" si="38"/>
        <v>0.852352836863969</v>
      </c>
      <c r="AB1618" s="12">
        <v>58560</v>
      </c>
      <c r="AC1618" s="12">
        <v>80</v>
      </c>
      <c r="AD1618" s="43"/>
      <c r="AE1618" s="43"/>
      <c r="AF1618" s="43"/>
      <c r="AG1618" s="19">
        <v>80</v>
      </c>
      <c r="AH1618" s="43"/>
      <c r="AI1618" s="43"/>
      <c r="AJ1618" s="43"/>
      <c r="AK1618" s="43"/>
      <c r="AL1618" s="43"/>
      <c r="AM1618" s="43"/>
      <c r="AN1618" s="43"/>
      <c r="AO1618" s="43"/>
      <c r="AP1618" s="43"/>
      <c r="AQ1618" s="43"/>
      <c r="AR1618" s="43"/>
      <c r="AS1618" s="43"/>
      <c r="AT1618" s="43"/>
      <c r="AU1618" s="43"/>
      <c r="AV1618" s="43"/>
    </row>
    <row r="1619" ht="15.75" spans="1:48">
      <c r="A1619" s="12">
        <v>1615</v>
      </c>
      <c r="B1619" s="44">
        <v>4185</v>
      </c>
      <c r="C1619" s="45" t="s">
        <v>72</v>
      </c>
      <c r="D1619" s="46" t="s">
        <v>207</v>
      </c>
      <c r="E1619" s="47" t="s">
        <v>50</v>
      </c>
      <c r="F1619" s="48">
        <v>9.33</v>
      </c>
      <c r="G1619" s="38">
        <v>2.67</v>
      </c>
      <c r="H1619" s="39"/>
      <c r="I1619" s="39"/>
      <c r="J1619" s="39"/>
      <c r="K1619" s="39">
        <v>1.17</v>
      </c>
      <c r="L1619" s="39"/>
      <c r="M1619" s="39"/>
      <c r="N1619" s="39"/>
      <c r="O1619" s="39"/>
      <c r="P1619" s="39"/>
      <c r="Q1619" s="39">
        <v>1.17</v>
      </c>
      <c r="R1619" s="39"/>
      <c r="S1619" s="39"/>
      <c r="T1619" s="39"/>
      <c r="U1619" s="39">
        <v>0.33</v>
      </c>
      <c r="V1619" s="39"/>
      <c r="W1619" s="39"/>
      <c r="X1619" s="49" t="s">
        <v>79</v>
      </c>
      <c r="Y1619" s="50">
        <v>62137.8</v>
      </c>
      <c r="Z1619" s="51">
        <v>54064</v>
      </c>
      <c r="AA1619" s="52">
        <f t="shared" si="38"/>
        <v>0.870066207686786</v>
      </c>
      <c r="AB1619" s="12">
        <v>53936</v>
      </c>
      <c r="AC1619" s="12">
        <v>128</v>
      </c>
      <c r="AD1619" s="43"/>
      <c r="AE1619" s="43"/>
      <c r="AF1619" s="43"/>
      <c r="AG1619" s="19">
        <v>128</v>
      </c>
      <c r="AH1619" s="43"/>
      <c r="AI1619" s="43"/>
      <c r="AJ1619" s="43"/>
      <c r="AK1619" s="43"/>
      <c r="AL1619" s="43"/>
      <c r="AM1619" s="43"/>
      <c r="AN1619" s="43"/>
      <c r="AO1619" s="43"/>
      <c r="AP1619" s="43"/>
      <c r="AQ1619" s="43"/>
      <c r="AR1619" s="43"/>
      <c r="AS1619" s="43"/>
      <c r="AT1619" s="43"/>
      <c r="AU1619" s="43"/>
      <c r="AV1619" s="43"/>
    </row>
    <row r="1620" ht="15.75" spans="1:48">
      <c r="A1620" s="12">
        <v>1616</v>
      </c>
      <c r="B1620" s="44">
        <v>4185</v>
      </c>
      <c r="C1620" s="45" t="s">
        <v>72</v>
      </c>
      <c r="D1620" s="46" t="s">
        <v>76</v>
      </c>
      <c r="E1620" s="47" t="s">
        <v>50</v>
      </c>
      <c r="F1620" s="48">
        <v>5.5</v>
      </c>
      <c r="G1620" s="38">
        <v>0.5</v>
      </c>
      <c r="H1620" s="39"/>
      <c r="I1620" s="39"/>
      <c r="J1620" s="39"/>
      <c r="K1620" s="39"/>
      <c r="L1620" s="39"/>
      <c r="M1620" s="39"/>
      <c r="N1620" s="39"/>
      <c r="O1620" s="39"/>
      <c r="P1620" s="39"/>
      <c r="Q1620" s="39">
        <v>0.33</v>
      </c>
      <c r="R1620" s="39"/>
      <c r="S1620" s="39"/>
      <c r="T1620" s="39"/>
      <c r="U1620" s="39">
        <v>0.17</v>
      </c>
      <c r="V1620" s="39"/>
      <c r="W1620" s="39"/>
      <c r="X1620" s="49" t="s">
        <v>77</v>
      </c>
      <c r="Y1620" s="50">
        <v>23100</v>
      </c>
      <c r="Z1620" s="51">
        <v>30320</v>
      </c>
      <c r="AA1620" s="52">
        <f t="shared" ref="AA1620:AA1651" si="39">IFERROR(Z1620/Y1620,0)</f>
        <v>1.31255411255411</v>
      </c>
      <c r="AB1620" s="12">
        <v>30240</v>
      </c>
      <c r="AC1620" s="12">
        <v>80</v>
      </c>
      <c r="AD1620" s="43"/>
      <c r="AE1620" s="43"/>
      <c r="AF1620" s="43"/>
      <c r="AG1620" s="19">
        <v>80</v>
      </c>
      <c r="AH1620" s="43"/>
      <c r="AI1620" s="43"/>
      <c r="AJ1620" s="43"/>
      <c r="AK1620" s="43"/>
      <c r="AL1620" s="43"/>
      <c r="AM1620" s="43"/>
      <c r="AN1620" s="43"/>
      <c r="AO1620" s="43"/>
      <c r="AP1620" s="43"/>
      <c r="AQ1620" s="43"/>
      <c r="AR1620" s="43"/>
      <c r="AS1620" s="43"/>
      <c r="AT1620" s="43"/>
      <c r="AU1620" s="43"/>
      <c r="AV1620" s="43"/>
    </row>
    <row r="1621" ht="15.75" spans="1:48">
      <c r="A1621" s="12">
        <v>1617</v>
      </c>
      <c r="B1621" s="44">
        <v>4352</v>
      </c>
      <c r="C1621" s="45" t="s">
        <v>132</v>
      </c>
      <c r="D1621" s="46" t="s">
        <v>129</v>
      </c>
      <c r="E1621" s="47" t="s">
        <v>50</v>
      </c>
      <c r="F1621" s="48">
        <v>10</v>
      </c>
      <c r="G1621" s="38">
        <v>2.01</v>
      </c>
      <c r="H1621" s="39"/>
      <c r="I1621" s="39"/>
      <c r="J1621" s="39"/>
      <c r="K1621" s="39">
        <v>0.17</v>
      </c>
      <c r="L1621" s="39"/>
      <c r="M1621" s="39"/>
      <c r="N1621" s="39"/>
      <c r="O1621" s="39"/>
      <c r="P1621" s="39"/>
      <c r="Q1621" s="39">
        <v>1.17</v>
      </c>
      <c r="R1621" s="39"/>
      <c r="S1621" s="39"/>
      <c r="T1621" s="39"/>
      <c r="U1621" s="39">
        <v>0.67</v>
      </c>
      <c r="V1621" s="39"/>
      <c r="W1621" s="39"/>
      <c r="X1621" s="49" t="s">
        <v>311</v>
      </c>
      <c r="Y1621" s="50">
        <v>20000</v>
      </c>
      <c r="Z1621" s="51">
        <v>20136</v>
      </c>
      <c r="AA1621" s="52">
        <f t="shared" si="39"/>
        <v>1.0068</v>
      </c>
      <c r="AB1621" s="12">
        <v>20112</v>
      </c>
      <c r="AC1621" s="12">
        <v>24</v>
      </c>
      <c r="AD1621" s="43"/>
      <c r="AE1621" s="43"/>
      <c r="AF1621" s="43"/>
      <c r="AG1621" s="19">
        <v>24</v>
      </c>
      <c r="AH1621" s="43"/>
      <c r="AI1621" s="43"/>
      <c r="AJ1621" s="43"/>
      <c r="AK1621" s="43"/>
      <c r="AL1621" s="43"/>
      <c r="AM1621" s="43"/>
      <c r="AN1621" s="43"/>
      <c r="AO1621" s="43"/>
      <c r="AP1621" s="43"/>
      <c r="AQ1621" s="43"/>
      <c r="AR1621" s="43"/>
      <c r="AS1621" s="43"/>
      <c r="AT1621" s="43"/>
      <c r="AU1621" s="43"/>
      <c r="AV1621" s="43"/>
    </row>
    <row r="1622" ht="15.75" spans="1:48">
      <c r="A1622" s="12">
        <v>1618</v>
      </c>
      <c r="B1622" s="44">
        <v>4496</v>
      </c>
      <c r="C1622" s="45" t="s">
        <v>133</v>
      </c>
      <c r="D1622" s="46"/>
      <c r="E1622" s="47" t="s">
        <v>50</v>
      </c>
      <c r="F1622" s="48">
        <v>10.83</v>
      </c>
      <c r="G1622" s="38">
        <v>1.17</v>
      </c>
      <c r="H1622" s="39"/>
      <c r="I1622" s="39"/>
      <c r="J1622" s="39"/>
      <c r="K1622" s="39"/>
      <c r="L1622" s="39"/>
      <c r="M1622" s="39"/>
      <c r="N1622" s="39"/>
      <c r="O1622" s="39"/>
      <c r="P1622" s="39"/>
      <c r="Q1622" s="39">
        <v>1.17</v>
      </c>
      <c r="R1622" s="39"/>
      <c r="S1622" s="39"/>
      <c r="T1622" s="39"/>
      <c r="U1622" s="39"/>
      <c r="V1622" s="39"/>
      <c r="W1622" s="39"/>
      <c r="X1622" s="49" t="s">
        <v>140</v>
      </c>
      <c r="Y1622" s="50">
        <v>0</v>
      </c>
      <c r="Z1622" s="51"/>
      <c r="AA1622" s="52">
        <f t="shared" si="39"/>
        <v>0</v>
      </c>
      <c r="AB1622" s="12">
        <v>0</v>
      </c>
      <c r="AC1622" s="12">
        <v>0</v>
      </c>
      <c r="AD1622" s="43"/>
      <c r="AE1622" s="43"/>
      <c r="AF1622" s="43"/>
      <c r="AG1622" s="43"/>
      <c r="AH1622" s="43"/>
      <c r="AI1622" s="43"/>
      <c r="AJ1622" s="43"/>
      <c r="AK1622" s="43"/>
      <c r="AL1622" s="43"/>
      <c r="AM1622" s="43"/>
      <c r="AN1622" s="43"/>
      <c r="AO1622" s="43"/>
      <c r="AP1622" s="43"/>
      <c r="AQ1622" s="43"/>
      <c r="AR1622" s="43"/>
      <c r="AS1622" s="43"/>
      <c r="AT1622" s="43"/>
      <c r="AU1622" s="43"/>
      <c r="AV1622" s="43"/>
    </row>
    <row r="1623" ht="15.75" spans="1:48">
      <c r="A1623" s="12">
        <v>1619</v>
      </c>
      <c r="B1623" s="44">
        <v>4019</v>
      </c>
      <c r="C1623" s="45" t="s">
        <v>134</v>
      </c>
      <c r="D1623" s="46" t="s">
        <v>138</v>
      </c>
      <c r="E1623" s="47" t="s">
        <v>50</v>
      </c>
      <c r="F1623" s="48">
        <v>7</v>
      </c>
      <c r="G1623" s="38">
        <v>1.34</v>
      </c>
      <c r="H1623" s="39"/>
      <c r="I1623" s="39"/>
      <c r="J1623" s="39"/>
      <c r="K1623" s="39"/>
      <c r="L1623" s="39"/>
      <c r="M1623" s="39"/>
      <c r="N1623" s="39"/>
      <c r="O1623" s="39"/>
      <c r="P1623" s="39"/>
      <c r="Q1623" s="39">
        <v>1.17</v>
      </c>
      <c r="R1623" s="39"/>
      <c r="S1623" s="39"/>
      <c r="T1623" s="39"/>
      <c r="U1623" s="39">
        <v>0.17</v>
      </c>
      <c r="V1623" s="39"/>
      <c r="W1623" s="39"/>
      <c r="X1623" s="49" t="s">
        <v>201</v>
      </c>
      <c r="Y1623" s="50">
        <v>11375</v>
      </c>
      <c r="Z1623" s="51">
        <v>10988</v>
      </c>
      <c r="AA1623" s="52">
        <f t="shared" si="39"/>
        <v>0.965978021978022</v>
      </c>
      <c r="AB1623" s="12">
        <v>10964</v>
      </c>
      <c r="AC1623" s="12">
        <v>24</v>
      </c>
      <c r="AD1623" s="43"/>
      <c r="AE1623" s="43"/>
      <c r="AF1623" s="43"/>
      <c r="AG1623" s="19">
        <v>6</v>
      </c>
      <c r="AH1623" s="43"/>
      <c r="AI1623" s="43"/>
      <c r="AJ1623" s="43"/>
      <c r="AK1623" s="43"/>
      <c r="AL1623" s="43"/>
      <c r="AM1623" s="43"/>
      <c r="AN1623" s="19">
        <v>18</v>
      </c>
      <c r="AO1623" s="43"/>
      <c r="AP1623" s="43"/>
      <c r="AQ1623" s="43"/>
      <c r="AR1623" s="43"/>
      <c r="AS1623" s="43"/>
      <c r="AT1623" s="43"/>
      <c r="AU1623" s="43"/>
      <c r="AV1623" s="43"/>
    </row>
    <row r="1624" ht="15.75" spans="1:48">
      <c r="A1624" s="12">
        <v>1620</v>
      </c>
      <c r="B1624" s="44">
        <v>4019</v>
      </c>
      <c r="C1624" s="45" t="s">
        <v>134</v>
      </c>
      <c r="D1624" s="46" t="s">
        <v>73</v>
      </c>
      <c r="E1624" s="47" t="s">
        <v>50</v>
      </c>
      <c r="F1624" s="48">
        <v>3.5</v>
      </c>
      <c r="G1624" s="38">
        <v>0.17</v>
      </c>
      <c r="H1624" s="39"/>
      <c r="I1624" s="39"/>
      <c r="J1624" s="39"/>
      <c r="K1624" s="39"/>
      <c r="L1624" s="39"/>
      <c r="M1624" s="39"/>
      <c r="N1624" s="39"/>
      <c r="O1624" s="39"/>
      <c r="P1624" s="39"/>
      <c r="Q1624" s="39"/>
      <c r="R1624" s="39"/>
      <c r="S1624" s="39"/>
      <c r="T1624" s="39"/>
      <c r="U1624" s="39">
        <v>0.17</v>
      </c>
      <c r="V1624" s="39"/>
      <c r="W1624" s="39"/>
      <c r="X1624" s="49" t="s">
        <v>139</v>
      </c>
      <c r="Y1624" s="50">
        <v>5337.5</v>
      </c>
      <c r="Z1624" s="51"/>
      <c r="AA1624" s="52">
        <f t="shared" si="39"/>
        <v>0</v>
      </c>
      <c r="AB1624" s="12">
        <v>-12</v>
      </c>
      <c r="AC1624" s="12">
        <v>12</v>
      </c>
      <c r="AD1624" s="43"/>
      <c r="AE1624" s="43"/>
      <c r="AF1624" s="43"/>
      <c r="AG1624" s="19">
        <v>6</v>
      </c>
      <c r="AH1624" s="43"/>
      <c r="AI1624" s="43"/>
      <c r="AJ1624" s="43"/>
      <c r="AK1624" s="43"/>
      <c r="AL1624" s="43"/>
      <c r="AM1624" s="43"/>
      <c r="AN1624" s="19">
        <v>6</v>
      </c>
      <c r="AO1624" s="43"/>
      <c r="AP1624" s="43"/>
      <c r="AQ1624" s="43"/>
      <c r="AR1624" s="43"/>
      <c r="AS1624" s="43"/>
      <c r="AT1624" s="43"/>
      <c r="AU1624" s="43"/>
      <c r="AV1624" s="43"/>
    </row>
    <row r="1625" ht="15.75" spans="1:48">
      <c r="A1625" s="12">
        <v>1621</v>
      </c>
      <c r="B1625" s="44">
        <v>4490</v>
      </c>
      <c r="C1625" s="45" t="s">
        <v>91</v>
      </c>
      <c r="D1625" s="46">
        <v>3</v>
      </c>
      <c r="E1625" s="47" t="s">
        <v>50</v>
      </c>
      <c r="F1625" s="48">
        <v>9.5</v>
      </c>
      <c r="G1625" s="38">
        <v>1.67</v>
      </c>
      <c r="H1625" s="39"/>
      <c r="I1625" s="39"/>
      <c r="J1625" s="39"/>
      <c r="K1625" s="39"/>
      <c r="L1625" s="39"/>
      <c r="M1625" s="39"/>
      <c r="N1625" s="39"/>
      <c r="O1625" s="39"/>
      <c r="P1625" s="39"/>
      <c r="Q1625" s="39">
        <v>1.17</v>
      </c>
      <c r="R1625" s="39"/>
      <c r="S1625" s="39"/>
      <c r="T1625" s="39">
        <v>0.33</v>
      </c>
      <c r="U1625" s="39">
        <v>0.17</v>
      </c>
      <c r="V1625" s="39"/>
      <c r="W1625" s="39"/>
      <c r="X1625" s="49">
        <v>9740</v>
      </c>
      <c r="Y1625" s="50">
        <v>3990</v>
      </c>
      <c r="Z1625" s="51">
        <v>3337</v>
      </c>
      <c r="AA1625" s="52">
        <f t="shared" si="39"/>
        <v>0.836340852130326</v>
      </c>
      <c r="AB1625" s="12">
        <v>3303</v>
      </c>
      <c r="AC1625" s="12">
        <v>34</v>
      </c>
      <c r="AD1625" s="19">
        <v>34</v>
      </c>
      <c r="AE1625" s="43"/>
      <c r="AF1625" s="43"/>
      <c r="AG1625" s="43"/>
      <c r="AH1625" s="43"/>
      <c r="AI1625" s="43"/>
      <c r="AJ1625" s="43"/>
      <c r="AK1625" s="43"/>
      <c r="AL1625" s="43"/>
      <c r="AM1625" s="43"/>
      <c r="AN1625" s="43"/>
      <c r="AO1625" s="43"/>
      <c r="AP1625" s="43"/>
      <c r="AQ1625" s="43"/>
      <c r="AR1625" s="43"/>
      <c r="AS1625" s="43"/>
      <c r="AT1625" s="43"/>
      <c r="AU1625" s="43"/>
      <c r="AV1625" s="43"/>
    </row>
    <row r="1626" ht="15.75" spans="1:48">
      <c r="A1626" s="12">
        <v>1622</v>
      </c>
      <c r="B1626" s="44" t="s">
        <v>368</v>
      </c>
      <c r="C1626" s="45" t="s">
        <v>369</v>
      </c>
      <c r="D1626" s="46">
        <v>21</v>
      </c>
      <c r="E1626" s="47" t="s">
        <v>50</v>
      </c>
      <c r="F1626" s="48">
        <v>7.17</v>
      </c>
      <c r="G1626" s="38">
        <v>0.83</v>
      </c>
      <c r="H1626" s="39"/>
      <c r="I1626" s="39"/>
      <c r="J1626" s="39"/>
      <c r="K1626" s="39"/>
      <c r="L1626" s="39"/>
      <c r="M1626" s="39"/>
      <c r="N1626" s="39"/>
      <c r="O1626" s="39"/>
      <c r="P1626" s="39"/>
      <c r="Q1626" s="39">
        <v>0.83</v>
      </c>
      <c r="R1626" s="39"/>
      <c r="S1626" s="39"/>
      <c r="T1626" s="39"/>
      <c r="U1626" s="39"/>
      <c r="V1626" s="39"/>
      <c r="W1626" s="39"/>
      <c r="X1626" s="49" t="s">
        <v>96</v>
      </c>
      <c r="Y1626" s="50">
        <v>10396.5</v>
      </c>
      <c r="Z1626" s="51">
        <v>3000</v>
      </c>
      <c r="AA1626" s="52">
        <f t="shared" si="39"/>
        <v>0.28855864954552</v>
      </c>
      <c r="AB1626" s="12">
        <v>3000</v>
      </c>
      <c r="AC1626" s="12">
        <v>0</v>
      </c>
      <c r="AD1626" s="43"/>
      <c r="AE1626" s="43"/>
      <c r="AF1626" s="43"/>
      <c r="AG1626" s="43"/>
      <c r="AH1626" s="43"/>
      <c r="AI1626" s="43"/>
      <c r="AJ1626" s="43"/>
      <c r="AK1626" s="43"/>
      <c r="AL1626" s="43"/>
      <c r="AM1626" s="43"/>
      <c r="AN1626" s="43"/>
      <c r="AO1626" s="43"/>
      <c r="AP1626" s="43"/>
      <c r="AQ1626" s="43"/>
      <c r="AR1626" s="43"/>
      <c r="AS1626" s="43"/>
      <c r="AT1626" s="43"/>
      <c r="AU1626" s="43"/>
      <c r="AV1626" s="43"/>
    </row>
    <row r="1627" ht="15.75" spans="1:48">
      <c r="A1627" s="12">
        <v>1623</v>
      </c>
      <c r="B1627" s="44" t="s">
        <v>357</v>
      </c>
      <c r="C1627" s="45" t="s">
        <v>358</v>
      </c>
      <c r="D1627" s="46">
        <v>18</v>
      </c>
      <c r="E1627" s="47" t="s">
        <v>50</v>
      </c>
      <c r="F1627" s="48">
        <v>6.5</v>
      </c>
      <c r="G1627" s="38">
        <v>1.5</v>
      </c>
      <c r="H1627" s="39"/>
      <c r="I1627" s="39"/>
      <c r="J1627" s="39"/>
      <c r="K1627" s="39"/>
      <c r="L1627" s="39"/>
      <c r="M1627" s="39"/>
      <c r="N1627" s="39"/>
      <c r="O1627" s="39"/>
      <c r="P1627" s="39"/>
      <c r="Q1627" s="39">
        <v>0.83</v>
      </c>
      <c r="R1627" s="39"/>
      <c r="S1627" s="39"/>
      <c r="T1627" s="39">
        <v>0.5</v>
      </c>
      <c r="U1627" s="39">
        <v>0.17</v>
      </c>
      <c r="V1627" s="39"/>
      <c r="W1627" s="39"/>
      <c r="X1627" s="49">
        <v>2801</v>
      </c>
      <c r="Y1627" s="50">
        <v>3932.5</v>
      </c>
      <c r="Z1627" s="51">
        <v>2400</v>
      </c>
      <c r="AA1627" s="52">
        <f t="shared" si="39"/>
        <v>0.610298792116974</v>
      </c>
      <c r="AB1627" s="12">
        <v>2160</v>
      </c>
      <c r="AC1627" s="12">
        <v>240</v>
      </c>
      <c r="AD1627" s="19">
        <v>240</v>
      </c>
      <c r="AE1627" s="43"/>
      <c r="AF1627" s="43"/>
      <c r="AG1627" s="43"/>
      <c r="AH1627" s="43"/>
      <c r="AI1627" s="43"/>
      <c r="AJ1627" s="43"/>
      <c r="AK1627" s="43"/>
      <c r="AL1627" s="43"/>
      <c r="AM1627" s="43"/>
      <c r="AN1627" s="43"/>
      <c r="AO1627" s="43"/>
      <c r="AP1627" s="43"/>
      <c r="AQ1627" s="43"/>
      <c r="AR1627" s="43"/>
      <c r="AS1627" s="43"/>
      <c r="AT1627" s="43"/>
      <c r="AU1627" s="43"/>
      <c r="AV1627" s="43"/>
    </row>
    <row r="1628" ht="15.75" spans="1:48">
      <c r="A1628" s="12">
        <v>1624</v>
      </c>
      <c r="B1628" s="44">
        <v>4360</v>
      </c>
      <c r="C1628" s="45" t="s">
        <v>97</v>
      </c>
      <c r="D1628" s="46">
        <v>6</v>
      </c>
      <c r="E1628" s="47" t="s">
        <v>50</v>
      </c>
      <c r="F1628" s="48">
        <v>8</v>
      </c>
      <c r="G1628" s="38">
        <v>1.51</v>
      </c>
      <c r="H1628" s="39"/>
      <c r="I1628" s="39"/>
      <c r="J1628" s="39"/>
      <c r="K1628" s="39"/>
      <c r="L1628" s="39"/>
      <c r="M1628" s="39"/>
      <c r="N1628" s="39"/>
      <c r="O1628" s="39"/>
      <c r="P1628" s="39"/>
      <c r="Q1628" s="39">
        <v>1.17</v>
      </c>
      <c r="R1628" s="39"/>
      <c r="S1628" s="39"/>
      <c r="T1628" s="39">
        <v>0.17</v>
      </c>
      <c r="U1628" s="39">
        <v>0.17</v>
      </c>
      <c r="V1628" s="39"/>
      <c r="W1628" s="39"/>
      <c r="X1628" s="49">
        <v>1090</v>
      </c>
      <c r="Y1628" s="50">
        <v>5280</v>
      </c>
      <c r="Z1628" s="51">
        <v>5017</v>
      </c>
      <c r="AA1628" s="52">
        <f t="shared" si="39"/>
        <v>0.950189393939394</v>
      </c>
      <c r="AB1628" s="12">
        <v>4966</v>
      </c>
      <c r="AC1628" s="12">
        <v>51</v>
      </c>
      <c r="AD1628" s="19">
        <v>51</v>
      </c>
      <c r="AE1628" s="43"/>
      <c r="AF1628" s="43"/>
      <c r="AG1628" s="43"/>
      <c r="AH1628" s="43"/>
      <c r="AI1628" s="43"/>
      <c r="AJ1628" s="43"/>
      <c r="AK1628" s="43"/>
      <c r="AL1628" s="43"/>
      <c r="AM1628" s="43"/>
      <c r="AN1628" s="43"/>
      <c r="AO1628" s="43"/>
      <c r="AP1628" s="43"/>
      <c r="AQ1628" s="43"/>
      <c r="AR1628" s="43"/>
      <c r="AS1628" s="43"/>
      <c r="AT1628" s="43"/>
      <c r="AU1628" s="43"/>
      <c r="AV1628" s="43"/>
    </row>
    <row r="1629" ht="15.75" spans="1:48">
      <c r="A1629" s="12">
        <v>1625</v>
      </c>
      <c r="B1629" s="44">
        <v>4412</v>
      </c>
      <c r="C1629" s="45" t="s">
        <v>177</v>
      </c>
      <c r="D1629" s="46">
        <v>16</v>
      </c>
      <c r="E1629" s="47" t="s">
        <v>50</v>
      </c>
      <c r="F1629" s="48">
        <v>5.16</v>
      </c>
      <c r="G1629" s="38">
        <v>1.67</v>
      </c>
      <c r="H1629" s="39"/>
      <c r="I1629" s="39"/>
      <c r="J1629" s="39"/>
      <c r="K1629" s="39"/>
      <c r="L1629" s="39"/>
      <c r="M1629" s="39"/>
      <c r="N1629" s="39"/>
      <c r="O1629" s="39"/>
      <c r="P1629" s="39"/>
      <c r="Q1629" s="39">
        <v>1.17</v>
      </c>
      <c r="R1629" s="39"/>
      <c r="S1629" s="39"/>
      <c r="T1629" s="39">
        <v>0.33</v>
      </c>
      <c r="U1629" s="39">
        <v>0.17</v>
      </c>
      <c r="V1629" s="39"/>
      <c r="W1629" s="39"/>
      <c r="X1629" s="49">
        <v>7630</v>
      </c>
      <c r="Y1629" s="50">
        <v>928.8</v>
      </c>
      <c r="Z1629" s="51">
        <v>724</v>
      </c>
      <c r="AA1629" s="52">
        <f t="shared" si="39"/>
        <v>0.779500430663221</v>
      </c>
      <c r="AB1629" s="12">
        <v>628</v>
      </c>
      <c r="AC1629" s="12">
        <v>96</v>
      </c>
      <c r="AD1629" s="19">
        <v>96</v>
      </c>
      <c r="AE1629" s="43"/>
      <c r="AF1629" s="43"/>
      <c r="AG1629" s="43"/>
      <c r="AH1629" s="43"/>
      <c r="AI1629" s="43"/>
      <c r="AJ1629" s="43"/>
      <c r="AK1629" s="43"/>
      <c r="AL1629" s="43"/>
      <c r="AM1629" s="43"/>
      <c r="AN1629" s="43"/>
      <c r="AO1629" s="43"/>
      <c r="AP1629" s="43"/>
      <c r="AQ1629" s="43"/>
      <c r="AR1629" s="43"/>
      <c r="AS1629" s="43"/>
      <c r="AT1629" s="43"/>
      <c r="AU1629" s="43"/>
      <c r="AV1629" s="43"/>
    </row>
    <row r="1630" ht="15.75" spans="1:48">
      <c r="A1630" s="12">
        <v>1626</v>
      </c>
      <c r="B1630" s="44">
        <v>4412</v>
      </c>
      <c r="C1630" s="45" t="s">
        <v>177</v>
      </c>
      <c r="D1630" s="46">
        <v>15</v>
      </c>
      <c r="E1630" s="47" t="s">
        <v>50</v>
      </c>
      <c r="F1630" s="48">
        <v>2.67</v>
      </c>
      <c r="G1630" s="38">
        <v>0.34</v>
      </c>
      <c r="H1630" s="39"/>
      <c r="I1630" s="39"/>
      <c r="J1630" s="39"/>
      <c r="K1630" s="39"/>
      <c r="L1630" s="39"/>
      <c r="M1630" s="39"/>
      <c r="N1630" s="39"/>
      <c r="O1630" s="39"/>
      <c r="P1630" s="39"/>
      <c r="Q1630" s="39"/>
      <c r="R1630" s="39"/>
      <c r="S1630" s="39"/>
      <c r="T1630" s="39">
        <v>0.17</v>
      </c>
      <c r="U1630" s="39">
        <v>0.17</v>
      </c>
      <c r="V1630" s="39"/>
      <c r="W1630" s="39"/>
      <c r="X1630" s="49">
        <v>4563</v>
      </c>
      <c r="Y1630" s="50">
        <v>1602</v>
      </c>
      <c r="Z1630" s="51">
        <v>1150</v>
      </c>
      <c r="AA1630" s="52">
        <f t="shared" si="39"/>
        <v>0.717852684144819</v>
      </c>
      <c r="AB1630" s="12">
        <v>1096</v>
      </c>
      <c r="AC1630" s="12">
        <v>54</v>
      </c>
      <c r="AD1630" s="19">
        <v>54</v>
      </c>
      <c r="AE1630" s="43"/>
      <c r="AF1630" s="43"/>
      <c r="AG1630" s="43"/>
      <c r="AH1630" s="43"/>
      <c r="AI1630" s="43"/>
      <c r="AJ1630" s="43"/>
      <c r="AK1630" s="43"/>
      <c r="AL1630" s="43"/>
      <c r="AM1630" s="43"/>
      <c r="AN1630" s="43"/>
      <c r="AO1630" s="43"/>
      <c r="AP1630" s="43"/>
      <c r="AQ1630" s="43"/>
      <c r="AR1630" s="43"/>
      <c r="AS1630" s="43"/>
      <c r="AT1630" s="43"/>
      <c r="AU1630" s="43"/>
      <c r="AV1630" s="43"/>
    </row>
    <row r="1631" ht="15.75" spans="1:48">
      <c r="A1631" s="12">
        <v>1627</v>
      </c>
      <c r="B1631" s="44">
        <v>3268</v>
      </c>
      <c r="C1631" s="45" t="s">
        <v>80</v>
      </c>
      <c r="D1631" s="46"/>
      <c r="E1631" s="47" t="s">
        <v>50</v>
      </c>
      <c r="F1631" s="48">
        <v>0.33</v>
      </c>
      <c r="G1631" s="38">
        <v>1</v>
      </c>
      <c r="H1631" s="39"/>
      <c r="I1631" s="39"/>
      <c r="J1631" s="39"/>
      <c r="K1631" s="39"/>
      <c r="L1631" s="39"/>
      <c r="M1631" s="39"/>
      <c r="N1631" s="39"/>
      <c r="O1631" s="39"/>
      <c r="P1631" s="39"/>
      <c r="Q1631" s="39"/>
      <c r="R1631" s="39"/>
      <c r="S1631" s="39">
        <v>0.33</v>
      </c>
      <c r="T1631" s="39"/>
      <c r="U1631" s="39"/>
      <c r="V1631" s="39">
        <v>0.67</v>
      </c>
      <c r="W1631" s="39"/>
      <c r="X1631" s="49" t="s">
        <v>98</v>
      </c>
      <c r="Y1631" s="50">
        <v>155.1</v>
      </c>
      <c r="Z1631" s="51">
        <v>180</v>
      </c>
      <c r="AA1631" s="52">
        <f t="shared" si="39"/>
        <v>1.1605415860735</v>
      </c>
      <c r="AB1631" s="12">
        <v>180</v>
      </c>
      <c r="AC1631" s="12">
        <v>0</v>
      </c>
      <c r="AD1631" s="43"/>
      <c r="AE1631" s="43"/>
      <c r="AF1631" s="43"/>
      <c r="AG1631" s="43"/>
      <c r="AH1631" s="43"/>
      <c r="AI1631" s="43"/>
      <c r="AJ1631" s="43"/>
      <c r="AK1631" s="43"/>
      <c r="AL1631" s="43"/>
      <c r="AM1631" s="43"/>
      <c r="AN1631" s="43"/>
      <c r="AO1631" s="43"/>
      <c r="AP1631" s="43"/>
      <c r="AQ1631" s="43"/>
      <c r="AR1631" s="43"/>
      <c r="AS1631" s="43"/>
      <c r="AT1631" s="43"/>
      <c r="AU1631" s="43"/>
      <c r="AV1631" s="43"/>
    </row>
    <row r="1632" ht="15.75" spans="1:48">
      <c r="A1632" s="12">
        <v>1628</v>
      </c>
      <c r="B1632" s="44">
        <v>3268</v>
      </c>
      <c r="C1632" s="45" t="s">
        <v>80</v>
      </c>
      <c r="D1632" s="46">
        <v>17</v>
      </c>
      <c r="E1632" s="47" t="s">
        <v>50</v>
      </c>
      <c r="F1632" s="48">
        <v>5.33</v>
      </c>
      <c r="G1632" s="38">
        <v>5.34</v>
      </c>
      <c r="H1632" s="39"/>
      <c r="I1632" s="39"/>
      <c r="J1632" s="39"/>
      <c r="K1632" s="39">
        <v>0.5</v>
      </c>
      <c r="L1632" s="39"/>
      <c r="M1632" s="39"/>
      <c r="N1632" s="39"/>
      <c r="O1632" s="39"/>
      <c r="P1632" s="39"/>
      <c r="Q1632" s="39">
        <v>1.17</v>
      </c>
      <c r="R1632" s="39"/>
      <c r="S1632" s="39"/>
      <c r="T1632" s="39">
        <v>3.5</v>
      </c>
      <c r="U1632" s="39">
        <v>0.17</v>
      </c>
      <c r="V1632" s="39"/>
      <c r="W1632" s="39"/>
      <c r="X1632" s="49">
        <v>977</v>
      </c>
      <c r="Y1632" s="50">
        <v>1599</v>
      </c>
      <c r="Z1632" s="51">
        <v>1747</v>
      </c>
      <c r="AA1632" s="52">
        <f t="shared" si="39"/>
        <v>1.09255784865541</v>
      </c>
      <c r="AB1632" s="12">
        <v>690</v>
      </c>
      <c r="AC1632" s="12">
        <v>1057</v>
      </c>
      <c r="AD1632" s="19">
        <v>1057</v>
      </c>
      <c r="AE1632" s="43"/>
      <c r="AF1632" s="43"/>
      <c r="AG1632" s="43"/>
      <c r="AH1632" s="43"/>
      <c r="AI1632" s="43"/>
      <c r="AJ1632" s="43"/>
      <c r="AK1632" s="43"/>
      <c r="AL1632" s="43"/>
      <c r="AM1632" s="43"/>
      <c r="AN1632" s="43"/>
      <c r="AO1632" s="43"/>
      <c r="AP1632" s="43"/>
      <c r="AQ1632" s="43"/>
      <c r="AR1632" s="43"/>
      <c r="AS1632" s="43"/>
      <c r="AT1632" s="43"/>
      <c r="AU1632" s="43"/>
      <c r="AV1632" s="43"/>
    </row>
    <row r="1633" ht="15.75" spans="1:48">
      <c r="A1633" s="12">
        <v>1629</v>
      </c>
      <c r="B1633" s="44">
        <v>4489</v>
      </c>
      <c r="C1633" s="45" t="s">
        <v>88</v>
      </c>
      <c r="D1633" s="46">
        <v>5</v>
      </c>
      <c r="E1633" s="47" t="s">
        <v>50</v>
      </c>
      <c r="F1633" s="48">
        <v>10.17</v>
      </c>
      <c r="G1633" s="38">
        <v>1.84</v>
      </c>
      <c r="H1633" s="39"/>
      <c r="I1633" s="39"/>
      <c r="J1633" s="39"/>
      <c r="K1633" s="39">
        <v>0.33</v>
      </c>
      <c r="L1633" s="39"/>
      <c r="M1633" s="39"/>
      <c r="N1633" s="39"/>
      <c r="O1633" s="39"/>
      <c r="P1633" s="39"/>
      <c r="Q1633" s="39">
        <v>1.17</v>
      </c>
      <c r="R1633" s="39"/>
      <c r="S1633" s="39"/>
      <c r="T1633" s="39">
        <v>0.17</v>
      </c>
      <c r="U1633" s="39">
        <v>0.17</v>
      </c>
      <c r="V1633" s="39"/>
      <c r="W1633" s="39"/>
      <c r="X1633" s="49">
        <v>5770</v>
      </c>
      <c r="Y1633" s="50">
        <v>6152.85</v>
      </c>
      <c r="Z1633" s="51">
        <v>5953</v>
      </c>
      <c r="AA1633" s="52">
        <f t="shared" si="39"/>
        <v>0.96751911715709</v>
      </c>
      <c r="AB1633" s="12">
        <v>5853</v>
      </c>
      <c r="AC1633" s="12">
        <v>100</v>
      </c>
      <c r="AD1633" s="19">
        <v>100</v>
      </c>
      <c r="AE1633" s="43"/>
      <c r="AF1633" s="43"/>
      <c r="AG1633" s="43"/>
      <c r="AH1633" s="43"/>
      <c r="AI1633" s="43"/>
      <c r="AJ1633" s="43"/>
      <c r="AK1633" s="43"/>
      <c r="AL1633" s="43"/>
      <c r="AM1633" s="43"/>
      <c r="AN1633" s="43"/>
      <c r="AO1633" s="43"/>
      <c r="AP1633" s="43"/>
      <c r="AQ1633" s="43"/>
      <c r="AR1633" s="43"/>
      <c r="AS1633" s="43"/>
      <c r="AT1633" s="43"/>
      <c r="AU1633" s="43"/>
      <c r="AV1633" s="43"/>
    </row>
    <row r="1634" ht="15.75" spans="1:48">
      <c r="A1634" s="12">
        <v>1630</v>
      </c>
      <c r="B1634" s="44">
        <v>4342</v>
      </c>
      <c r="C1634" s="45" t="s">
        <v>147</v>
      </c>
      <c r="D1634" s="46"/>
      <c r="E1634" s="47" t="s">
        <v>50</v>
      </c>
      <c r="F1634" s="48">
        <v>6</v>
      </c>
      <c r="G1634" s="38">
        <v>2.01</v>
      </c>
      <c r="H1634" s="39"/>
      <c r="I1634" s="39"/>
      <c r="J1634" s="39"/>
      <c r="K1634" s="39"/>
      <c r="L1634" s="39"/>
      <c r="M1634" s="39"/>
      <c r="N1634" s="39"/>
      <c r="O1634" s="39"/>
      <c r="P1634" s="39"/>
      <c r="Q1634" s="39">
        <v>1.17</v>
      </c>
      <c r="R1634" s="39"/>
      <c r="S1634" s="39">
        <v>0.67</v>
      </c>
      <c r="T1634" s="39"/>
      <c r="U1634" s="39">
        <v>0.17</v>
      </c>
      <c r="V1634" s="39"/>
      <c r="W1634" s="39"/>
      <c r="X1634" s="49" t="s">
        <v>98</v>
      </c>
      <c r="Y1634" s="50">
        <v>2820</v>
      </c>
      <c r="Z1634" s="51">
        <v>2520</v>
      </c>
      <c r="AA1634" s="52">
        <f t="shared" si="39"/>
        <v>0.893617021276596</v>
      </c>
      <c r="AB1634" s="12">
        <v>2520</v>
      </c>
      <c r="AC1634" s="12">
        <v>0</v>
      </c>
      <c r="AD1634" s="43"/>
      <c r="AE1634" s="43"/>
      <c r="AF1634" s="43"/>
      <c r="AG1634" s="43"/>
      <c r="AH1634" s="43"/>
      <c r="AI1634" s="43"/>
      <c r="AJ1634" s="43"/>
      <c r="AK1634" s="43"/>
      <c r="AL1634" s="43"/>
      <c r="AM1634" s="43"/>
      <c r="AN1634" s="43"/>
      <c r="AO1634" s="43"/>
      <c r="AP1634" s="43"/>
      <c r="AQ1634" s="43"/>
      <c r="AR1634" s="43"/>
      <c r="AS1634" s="43"/>
      <c r="AT1634" s="43"/>
      <c r="AU1634" s="43"/>
      <c r="AV1634" s="43"/>
    </row>
    <row r="1635" ht="15.75" spans="1:48">
      <c r="A1635" s="12">
        <v>1631</v>
      </c>
      <c r="B1635" s="44">
        <v>4342</v>
      </c>
      <c r="C1635" s="45" t="s">
        <v>147</v>
      </c>
      <c r="D1635" s="46"/>
      <c r="E1635" s="47" t="s">
        <v>50</v>
      </c>
      <c r="F1635" s="48">
        <v>4</v>
      </c>
      <c r="G1635" s="38">
        <v>0</v>
      </c>
      <c r="H1635" s="39"/>
      <c r="I1635" s="39"/>
      <c r="J1635" s="39"/>
      <c r="K1635" s="39"/>
      <c r="L1635" s="39"/>
      <c r="M1635" s="39"/>
      <c r="N1635" s="39"/>
      <c r="O1635" s="39"/>
      <c r="P1635" s="39"/>
      <c r="Q1635" s="39"/>
      <c r="R1635" s="39"/>
      <c r="S1635" s="39"/>
      <c r="T1635" s="39"/>
      <c r="U1635" s="39"/>
      <c r="V1635" s="39"/>
      <c r="W1635" s="39"/>
      <c r="X1635" s="49" t="s">
        <v>382</v>
      </c>
      <c r="Y1635" s="50">
        <v>1800</v>
      </c>
      <c r="Z1635" s="51">
        <v>1800</v>
      </c>
      <c r="AA1635" s="52">
        <f t="shared" si="39"/>
        <v>1</v>
      </c>
      <c r="AB1635" s="12">
        <v>1800</v>
      </c>
      <c r="AC1635" s="12">
        <v>0</v>
      </c>
      <c r="AD1635" s="43"/>
      <c r="AE1635" s="43"/>
      <c r="AF1635" s="43"/>
      <c r="AG1635" s="43"/>
      <c r="AH1635" s="43"/>
      <c r="AI1635" s="43"/>
      <c r="AJ1635" s="43"/>
      <c r="AK1635" s="43"/>
      <c r="AL1635" s="43"/>
      <c r="AM1635" s="43"/>
      <c r="AN1635" s="43"/>
      <c r="AO1635" s="43"/>
      <c r="AP1635" s="43"/>
      <c r="AQ1635" s="43"/>
      <c r="AR1635" s="43"/>
      <c r="AS1635" s="43"/>
      <c r="AT1635" s="43"/>
      <c r="AU1635" s="43"/>
      <c r="AV1635" s="43"/>
    </row>
    <row r="1636" ht="15.75" spans="1:48">
      <c r="A1636" s="12">
        <v>1632</v>
      </c>
      <c r="B1636" s="44">
        <v>761</v>
      </c>
      <c r="C1636" s="45" t="s">
        <v>89</v>
      </c>
      <c r="D1636" s="46"/>
      <c r="E1636" s="47" t="s">
        <v>50</v>
      </c>
      <c r="F1636" s="48">
        <v>8.83</v>
      </c>
      <c r="G1636" s="38">
        <v>2.51</v>
      </c>
      <c r="H1636" s="39"/>
      <c r="I1636" s="39"/>
      <c r="J1636" s="39"/>
      <c r="K1636" s="39"/>
      <c r="L1636" s="39"/>
      <c r="M1636" s="39"/>
      <c r="N1636" s="39"/>
      <c r="O1636" s="39"/>
      <c r="P1636" s="39"/>
      <c r="Q1636" s="39">
        <v>1.17</v>
      </c>
      <c r="R1636" s="39"/>
      <c r="S1636" s="39">
        <v>1.17</v>
      </c>
      <c r="T1636" s="39"/>
      <c r="U1636" s="39">
        <v>0.17</v>
      </c>
      <c r="V1636" s="39"/>
      <c r="W1636" s="39"/>
      <c r="X1636" s="49" t="s">
        <v>98</v>
      </c>
      <c r="Y1636" s="50">
        <v>4150.1</v>
      </c>
      <c r="Z1636" s="51">
        <v>3960</v>
      </c>
      <c r="AA1636" s="52">
        <f t="shared" si="39"/>
        <v>0.954193874846389</v>
      </c>
      <c r="AB1636" s="12">
        <v>3960</v>
      </c>
      <c r="AC1636" s="12">
        <v>0</v>
      </c>
      <c r="AD1636" s="43"/>
      <c r="AE1636" s="43"/>
      <c r="AF1636" s="43"/>
      <c r="AG1636" s="43"/>
      <c r="AH1636" s="43"/>
      <c r="AI1636" s="43"/>
      <c r="AJ1636" s="43"/>
      <c r="AK1636" s="43"/>
      <c r="AL1636" s="43"/>
      <c r="AM1636" s="43"/>
      <c r="AN1636" s="43"/>
      <c r="AO1636" s="43"/>
      <c r="AP1636" s="43"/>
      <c r="AQ1636" s="43"/>
      <c r="AR1636" s="43"/>
      <c r="AS1636" s="43"/>
      <c r="AT1636" s="43"/>
      <c r="AU1636" s="43"/>
      <c r="AV1636" s="43"/>
    </row>
    <row r="1637" ht="15.75" spans="1:48">
      <c r="A1637" s="12">
        <v>1633</v>
      </c>
      <c r="B1637" s="44">
        <v>692</v>
      </c>
      <c r="C1637" s="45" t="s">
        <v>142</v>
      </c>
      <c r="D1637" s="46"/>
      <c r="E1637" s="47" t="s">
        <v>50</v>
      </c>
      <c r="F1637" s="48">
        <v>10</v>
      </c>
      <c r="G1637" s="38">
        <v>2.01</v>
      </c>
      <c r="H1637" s="39"/>
      <c r="I1637" s="39"/>
      <c r="J1637" s="39"/>
      <c r="K1637" s="39"/>
      <c r="L1637" s="39"/>
      <c r="M1637" s="39"/>
      <c r="N1637" s="39"/>
      <c r="O1637" s="39"/>
      <c r="P1637" s="39"/>
      <c r="Q1637" s="39">
        <v>1.17</v>
      </c>
      <c r="R1637" s="39"/>
      <c r="S1637" s="39">
        <v>0.67</v>
      </c>
      <c r="T1637" s="39"/>
      <c r="U1637" s="39">
        <v>0.17</v>
      </c>
      <c r="V1637" s="39"/>
      <c r="W1637" s="39"/>
      <c r="X1637" s="49" t="s">
        <v>98</v>
      </c>
      <c r="Y1637" s="50">
        <v>4700</v>
      </c>
      <c r="Z1637" s="51">
        <v>4500</v>
      </c>
      <c r="AA1637" s="52">
        <f t="shared" si="39"/>
        <v>0.957446808510638</v>
      </c>
      <c r="AB1637" s="12">
        <v>4500</v>
      </c>
      <c r="AC1637" s="12">
        <v>0</v>
      </c>
      <c r="AD1637" s="43"/>
      <c r="AE1637" s="43"/>
      <c r="AF1637" s="43"/>
      <c r="AG1637" s="43"/>
      <c r="AH1637" s="43"/>
      <c r="AI1637" s="43"/>
      <c r="AJ1637" s="43"/>
      <c r="AK1637" s="43"/>
      <c r="AL1637" s="43"/>
      <c r="AM1637" s="43"/>
      <c r="AN1637" s="43"/>
      <c r="AO1637" s="43"/>
      <c r="AP1637" s="43"/>
      <c r="AQ1637" s="43"/>
      <c r="AR1637" s="43"/>
      <c r="AS1637" s="43"/>
      <c r="AT1637" s="43"/>
      <c r="AU1637" s="43"/>
      <c r="AV1637" s="43"/>
    </row>
    <row r="1638" ht="15.75" spans="1:48">
      <c r="A1638" s="12">
        <v>1634</v>
      </c>
      <c r="B1638" s="44">
        <v>4017</v>
      </c>
      <c r="C1638" s="45" t="s">
        <v>148</v>
      </c>
      <c r="D1638" s="46">
        <v>2</v>
      </c>
      <c r="E1638" s="47" t="s">
        <v>50</v>
      </c>
      <c r="F1638" s="48">
        <v>9</v>
      </c>
      <c r="G1638" s="38">
        <v>1.51</v>
      </c>
      <c r="H1638" s="39"/>
      <c r="I1638" s="39"/>
      <c r="J1638" s="39"/>
      <c r="K1638" s="39"/>
      <c r="L1638" s="39"/>
      <c r="M1638" s="39"/>
      <c r="N1638" s="39"/>
      <c r="O1638" s="39"/>
      <c r="P1638" s="39"/>
      <c r="Q1638" s="39">
        <v>1.17</v>
      </c>
      <c r="R1638" s="39"/>
      <c r="S1638" s="39"/>
      <c r="T1638" s="39">
        <v>0.17</v>
      </c>
      <c r="U1638" s="39">
        <v>0.17</v>
      </c>
      <c r="V1638" s="39"/>
      <c r="W1638" s="39"/>
      <c r="X1638" s="49">
        <v>8234</v>
      </c>
      <c r="Y1638" s="50">
        <v>5940</v>
      </c>
      <c r="Z1638" s="51">
        <v>5882</v>
      </c>
      <c r="AA1638" s="52">
        <f t="shared" si="39"/>
        <v>0.99023569023569</v>
      </c>
      <c r="AB1638" s="12">
        <v>5845</v>
      </c>
      <c r="AC1638" s="12">
        <v>37</v>
      </c>
      <c r="AD1638" s="19">
        <v>37</v>
      </c>
      <c r="AE1638" s="43"/>
      <c r="AF1638" s="43"/>
      <c r="AG1638" s="43"/>
      <c r="AH1638" s="43"/>
      <c r="AI1638" s="43"/>
      <c r="AJ1638" s="43"/>
      <c r="AK1638" s="43"/>
      <c r="AL1638" s="43"/>
      <c r="AM1638" s="43"/>
      <c r="AN1638" s="43"/>
      <c r="AO1638" s="43"/>
      <c r="AP1638" s="43"/>
      <c r="AQ1638" s="43"/>
      <c r="AR1638" s="43"/>
      <c r="AS1638" s="43"/>
      <c r="AT1638" s="43"/>
      <c r="AU1638" s="43"/>
      <c r="AV1638" s="43"/>
    </row>
    <row r="1639" ht="15.75" spans="1:48">
      <c r="A1639" s="12">
        <v>1635</v>
      </c>
      <c r="B1639" s="44">
        <v>2865</v>
      </c>
      <c r="C1639" s="45" t="s">
        <v>149</v>
      </c>
      <c r="D1639" s="46">
        <v>14</v>
      </c>
      <c r="E1639" s="47" t="s">
        <v>50</v>
      </c>
      <c r="F1639" s="48">
        <v>8.83</v>
      </c>
      <c r="G1639" s="38">
        <v>1.51</v>
      </c>
      <c r="H1639" s="39"/>
      <c r="I1639" s="39"/>
      <c r="J1639" s="39"/>
      <c r="K1639" s="39"/>
      <c r="L1639" s="39"/>
      <c r="M1639" s="39"/>
      <c r="N1639" s="39"/>
      <c r="O1639" s="39"/>
      <c r="P1639" s="39"/>
      <c r="Q1639" s="39">
        <v>1.17</v>
      </c>
      <c r="R1639" s="39"/>
      <c r="S1639" s="39"/>
      <c r="T1639" s="39">
        <v>0.17</v>
      </c>
      <c r="U1639" s="39">
        <v>0.17</v>
      </c>
      <c r="V1639" s="39"/>
      <c r="W1639" s="39"/>
      <c r="X1639" s="49">
        <v>8484</v>
      </c>
      <c r="Y1639" s="50">
        <v>4768.2</v>
      </c>
      <c r="Z1639" s="51">
        <v>4742</v>
      </c>
      <c r="AA1639" s="52">
        <f t="shared" si="39"/>
        <v>0.994505264040938</v>
      </c>
      <c r="AB1639" s="12">
        <v>4680</v>
      </c>
      <c r="AC1639" s="12">
        <v>62</v>
      </c>
      <c r="AD1639" s="19">
        <v>62</v>
      </c>
      <c r="AE1639" s="43"/>
      <c r="AF1639" s="43"/>
      <c r="AG1639" s="43"/>
      <c r="AH1639" s="43"/>
      <c r="AI1639" s="43"/>
      <c r="AJ1639" s="43"/>
      <c r="AK1639" s="43"/>
      <c r="AL1639" s="43"/>
      <c r="AM1639" s="43"/>
      <c r="AN1639" s="43"/>
      <c r="AO1639" s="43"/>
      <c r="AP1639" s="43"/>
      <c r="AQ1639" s="43"/>
      <c r="AR1639" s="43"/>
      <c r="AS1639" s="43"/>
      <c r="AT1639" s="43"/>
      <c r="AU1639" s="43"/>
      <c r="AV1639" s="43"/>
    </row>
    <row r="1640" ht="15.75" spans="1:48">
      <c r="A1640" s="12">
        <v>1636</v>
      </c>
      <c r="B1640" s="53">
        <v>666</v>
      </c>
      <c r="C1640" s="55" t="s">
        <v>151</v>
      </c>
      <c r="D1640" s="56"/>
      <c r="E1640" s="47" t="s">
        <v>50</v>
      </c>
      <c r="F1640" s="48">
        <v>6.84</v>
      </c>
      <c r="G1640" s="38">
        <v>2.34</v>
      </c>
      <c r="H1640" s="39"/>
      <c r="I1640" s="39"/>
      <c r="J1640" s="39"/>
      <c r="K1640" s="39"/>
      <c r="L1640" s="39"/>
      <c r="M1640" s="39"/>
      <c r="N1640" s="39"/>
      <c r="O1640" s="39"/>
      <c r="P1640" s="39"/>
      <c r="Q1640" s="39">
        <v>1.17</v>
      </c>
      <c r="R1640" s="39"/>
      <c r="S1640" s="39">
        <v>1</v>
      </c>
      <c r="T1640" s="39"/>
      <c r="U1640" s="39">
        <v>0.17</v>
      </c>
      <c r="V1640" s="39"/>
      <c r="W1640" s="39"/>
      <c r="X1640" s="49" t="s">
        <v>101</v>
      </c>
      <c r="Y1640" s="50">
        <v>13132.8</v>
      </c>
      <c r="Z1640" s="51">
        <v>10620</v>
      </c>
      <c r="AA1640" s="52">
        <f t="shared" si="39"/>
        <v>0.808662280701754</v>
      </c>
      <c r="AB1640" s="12">
        <v>10620</v>
      </c>
      <c r="AC1640" s="12">
        <v>0</v>
      </c>
      <c r="AD1640" s="43"/>
      <c r="AE1640" s="43"/>
      <c r="AF1640" s="43"/>
      <c r="AG1640" s="43"/>
      <c r="AH1640" s="43"/>
      <c r="AI1640" s="43"/>
      <c r="AJ1640" s="43"/>
      <c r="AK1640" s="43"/>
      <c r="AL1640" s="43"/>
      <c r="AM1640" s="43"/>
      <c r="AN1640" s="43"/>
      <c r="AO1640" s="43"/>
      <c r="AP1640" s="43"/>
      <c r="AQ1640" s="43"/>
      <c r="AR1640" s="43"/>
      <c r="AS1640" s="43"/>
      <c r="AT1640" s="43"/>
      <c r="AU1640" s="43"/>
      <c r="AV1640" s="43"/>
    </row>
    <row r="1641" ht="15.75" spans="1:48">
      <c r="A1641" s="12">
        <v>1637</v>
      </c>
      <c r="B1641" s="44">
        <v>666</v>
      </c>
      <c r="C1641" s="45" t="s">
        <v>151</v>
      </c>
      <c r="D1641" s="46"/>
      <c r="E1641" s="47" t="s">
        <v>50</v>
      </c>
      <c r="F1641" s="48">
        <v>2.33</v>
      </c>
      <c r="G1641" s="38">
        <v>0</v>
      </c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  <c r="S1641" s="39"/>
      <c r="T1641" s="39"/>
      <c r="U1641" s="39"/>
      <c r="V1641" s="39"/>
      <c r="W1641" s="39"/>
      <c r="X1641" s="49" t="s">
        <v>102</v>
      </c>
      <c r="Y1641" s="50">
        <v>10485</v>
      </c>
      <c r="Z1641" s="51">
        <v>8000</v>
      </c>
      <c r="AA1641" s="52">
        <f t="shared" si="39"/>
        <v>0.762994754411063</v>
      </c>
      <c r="AB1641" s="12">
        <v>8000</v>
      </c>
      <c r="AC1641" s="12">
        <v>0</v>
      </c>
      <c r="AD1641" s="43"/>
      <c r="AE1641" s="43"/>
      <c r="AF1641" s="43"/>
      <c r="AG1641" s="43"/>
      <c r="AH1641" s="43"/>
      <c r="AI1641" s="43"/>
      <c r="AJ1641" s="43"/>
      <c r="AK1641" s="43"/>
      <c r="AL1641" s="43"/>
      <c r="AM1641" s="43"/>
      <c r="AN1641" s="43"/>
      <c r="AO1641" s="43"/>
      <c r="AP1641" s="43"/>
      <c r="AQ1641" s="43"/>
      <c r="AR1641" s="43"/>
      <c r="AS1641" s="43"/>
      <c r="AT1641" s="43"/>
      <c r="AU1641" s="43"/>
      <c r="AV1641" s="43"/>
    </row>
    <row r="1642" ht="15.75" spans="1:48">
      <c r="A1642" s="12">
        <v>1638</v>
      </c>
      <c r="B1642" s="44">
        <v>666</v>
      </c>
      <c r="C1642" s="45" t="s">
        <v>151</v>
      </c>
      <c r="D1642" s="46"/>
      <c r="E1642" s="47" t="s">
        <v>50</v>
      </c>
      <c r="F1642" s="48">
        <v>0.5</v>
      </c>
      <c r="G1642" s="38">
        <v>0</v>
      </c>
      <c r="H1642" s="39"/>
      <c r="I1642" s="39"/>
      <c r="J1642" s="39"/>
      <c r="K1642" s="39"/>
      <c r="L1642" s="39"/>
      <c r="M1642" s="39"/>
      <c r="N1642" s="39"/>
      <c r="O1642" s="39"/>
      <c r="P1642" s="39"/>
      <c r="Q1642" s="39"/>
      <c r="R1642" s="39"/>
      <c r="S1642" s="39"/>
      <c r="T1642" s="39"/>
      <c r="U1642" s="39"/>
      <c r="V1642" s="39"/>
      <c r="W1642" s="39"/>
      <c r="X1642" s="49" t="s">
        <v>383</v>
      </c>
      <c r="Y1642" s="50">
        <v>850</v>
      </c>
      <c r="Z1642" s="51">
        <v>720</v>
      </c>
      <c r="AA1642" s="52">
        <f t="shared" si="39"/>
        <v>0.847058823529412</v>
      </c>
      <c r="AB1642" s="12">
        <v>720</v>
      </c>
      <c r="AC1642" s="12">
        <v>0</v>
      </c>
      <c r="AD1642" s="43"/>
      <c r="AE1642" s="43"/>
      <c r="AF1642" s="43"/>
      <c r="AG1642" s="43"/>
      <c r="AH1642" s="43"/>
      <c r="AI1642" s="43"/>
      <c r="AJ1642" s="43"/>
      <c r="AK1642" s="43"/>
      <c r="AL1642" s="43"/>
      <c r="AM1642" s="43"/>
      <c r="AN1642" s="43"/>
      <c r="AO1642" s="43"/>
      <c r="AP1642" s="43"/>
      <c r="AQ1642" s="43"/>
      <c r="AR1642" s="43"/>
      <c r="AS1642" s="43"/>
      <c r="AT1642" s="43"/>
      <c r="AU1642" s="43"/>
      <c r="AV1642" s="43"/>
    </row>
    <row r="1643" ht="15.75" spans="1:48">
      <c r="A1643" s="12">
        <v>1639</v>
      </c>
      <c r="B1643" s="44" t="s">
        <v>354</v>
      </c>
      <c r="C1643" s="45" t="s">
        <v>355</v>
      </c>
      <c r="D1643" s="46"/>
      <c r="E1643" s="47" t="s">
        <v>50</v>
      </c>
      <c r="F1643" s="48">
        <v>7.17</v>
      </c>
      <c r="G1643" s="38">
        <v>0.83</v>
      </c>
      <c r="H1643" s="39"/>
      <c r="I1643" s="39"/>
      <c r="J1643" s="39"/>
      <c r="K1643" s="39"/>
      <c r="L1643" s="39"/>
      <c r="M1643" s="39"/>
      <c r="N1643" s="39"/>
      <c r="O1643" s="39"/>
      <c r="P1643" s="39"/>
      <c r="Q1643" s="39">
        <v>0.83</v>
      </c>
      <c r="R1643" s="39"/>
      <c r="S1643" s="39"/>
      <c r="T1643" s="39"/>
      <c r="U1643" s="39"/>
      <c r="V1643" s="39"/>
      <c r="W1643" s="39"/>
      <c r="X1643" s="49" t="s">
        <v>104</v>
      </c>
      <c r="Y1643" s="50">
        <v>107550</v>
      </c>
      <c r="Z1643" s="51">
        <v>30000</v>
      </c>
      <c r="AA1643" s="52">
        <f t="shared" si="39"/>
        <v>0.278940027894003</v>
      </c>
      <c r="AB1643" s="12">
        <v>30000</v>
      </c>
      <c r="AC1643" s="12">
        <v>0</v>
      </c>
      <c r="AD1643" s="43"/>
      <c r="AE1643" s="43"/>
      <c r="AF1643" s="43"/>
      <c r="AG1643" s="43"/>
      <c r="AH1643" s="43"/>
      <c r="AI1643" s="43"/>
      <c r="AJ1643" s="43"/>
      <c r="AK1643" s="43"/>
      <c r="AL1643" s="43"/>
      <c r="AM1643" s="43"/>
      <c r="AN1643" s="43"/>
      <c r="AO1643" s="43"/>
      <c r="AP1643" s="43"/>
      <c r="AQ1643" s="43"/>
      <c r="AR1643" s="43"/>
      <c r="AS1643" s="43"/>
      <c r="AT1643" s="43"/>
      <c r="AU1643" s="43"/>
      <c r="AV1643" s="43"/>
    </row>
    <row r="1644" ht="15.75" spans="1:48">
      <c r="A1644" s="12">
        <v>1640</v>
      </c>
      <c r="B1644" s="44" t="s">
        <v>365</v>
      </c>
      <c r="C1644" s="45" t="s">
        <v>366</v>
      </c>
      <c r="D1644" s="46"/>
      <c r="E1644" s="47" t="s">
        <v>50</v>
      </c>
      <c r="F1644" s="48">
        <v>7.17</v>
      </c>
      <c r="G1644" s="38">
        <v>0.83</v>
      </c>
      <c r="H1644" s="39"/>
      <c r="I1644" s="39"/>
      <c r="J1644" s="39"/>
      <c r="K1644" s="39"/>
      <c r="L1644" s="39"/>
      <c r="M1644" s="39"/>
      <c r="N1644" s="39"/>
      <c r="O1644" s="39"/>
      <c r="P1644" s="39"/>
      <c r="Q1644" s="39">
        <v>0.83</v>
      </c>
      <c r="R1644" s="39"/>
      <c r="S1644" s="39"/>
      <c r="T1644" s="39"/>
      <c r="U1644" s="39"/>
      <c r="V1644" s="39"/>
      <c r="W1644" s="39"/>
      <c r="X1644" s="49" t="s">
        <v>105</v>
      </c>
      <c r="Y1644" s="50">
        <v>4732.2</v>
      </c>
      <c r="Z1644" s="51">
        <v>3000</v>
      </c>
      <c r="AA1644" s="52">
        <f t="shared" si="39"/>
        <v>0.633954608850006</v>
      </c>
      <c r="AB1644" s="12">
        <v>3000</v>
      </c>
      <c r="AC1644" s="12">
        <v>0</v>
      </c>
      <c r="AD1644" s="43"/>
      <c r="AE1644" s="43"/>
      <c r="AF1644" s="43"/>
      <c r="AG1644" s="43"/>
      <c r="AH1644" s="43"/>
      <c r="AI1644" s="43"/>
      <c r="AJ1644" s="43"/>
      <c r="AK1644" s="43"/>
      <c r="AL1644" s="43"/>
      <c r="AM1644" s="43"/>
      <c r="AN1644" s="43"/>
      <c r="AO1644" s="43"/>
      <c r="AP1644" s="43"/>
      <c r="AQ1644" s="43"/>
      <c r="AR1644" s="43"/>
      <c r="AS1644" s="43"/>
      <c r="AT1644" s="43"/>
      <c r="AU1644" s="43"/>
      <c r="AV1644" s="43"/>
    </row>
    <row r="1645" ht="15.75" spans="1:48">
      <c r="A1645" s="12">
        <v>1641</v>
      </c>
      <c r="B1645" s="44" t="s">
        <v>363</v>
      </c>
      <c r="C1645" s="45" t="s">
        <v>364</v>
      </c>
      <c r="D1645" s="46"/>
      <c r="E1645" s="47" t="s">
        <v>50</v>
      </c>
      <c r="F1645" s="48">
        <v>7.17</v>
      </c>
      <c r="G1645" s="38">
        <v>0.83</v>
      </c>
      <c r="H1645" s="39"/>
      <c r="I1645" s="39"/>
      <c r="J1645" s="39"/>
      <c r="K1645" s="39"/>
      <c r="L1645" s="39"/>
      <c r="M1645" s="39"/>
      <c r="N1645" s="39"/>
      <c r="O1645" s="39"/>
      <c r="P1645" s="39"/>
      <c r="Q1645" s="39">
        <v>0.83</v>
      </c>
      <c r="R1645" s="39"/>
      <c r="S1645" s="39"/>
      <c r="T1645" s="39"/>
      <c r="U1645" s="39"/>
      <c r="V1645" s="39"/>
      <c r="W1645" s="39"/>
      <c r="X1645" s="49" t="s">
        <v>103</v>
      </c>
      <c r="Y1645" s="50">
        <v>6022.8</v>
      </c>
      <c r="Z1645" s="51">
        <v>2640</v>
      </c>
      <c r="AA1645" s="52">
        <f t="shared" si="39"/>
        <v>0.438334329547719</v>
      </c>
      <c r="AB1645" s="12">
        <v>2640</v>
      </c>
      <c r="AC1645" s="12">
        <v>0</v>
      </c>
      <c r="AD1645" s="43"/>
      <c r="AE1645" s="43"/>
      <c r="AF1645" s="43"/>
      <c r="AG1645" s="43"/>
      <c r="AH1645" s="43"/>
      <c r="AI1645" s="43"/>
      <c r="AJ1645" s="43"/>
      <c r="AK1645" s="43"/>
      <c r="AL1645" s="43"/>
      <c r="AM1645" s="43"/>
      <c r="AN1645" s="43"/>
      <c r="AO1645" s="43"/>
      <c r="AP1645" s="43"/>
      <c r="AQ1645" s="43"/>
      <c r="AR1645" s="43"/>
      <c r="AS1645" s="43"/>
      <c r="AT1645" s="43"/>
      <c r="AU1645" s="43"/>
      <c r="AV1645" s="43"/>
    </row>
    <row r="1646" ht="15.75" spans="1:48">
      <c r="A1646" s="12">
        <v>1642</v>
      </c>
      <c r="B1646" s="44" t="s">
        <v>374</v>
      </c>
      <c r="C1646" s="45" t="s">
        <v>375</v>
      </c>
      <c r="D1646" s="46"/>
      <c r="E1646" s="47" t="s">
        <v>50</v>
      </c>
      <c r="F1646" s="48">
        <v>5.17</v>
      </c>
      <c r="G1646" s="38">
        <v>2.83</v>
      </c>
      <c r="H1646" s="39"/>
      <c r="I1646" s="39"/>
      <c r="J1646" s="39"/>
      <c r="K1646" s="39"/>
      <c r="L1646" s="39"/>
      <c r="M1646" s="39"/>
      <c r="N1646" s="39"/>
      <c r="O1646" s="39"/>
      <c r="P1646" s="39"/>
      <c r="Q1646" s="39">
        <v>0.83</v>
      </c>
      <c r="R1646" s="39"/>
      <c r="S1646" s="39">
        <v>2</v>
      </c>
      <c r="T1646" s="39"/>
      <c r="U1646" s="39"/>
      <c r="V1646" s="39"/>
      <c r="W1646" s="39"/>
      <c r="X1646" s="49" t="s">
        <v>103</v>
      </c>
      <c r="Y1646" s="50">
        <v>4342.8</v>
      </c>
      <c r="Z1646" s="51">
        <v>1800</v>
      </c>
      <c r="AA1646" s="52">
        <f t="shared" si="39"/>
        <v>0.414479137883393</v>
      </c>
      <c r="AB1646" s="12">
        <v>1800</v>
      </c>
      <c r="AC1646" s="12">
        <v>0</v>
      </c>
      <c r="AD1646" s="43"/>
      <c r="AE1646" s="43"/>
      <c r="AF1646" s="43"/>
      <c r="AG1646" s="43"/>
      <c r="AH1646" s="43"/>
      <c r="AI1646" s="43"/>
      <c r="AJ1646" s="43"/>
      <c r="AK1646" s="43"/>
      <c r="AL1646" s="43"/>
      <c r="AM1646" s="43"/>
      <c r="AN1646" s="43"/>
      <c r="AO1646" s="43"/>
      <c r="AP1646" s="43"/>
      <c r="AQ1646" s="43"/>
      <c r="AR1646" s="43"/>
      <c r="AS1646" s="43"/>
      <c r="AT1646" s="43"/>
      <c r="AU1646" s="43"/>
      <c r="AV1646" s="43"/>
    </row>
    <row r="1647" ht="15.75" spans="1:48">
      <c r="A1647" s="12">
        <v>1643</v>
      </c>
      <c r="B1647" s="44" t="s">
        <v>370</v>
      </c>
      <c r="C1647" s="45" t="s">
        <v>371</v>
      </c>
      <c r="D1647" s="46"/>
      <c r="E1647" s="47" t="s">
        <v>50</v>
      </c>
      <c r="F1647" s="48">
        <v>7.17</v>
      </c>
      <c r="G1647" s="38">
        <v>0.83</v>
      </c>
      <c r="H1647" s="39"/>
      <c r="I1647" s="39"/>
      <c r="J1647" s="39"/>
      <c r="K1647" s="39"/>
      <c r="L1647" s="39"/>
      <c r="M1647" s="39"/>
      <c r="N1647" s="39"/>
      <c r="O1647" s="39"/>
      <c r="P1647" s="39"/>
      <c r="Q1647" s="39">
        <v>0.83</v>
      </c>
      <c r="R1647" s="39"/>
      <c r="S1647" s="39"/>
      <c r="T1647" s="39"/>
      <c r="U1647" s="39"/>
      <c r="V1647" s="39"/>
      <c r="W1647" s="39"/>
      <c r="X1647" s="49" t="s">
        <v>105</v>
      </c>
      <c r="Y1647" s="50">
        <v>4732.2</v>
      </c>
      <c r="Z1647" s="51">
        <v>3600</v>
      </c>
      <c r="AA1647" s="52">
        <f t="shared" si="39"/>
        <v>0.760745530620008</v>
      </c>
      <c r="AB1647" s="12">
        <v>3600</v>
      </c>
      <c r="AC1647" s="12">
        <v>0</v>
      </c>
      <c r="AD1647" s="43"/>
      <c r="AE1647" s="43"/>
      <c r="AF1647" s="43"/>
      <c r="AG1647" s="43"/>
      <c r="AH1647" s="43"/>
      <c r="AI1647" s="43"/>
      <c r="AJ1647" s="43"/>
      <c r="AK1647" s="43"/>
      <c r="AL1647" s="43"/>
      <c r="AM1647" s="43"/>
      <c r="AN1647" s="43"/>
      <c r="AO1647" s="43"/>
      <c r="AP1647" s="43"/>
      <c r="AQ1647" s="43"/>
      <c r="AR1647" s="43"/>
      <c r="AS1647" s="43"/>
      <c r="AT1647" s="43"/>
      <c r="AU1647" s="43"/>
      <c r="AV1647" s="43"/>
    </row>
    <row r="1648" ht="15.75" spans="1:48">
      <c r="A1648" s="12">
        <v>1644</v>
      </c>
      <c r="B1648" s="44" t="s">
        <v>376</v>
      </c>
      <c r="C1648" s="45" t="s">
        <v>377</v>
      </c>
      <c r="D1648" s="46"/>
      <c r="E1648" s="47" t="s">
        <v>50</v>
      </c>
      <c r="F1648" s="48">
        <v>7.17</v>
      </c>
      <c r="G1648" s="38">
        <v>0.83</v>
      </c>
      <c r="H1648" s="39"/>
      <c r="I1648" s="39"/>
      <c r="J1648" s="39"/>
      <c r="K1648" s="39"/>
      <c r="L1648" s="39"/>
      <c r="M1648" s="39"/>
      <c r="N1648" s="39"/>
      <c r="O1648" s="39"/>
      <c r="P1648" s="39"/>
      <c r="Q1648" s="39">
        <v>0.83</v>
      </c>
      <c r="R1648" s="39"/>
      <c r="S1648" s="39"/>
      <c r="T1648" s="39"/>
      <c r="U1648" s="39"/>
      <c r="V1648" s="39"/>
      <c r="W1648" s="39"/>
      <c r="X1648" s="49" t="s">
        <v>104</v>
      </c>
      <c r="Y1648" s="50">
        <v>107550</v>
      </c>
      <c r="Z1648" s="51">
        <v>30000</v>
      </c>
      <c r="AA1648" s="52">
        <f t="shared" si="39"/>
        <v>0.278940027894003</v>
      </c>
      <c r="AB1648" s="12">
        <v>30000</v>
      </c>
      <c r="AC1648" s="12">
        <v>0</v>
      </c>
      <c r="AD1648" s="43"/>
      <c r="AE1648" s="43"/>
      <c r="AF1648" s="43"/>
      <c r="AG1648" s="43"/>
      <c r="AH1648" s="43"/>
      <c r="AI1648" s="43"/>
      <c r="AJ1648" s="43"/>
      <c r="AK1648" s="43"/>
      <c r="AL1648" s="43"/>
      <c r="AM1648" s="43"/>
      <c r="AN1648" s="43"/>
      <c r="AO1648" s="43"/>
      <c r="AP1648" s="43"/>
      <c r="AQ1648" s="43"/>
      <c r="AR1648" s="43"/>
      <c r="AS1648" s="43"/>
      <c r="AT1648" s="43"/>
      <c r="AU1648" s="43"/>
      <c r="AV1648" s="43"/>
    </row>
    <row r="1649" ht="15.75" spans="1:48">
      <c r="A1649" s="12">
        <v>1645</v>
      </c>
      <c r="B1649" s="44" t="s">
        <v>275</v>
      </c>
      <c r="C1649" s="45" t="s">
        <v>253</v>
      </c>
      <c r="D1649" s="46"/>
      <c r="E1649" s="47" t="s">
        <v>50</v>
      </c>
      <c r="F1649" s="48">
        <v>7.17</v>
      </c>
      <c r="G1649" s="38">
        <v>0.83</v>
      </c>
      <c r="H1649" s="39"/>
      <c r="I1649" s="39"/>
      <c r="J1649" s="39"/>
      <c r="K1649" s="39"/>
      <c r="L1649" s="39"/>
      <c r="M1649" s="39"/>
      <c r="N1649" s="39"/>
      <c r="O1649" s="39"/>
      <c r="P1649" s="39"/>
      <c r="Q1649" s="39">
        <v>0.83</v>
      </c>
      <c r="R1649" s="39"/>
      <c r="S1649" s="39"/>
      <c r="T1649" s="39"/>
      <c r="U1649" s="39"/>
      <c r="V1649" s="39"/>
      <c r="W1649" s="39"/>
      <c r="X1649" s="49" t="s">
        <v>105</v>
      </c>
      <c r="Y1649" s="50">
        <v>4732.2</v>
      </c>
      <c r="Z1649" s="51">
        <v>4800</v>
      </c>
      <c r="AA1649" s="52">
        <f t="shared" si="39"/>
        <v>1.01432737416001</v>
      </c>
      <c r="AB1649" s="12">
        <v>4800</v>
      </c>
      <c r="AC1649" s="12">
        <v>0</v>
      </c>
      <c r="AD1649" s="43"/>
      <c r="AE1649" s="43"/>
      <c r="AF1649" s="43"/>
      <c r="AG1649" s="43"/>
      <c r="AH1649" s="43"/>
      <c r="AI1649" s="43"/>
      <c r="AJ1649" s="43"/>
      <c r="AK1649" s="43"/>
      <c r="AL1649" s="43"/>
      <c r="AM1649" s="43"/>
      <c r="AN1649" s="43"/>
      <c r="AO1649" s="43"/>
      <c r="AP1649" s="43"/>
      <c r="AQ1649" s="43"/>
      <c r="AR1649" s="43"/>
      <c r="AS1649" s="43"/>
      <c r="AT1649" s="43"/>
      <c r="AU1649" s="43"/>
      <c r="AV1649" s="43"/>
    </row>
    <row r="1650" ht="15.75" spans="1:48">
      <c r="A1650" s="12">
        <v>1646</v>
      </c>
      <c r="B1650" s="44">
        <v>698</v>
      </c>
      <c r="C1650" s="45" t="s">
        <v>68</v>
      </c>
      <c r="D1650" s="46"/>
      <c r="E1650" s="47" t="s">
        <v>50</v>
      </c>
      <c r="F1650" s="48">
        <v>10.83</v>
      </c>
      <c r="G1650" s="38">
        <v>1.17</v>
      </c>
      <c r="H1650" s="39"/>
      <c r="I1650" s="39"/>
      <c r="J1650" s="39"/>
      <c r="K1650" s="39"/>
      <c r="L1650" s="39"/>
      <c r="M1650" s="39"/>
      <c r="N1650" s="39"/>
      <c r="O1650" s="39"/>
      <c r="P1650" s="39"/>
      <c r="Q1650" s="39">
        <v>1.17</v>
      </c>
      <c r="R1650" s="39"/>
      <c r="S1650" s="39"/>
      <c r="T1650" s="39"/>
      <c r="U1650" s="39"/>
      <c r="V1650" s="39"/>
      <c r="W1650" s="39"/>
      <c r="X1650" s="49" t="s">
        <v>103</v>
      </c>
      <c r="Y1650" s="50">
        <v>9097.2</v>
      </c>
      <c r="Z1650" s="51">
        <v>5680</v>
      </c>
      <c r="AA1650" s="52">
        <f t="shared" si="39"/>
        <v>0.624367937387328</v>
      </c>
      <c r="AB1650" s="12">
        <v>5680</v>
      </c>
      <c r="AC1650" s="12">
        <v>0</v>
      </c>
      <c r="AD1650" s="43"/>
      <c r="AE1650" s="43"/>
      <c r="AF1650" s="43"/>
      <c r="AG1650" s="43"/>
      <c r="AH1650" s="43"/>
      <c r="AI1650" s="43"/>
      <c r="AJ1650" s="43"/>
      <c r="AK1650" s="43"/>
      <c r="AL1650" s="43"/>
      <c r="AM1650" s="43"/>
      <c r="AN1650" s="43"/>
      <c r="AO1650" s="43"/>
      <c r="AP1650" s="43"/>
      <c r="AQ1650" s="43"/>
      <c r="AR1650" s="43"/>
      <c r="AS1650" s="43"/>
      <c r="AT1650" s="43"/>
      <c r="AU1650" s="43"/>
      <c r="AV1650" s="43"/>
    </row>
    <row r="1651" ht="15.75" spans="1:48">
      <c r="A1651" s="12">
        <v>1647</v>
      </c>
      <c r="B1651" s="44" t="s">
        <v>372</v>
      </c>
      <c r="C1651" s="45" t="s">
        <v>373</v>
      </c>
      <c r="D1651" s="46"/>
      <c r="E1651" s="47" t="s">
        <v>50</v>
      </c>
      <c r="F1651" s="48">
        <v>5.67</v>
      </c>
      <c r="G1651" s="38">
        <v>2.33</v>
      </c>
      <c r="H1651" s="39"/>
      <c r="I1651" s="39"/>
      <c r="J1651" s="39"/>
      <c r="K1651" s="39"/>
      <c r="L1651" s="39"/>
      <c r="M1651" s="39"/>
      <c r="N1651" s="39"/>
      <c r="O1651" s="39"/>
      <c r="P1651" s="39"/>
      <c r="Q1651" s="39">
        <v>2.33</v>
      </c>
      <c r="R1651" s="39"/>
      <c r="S1651" s="39"/>
      <c r="T1651" s="39"/>
      <c r="U1651" s="39"/>
      <c r="V1651" s="39"/>
      <c r="W1651" s="39"/>
      <c r="X1651" s="49" t="s">
        <v>384</v>
      </c>
      <c r="Y1651" s="50">
        <v>0</v>
      </c>
      <c r="Z1651" s="51"/>
      <c r="AA1651" s="52">
        <f t="shared" si="39"/>
        <v>0</v>
      </c>
      <c r="AB1651" s="12">
        <v>0</v>
      </c>
      <c r="AC1651" s="12">
        <v>0</v>
      </c>
      <c r="AD1651" s="43"/>
      <c r="AE1651" s="43"/>
      <c r="AF1651" s="43"/>
      <c r="AG1651" s="43"/>
      <c r="AH1651" s="43"/>
      <c r="AI1651" s="43"/>
      <c r="AJ1651" s="43"/>
      <c r="AK1651" s="43"/>
      <c r="AL1651" s="43"/>
      <c r="AM1651" s="43"/>
      <c r="AN1651" s="43"/>
      <c r="AO1651" s="43"/>
      <c r="AP1651" s="43"/>
      <c r="AQ1651" s="43"/>
      <c r="AR1651" s="43"/>
      <c r="AS1651" s="43"/>
      <c r="AT1651" s="43"/>
      <c r="AU1651" s="43"/>
      <c r="AV1651" s="43"/>
    </row>
    <row r="1652" ht="15.75" spans="1:48">
      <c r="A1652" s="12">
        <v>1648</v>
      </c>
      <c r="B1652" s="44">
        <v>4412</v>
      </c>
      <c r="C1652" s="45" t="s">
        <v>177</v>
      </c>
      <c r="D1652" s="46"/>
      <c r="E1652" s="47" t="s">
        <v>50</v>
      </c>
      <c r="F1652" s="48">
        <v>0.51</v>
      </c>
      <c r="G1652" s="38">
        <v>0</v>
      </c>
      <c r="H1652" s="39"/>
      <c r="I1652" s="39"/>
      <c r="J1652" s="39"/>
      <c r="K1652" s="39"/>
      <c r="L1652" s="39"/>
      <c r="M1652" s="39"/>
      <c r="N1652" s="39"/>
      <c r="O1652" s="39"/>
      <c r="P1652" s="39"/>
      <c r="Q1652" s="39"/>
      <c r="R1652" s="39"/>
      <c r="S1652" s="39"/>
      <c r="T1652" s="39"/>
      <c r="U1652" s="39"/>
      <c r="V1652" s="39"/>
      <c r="W1652" s="39"/>
      <c r="X1652" s="49" t="s">
        <v>212</v>
      </c>
      <c r="Y1652" s="50">
        <v>153</v>
      </c>
      <c r="Z1652" s="51">
        <v>160</v>
      </c>
      <c r="AA1652" s="52">
        <f>IFERROR(Z1652/Y1652,0)</f>
        <v>1.04575163398693</v>
      </c>
      <c r="AB1652" s="12">
        <v>160</v>
      </c>
      <c r="AC1652" s="12">
        <v>0</v>
      </c>
      <c r="AD1652" s="43"/>
      <c r="AE1652" s="43"/>
      <c r="AF1652" s="43"/>
      <c r="AG1652" s="43"/>
      <c r="AH1652" s="43"/>
      <c r="AI1652" s="43"/>
      <c r="AJ1652" s="43"/>
      <c r="AK1652" s="43"/>
      <c r="AL1652" s="43"/>
      <c r="AM1652" s="43"/>
      <c r="AN1652" s="43"/>
      <c r="AO1652" s="43"/>
      <c r="AP1652" s="43"/>
      <c r="AQ1652" s="43"/>
      <c r="AR1652" s="43"/>
      <c r="AS1652" s="43"/>
      <c r="AT1652" s="43"/>
      <c r="AU1652" s="43"/>
      <c r="AV1652" s="43"/>
    </row>
    <row r="1653" ht="15.75" spans="1:48">
      <c r="A1653" s="12">
        <v>1649</v>
      </c>
      <c r="B1653" s="44">
        <v>4412</v>
      </c>
      <c r="C1653" s="45" t="s">
        <v>177</v>
      </c>
      <c r="D1653" s="46"/>
      <c r="E1653" s="47" t="s">
        <v>50</v>
      </c>
      <c r="F1653" s="48">
        <v>0.33</v>
      </c>
      <c r="G1653" s="38">
        <v>0</v>
      </c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  <c r="S1653" s="39"/>
      <c r="T1653" s="39"/>
      <c r="U1653" s="39"/>
      <c r="V1653" s="39"/>
      <c r="W1653" s="39"/>
      <c r="X1653" s="49" t="s">
        <v>105</v>
      </c>
      <c r="Y1653" s="50">
        <v>217.8</v>
      </c>
      <c r="Z1653" s="51">
        <v>250</v>
      </c>
      <c r="AA1653" s="52">
        <f>IFERROR(Z1653/Y1653,0)</f>
        <v>1.14784205693297</v>
      </c>
      <c r="AB1653" s="12">
        <v>250</v>
      </c>
      <c r="AC1653" s="12">
        <v>0</v>
      </c>
      <c r="AD1653" s="43"/>
      <c r="AE1653" s="43"/>
      <c r="AF1653" s="43"/>
      <c r="AG1653" s="43"/>
      <c r="AH1653" s="43"/>
      <c r="AI1653" s="43"/>
      <c r="AJ1653" s="43"/>
      <c r="AK1653" s="43"/>
      <c r="AL1653" s="43"/>
      <c r="AM1653" s="43"/>
      <c r="AN1653" s="43"/>
      <c r="AO1653" s="43"/>
      <c r="AP1653" s="43"/>
      <c r="AQ1653" s="43"/>
      <c r="AR1653" s="43"/>
      <c r="AS1653" s="43"/>
      <c r="AT1653" s="43"/>
      <c r="AU1653" s="43"/>
      <c r="AV1653" s="43"/>
    </row>
    <row r="1654" ht="15.75" spans="1:48">
      <c r="A1654" s="12">
        <v>1650</v>
      </c>
      <c r="B1654" s="44">
        <v>4412</v>
      </c>
      <c r="C1654" s="45" t="s">
        <v>177</v>
      </c>
      <c r="D1654" s="46"/>
      <c r="E1654" s="47" t="s">
        <v>50</v>
      </c>
      <c r="F1654" s="48">
        <v>1.33</v>
      </c>
      <c r="G1654" s="38">
        <v>0</v>
      </c>
      <c r="H1654" s="39"/>
      <c r="I1654" s="39"/>
      <c r="J1654" s="39"/>
      <c r="K1654" s="39"/>
      <c r="L1654" s="39"/>
      <c r="M1654" s="39"/>
      <c r="N1654" s="39"/>
      <c r="O1654" s="39"/>
      <c r="P1654" s="39"/>
      <c r="Q1654" s="39"/>
      <c r="R1654" s="39"/>
      <c r="S1654" s="39"/>
      <c r="T1654" s="39"/>
      <c r="U1654" s="39"/>
      <c r="V1654" s="39"/>
      <c r="W1654" s="39"/>
      <c r="X1654" s="49" t="s">
        <v>104</v>
      </c>
      <c r="Y1654" s="50">
        <v>19950</v>
      </c>
      <c r="Z1654" s="51">
        <v>20000</v>
      </c>
      <c r="AA1654" s="52">
        <f>IFERROR(Z1654/Y1654,0)</f>
        <v>1.00250626566416</v>
      </c>
      <c r="AB1654" s="12">
        <v>20000</v>
      </c>
      <c r="AC1654" s="12">
        <v>0</v>
      </c>
      <c r="AD1654" s="43"/>
      <c r="AE1654" s="43"/>
      <c r="AF1654" s="43"/>
      <c r="AG1654" s="43"/>
      <c r="AH1654" s="43"/>
      <c r="AI1654" s="43"/>
      <c r="AJ1654" s="43"/>
      <c r="AK1654" s="43"/>
      <c r="AL1654" s="43"/>
      <c r="AM1654" s="43"/>
      <c r="AN1654" s="43"/>
      <c r="AO1654" s="43"/>
      <c r="AP1654" s="43"/>
      <c r="AQ1654" s="43"/>
      <c r="AR1654" s="43"/>
      <c r="AS1654" s="43"/>
      <c r="AT1654" s="43"/>
      <c r="AU1654" s="43"/>
      <c r="AV1654" s="43"/>
    </row>
    <row r="1655" ht="15.75" spans="1:48">
      <c r="A1655" s="12">
        <v>1651</v>
      </c>
      <c r="B1655" s="44">
        <v>4490</v>
      </c>
      <c r="C1655" s="45" t="s">
        <v>91</v>
      </c>
      <c r="D1655" s="46"/>
      <c r="E1655" s="47" t="s">
        <v>50</v>
      </c>
      <c r="F1655" s="48">
        <v>0.83</v>
      </c>
      <c r="G1655" s="38">
        <v>0</v>
      </c>
      <c r="H1655" s="39"/>
      <c r="I1655" s="39"/>
      <c r="J1655" s="39"/>
      <c r="K1655" s="39"/>
      <c r="L1655" s="39"/>
      <c r="M1655" s="39"/>
      <c r="N1655" s="39"/>
      <c r="O1655" s="39"/>
      <c r="P1655" s="39"/>
      <c r="Q1655" s="39"/>
      <c r="R1655" s="39"/>
      <c r="S1655" s="39"/>
      <c r="T1655" s="39"/>
      <c r="U1655" s="39"/>
      <c r="V1655" s="39"/>
      <c r="W1655" s="39"/>
      <c r="X1655" s="49" t="s">
        <v>103</v>
      </c>
      <c r="Y1655" s="50">
        <v>697.2</v>
      </c>
      <c r="Z1655" s="51">
        <v>697</v>
      </c>
      <c r="AA1655" s="52">
        <f t="shared" ref="AA1655:AA1668" si="40">IFERROR(Z1655/Y1655,0)</f>
        <v>0.999713138267355</v>
      </c>
      <c r="AB1655" s="12">
        <v>697</v>
      </c>
      <c r="AC1655" s="12">
        <v>0</v>
      </c>
      <c r="AD1655" s="43"/>
      <c r="AE1655" s="43"/>
      <c r="AF1655" s="43"/>
      <c r="AG1655" s="43"/>
      <c r="AH1655" s="43"/>
      <c r="AI1655" s="43"/>
      <c r="AJ1655" s="43"/>
      <c r="AK1655" s="43"/>
      <c r="AL1655" s="43"/>
      <c r="AM1655" s="43"/>
      <c r="AN1655" s="43"/>
      <c r="AO1655" s="43"/>
      <c r="AP1655" s="43"/>
      <c r="AQ1655" s="43"/>
      <c r="AR1655" s="43"/>
      <c r="AS1655" s="43"/>
      <c r="AT1655" s="43"/>
      <c r="AU1655" s="43"/>
      <c r="AV1655" s="43"/>
    </row>
    <row r="1656" ht="15.75" spans="1:48">
      <c r="A1656" s="12">
        <v>1652</v>
      </c>
      <c r="B1656" s="44">
        <v>761</v>
      </c>
      <c r="C1656" s="45" t="s">
        <v>89</v>
      </c>
      <c r="D1656" s="46"/>
      <c r="E1656" s="47" t="s">
        <v>50</v>
      </c>
      <c r="F1656" s="48">
        <v>0.67</v>
      </c>
      <c r="G1656" s="38">
        <v>0</v>
      </c>
      <c r="H1656" s="39"/>
      <c r="I1656" s="39"/>
      <c r="J1656" s="39"/>
      <c r="K1656" s="39"/>
      <c r="L1656" s="39"/>
      <c r="M1656" s="39"/>
      <c r="N1656" s="39"/>
      <c r="O1656" s="39"/>
      <c r="P1656" s="39"/>
      <c r="Q1656" s="39"/>
      <c r="R1656" s="39"/>
      <c r="S1656" s="39"/>
      <c r="T1656" s="39"/>
      <c r="U1656" s="39"/>
      <c r="V1656" s="39"/>
      <c r="W1656" s="39"/>
      <c r="X1656" s="49" t="s">
        <v>295</v>
      </c>
      <c r="Y1656" s="50">
        <v>1286.4</v>
      </c>
      <c r="Z1656" s="51">
        <v>1440</v>
      </c>
      <c r="AA1656" s="52">
        <f t="shared" si="40"/>
        <v>1.11940298507463</v>
      </c>
      <c r="AB1656" s="12">
        <v>1440</v>
      </c>
      <c r="AC1656" s="12">
        <v>0</v>
      </c>
      <c r="AD1656" s="43"/>
      <c r="AE1656" s="43"/>
      <c r="AF1656" s="43"/>
      <c r="AG1656" s="43"/>
      <c r="AH1656" s="43"/>
      <c r="AI1656" s="43"/>
      <c r="AJ1656" s="43"/>
      <c r="AK1656" s="43"/>
      <c r="AL1656" s="43"/>
      <c r="AM1656" s="43"/>
      <c r="AN1656" s="43"/>
      <c r="AO1656" s="43"/>
      <c r="AP1656" s="43"/>
      <c r="AQ1656" s="43"/>
      <c r="AR1656" s="43"/>
      <c r="AS1656" s="43"/>
      <c r="AT1656" s="43"/>
      <c r="AU1656" s="43"/>
      <c r="AV1656" s="43"/>
    </row>
    <row r="1657" ht="15.75" spans="1:48">
      <c r="A1657" s="12">
        <v>1653</v>
      </c>
      <c r="B1657" s="44">
        <v>849</v>
      </c>
      <c r="C1657" s="45" t="s">
        <v>108</v>
      </c>
      <c r="D1657" s="46"/>
      <c r="E1657" s="47" t="s">
        <v>50</v>
      </c>
      <c r="F1657" s="48">
        <v>10.83</v>
      </c>
      <c r="G1657" s="38">
        <v>1.17</v>
      </c>
      <c r="H1657" s="39"/>
      <c r="I1657" s="39"/>
      <c r="J1657" s="39"/>
      <c r="K1657" s="39"/>
      <c r="L1657" s="39"/>
      <c r="M1657" s="39"/>
      <c r="N1657" s="39"/>
      <c r="O1657" s="39"/>
      <c r="P1657" s="39"/>
      <c r="Q1657" s="39">
        <v>1.17</v>
      </c>
      <c r="R1657" s="39"/>
      <c r="S1657" s="39"/>
      <c r="T1657" s="39"/>
      <c r="U1657" s="39"/>
      <c r="V1657" s="39"/>
      <c r="W1657" s="39"/>
      <c r="X1657" s="49" t="s">
        <v>385</v>
      </c>
      <c r="Y1657" s="50">
        <v>3249</v>
      </c>
      <c r="Z1657" s="51">
        <v>1744</v>
      </c>
      <c r="AA1657" s="52">
        <f t="shared" si="40"/>
        <v>0.53678054786088</v>
      </c>
      <c r="AB1657" s="12">
        <v>1744</v>
      </c>
      <c r="AC1657" s="12">
        <v>0</v>
      </c>
      <c r="AD1657" s="43"/>
      <c r="AE1657" s="43"/>
      <c r="AF1657" s="43"/>
      <c r="AG1657" s="43"/>
      <c r="AH1657" s="43"/>
      <c r="AI1657" s="43"/>
      <c r="AJ1657" s="43"/>
      <c r="AK1657" s="43"/>
      <c r="AL1657" s="43"/>
      <c r="AM1657" s="43"/>
      <c r="AN1657" s="43"/>
      <c r="AO1657" s="43"/>
      <c r="AP1657" s="43"/>
      <c r="AQ1657" s="43"/>
      <c r="AR1657" s="43"/>
      <c r="AS1657" s="43"/>
      <c r="AT1657" s="43"/>
      <c r="AU1657" s="43"/>
      <c r="AV1657" s="43"/>
    </row>
    <row r="1658" ht="15.75" spans="1:48">
      <c r="A1658" s="12">
        <v>1654</v>
      </c>
      <c r="B1658" s="44" t="s">
        <v>181</v>
      </c>
      <c r="C1658" s="45" t="s">
        <v>182</v>
      </c>
      <c r="D1658" s="46"/>
      <c r="E1658" s="47" t="s">
        <v>50</v>
      </c>
      <c r="F1658" s="48">
        <v>10.83</v>
      </c>
      <c r="G1658" s="38">
        <v>1.17</v>
      </c>
      <c r="H1658" s="39"/>
      <c r="I1658" s="39"/>
      <c r="J1658" s="39"/>
      <c r="K1658" s="39"/>
      <c r="L1658" s="39"/>
      <c r="M1658" s="39"/>
      <c r="N1658" s="39"/>
      <c r="O1658" s="39"/>
      <c r="P1658" s="39"/>
      <c r="Q1658" s="39">
        <v>1.17</v>
      </c>
      <c r="R1658" s="39"/>
      <c r="S1658" s="39"/>
      <c r="T1658" s="39"/>
      <c r="U1658" s="39"/>
      <c r="V1658" s="39"/>
      <c r="W1658" s="39"/>
      <c r="X1658" s="49" t="s">
        <v>103</v>
      </c>
      <c r="Y1658" s="50">
        <v>9097.2</v>
      </c>
      <c r="Z1658" s="51">
        <v>7103</v>
      </c>
      <c r="AA1658" s="52">
        <f t="shared" si="40"/>
        <v>0.780789693532076</v>
      </c>
      <c r="AB1658" s="12">
        <v>7103</v>
      </c>
      <c r="AC1658" s="12">
        <v>0</v>
      </c>
      <c r="AD1658" s="43"/>
      <c r="AE1658" s="43"/>
      <c r="AF1658" s="43"/>
      <c r="AG1658" s="43"/>
      <c r="AH1658" s="43"/>
      <c r="AI1658" s="43"/>
      <c r="AJ1658" s="43"/>
      <c r="AK1658" s="43"/>
      <c r="AL1658" s="43"/>
      <c r="AM1658" s="43"/>
      <c r="AN1658" s="43"/>
      <c r="AO1658" s="43"/>
      <c r="AP1658" s="43"/>
      <c r="AQ1658" s="43"/>
      <c r="AR1658" s="43"/>
      <c r="AS1658" s="43"/>
      <c r="AT1658" s="43"/>
      <c r="AU1658" s="43"/>
      <c r="AV1658" s="43"/>
    </row>
    <row r="1659" ht="15.75" spans="1:48">
      <c r="A1659" s="12">
        <v>1655</v>
      </c>
      <c r="B1659" s="44">
        <v>4017</v>
      </c>
      <c r="C1659" s="45" t="s">
        <v>148</v>
      </c>
      <c r="D1659" s="46"/>
      <c r="E1659" s="47" t="s">
        <v>50</v>
      </c>
      <c r="F1659" s="48">
        <v>1.5</v>
      </c>
      <c r="G1659" s="38">
        <v>0</v>
      </c>
      <c r="H1659" s="39"/>
      <c r="I1659" s="39"/>
      <c r="J1659" s="39"/>
      <c r="K1659" s="39"/>
      <c r="L1659" s="39"/>
      <c r="M1659" s="39"/>
      <c r="N1659" s="39"/>
      <c r="O1659" s="39"/>
      <c r="P1659" s="39"/>
      <c r="Q1659" s="39"/>
      <c r="R1659" s="39"/>
      <c r="S1659" s="39"/>
      <c r="T1659" s="39"/>
      <c r="U1659" s="39"/>
      <c r="V1659" s="39"/>
      <c r="W1659" s="39"/>
      <c r="X1659" s="49" t="s">
        <v>105</v>
      </c>
      <c r="Y1659" s="50">
        <v>990</v>
      </c>
      <c r="Z1659" s="51">
        <v>1045</v>
      </c>
      <c r="AA1659" s="52">
        <f t="shared" si="40"/>
        <v>1.05555555555556</v>
      </c>
      <c r="AB1659" s="12">
        <v>1045</v>
      </c>
      <c r="AC1659" s="12">
        <v>0</v>
      </c>
      <c r="AD1659" s="43"/>
      <c r="AE1659" s="43"/>
      <c r="AF1659" s="43"/>
      <c r="AG1659" s="43"/>
      <c r="AH1659" s="43"/>
      <c r="AI1659" s="43"/>
      <c r="AJ1659" s="43"/>
      <c r="AK1659" s="43"/>
      <c r="AL1659" s="43"/>
      <c r="AM1659" s="43"/>
      <c r="AN1659" s="43"/>
      <c r="AO1659" s="43"/>
      <c r="AP1659" s="43"/>
      <c r="AQ1659" s="43"/>
      <c r="AR1659" s="43"/>
      <c r="AS1659" s="43"/>
      <c r="AT1659" s="43"/>
      <c r="AU1659" s="43"/>
      <c r="AV1659" s="43"/>
    </row>
    <row r="1660" ht="15.75" spans="1:48">
      <c r="A1660" s="12">
        <v>1656</v>
      </c>
      <c r="B1660" s="44">
        <v>4360</v>
      </c>
      <c r="C1660" s="45" t="s">
        <v>97</v>
      </c>
      <c r="D1660" s="46"/>
      <c r="E1660" s="47" t="s">
        <v>50</v>
      </c>
      <c r="F1660" s="48">
        <v>0.85</v>
      </c>
      <c r="G1660" s="38">
        <v>0</v>
      </c>
      <c r="H1660" s="39"/>
      <c r="I1660" s="39"/>
      <c r="J1660" s="39"/>
      <c r="K1660" s="39"/>
      <c r="L1660" s="39"/>
      <c r="M1660" s="39"/>
      <c r="N1660" s="39"/>
      <c r="O1660" s="39"/>
      <c r="P1660" s="39"/>
      <c r="Q1660" s="39"/>
      <c r="R1660" s="39"/>
      <c r="S1660" s="39"/>
      <c r="T1660" s="39"/>
      <c r="U1660" s="39"/>
      <c r="V1660" s="39"/>
      <c r="W1660" s="39"/>
      <c r="X1660" s="49" t="s">
        <v>103</v>
      </c>
      <c r="Y1660" s="50">
        <v>714</v>
      </c>
      <c r="Z1660" s="51">
        <v>600</v>
      </c>
      <c r="AA1660" s="52">
        <f t="shared" si="40"/>
        <v>0.840336134453781</v>
      </c>
      <c r="AB1660" s="12">
        <v>600</v>
      </c>
      <c r="AC1660" s="12">
        <v>0</v>
      </c>
      <c r="AD1660" s="43"/>
      <c r="AE1660" s="43"/>
      <c r="AF1660" s="43"/>
      <c r="AG1660" s="43"/>
      <c r="AH1660" s="43"/>
      <c r="AI1660" s="43"/>
      <c r="AJ1660" s="43"/>
      <c r="AK1660" s="43"/>
      <c r="AL1660" s="43"/>
      <c r="AM1660" s="43"/>
      <c r="AN1660" s="43"/>
      <c r="AO1660" s="43"/>
      <c r="AP1660" s="43"/>
      <c r="AQ1660" s="43"/>
      <c r="AR1660" s="43"/>
      <c r="AS1660" s="43"/>
      <c r="AT1660" s="43"/>
      <c r="AU1660" s="43"/>
      <c r="AV1660" s="43"/>
    </row>
    <row r="1661" ht="15.75" spans="1:48">
      <c r="A1661" s="12">
        <v>1657</v>
      </c>
      <c r="B1661" s="44">
        <v>4360</v>
      </c>
      <c r="C1661" s="45" t="s">
        <v>97</v>
      </c>
      <c r="D1661" s="46"/>
      <c r="E1661" s="47" t="s">
        <v>50</v>
      </c>
      <c r="F1661" s="48">
        <v>1.65</v>
      </c>
      <c r="G1661" s="38">
        <v>0</v>
      </c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  <c r="S1661" s="39"/>
      <c r="T1661" s="39"/>
      <c r="U1661" s="39"/>
      <c r="V1661" s="39"/>
      <c r="W1661" s="39"/>
      <c r="X1661" s="49" t="s">
        <v>104</v>
      </c>
      <c r="Y1661" s="50">
        <v>24750</v>
      </c>
      <c r="Z1661" s="51">
        <v>20000</v>
      </c>
      <c r="AA1661" s="52">
        <f t="shared" si="40"/>
        <v>0.808080808080808</v>
      </c>
      <c r="AB1661" s="12">
        <v>20000</v>
      </c>
      <c r="AC1661" s="12">
        <v>0</v>
      </c>
      <c r="AD1661" s="43"/>
      <c r="AE1661" s="43"/>
      <c r="AF1661" s="43"/>
      <c r="AG1661" s="43"/>
      <c r="AH1661" s="43"/>
      <c r="AI1661" s="43"/>
      <c r="AJ1661" s="43"/>
      <c r="AK1661" s="43"/>
      <c r="AL1661" s="43"/>
      <c r="AM1661" s="43"/>
      <c r="AN1661" s="43"/>
      <c r="AO1661" s="43"/>
      <c r="AP1661" s="43"/>
      <c r="AQ1661" s="43"/>
      <c r="AR1661" s="43"/>
      <c r="AS1661" s="43"/>
      <c r="AT1661" s="43"/>
      <c r="AU1661" s="43"/>
      <c r="AV1661" s="43"/>
    </row>
    <row r="1662" ht="15.75" spans="1:48">
      <c r="A1662" s="12">
        <v>1658</v>
      </c>
      <c r="B1662" s="44">
        <v>850</v>
      </c>
      <c r="C1662" s="45" t="s">
        <v>109</v>
      </c>
      <c r="D1662" s="46"/>
      <c r="E1662" s="47" t="s">
        <v>50</v>
      </c>
      <c r="F1662" s="48">
        <v>5.33</v>
      </c>
      <c r="G1662" s="38">
        <v>1.17</v>
      </c>
      <c r="H1662" s="39"/>
      <c r="I1662" s="39"/>
      <c r="J1662" s="39"/>
      <c r="K1662" s="39"/>
      <c r="L1662" s="39"/>
      <c r="M1662" s="39"/>
      <c r="N1662" s="39"/>
      <c r="O1662" s="39"/>
      <c r="P1662" s="39"/>
      <c r="Q1662" s="39">
        <v>1.17</v>
      </c>
      <c r="R1662" s="39"/>
      <c r="S1662" s="39"/>
      <c r="T1662" s="39"/>
      <c r="U1662" s="39"/>
      <c r="V1662" s="39"/>
      <c r="W1662" s="39"/>
      <c r="X1662" s="49" t="s">
        <v>105</v>
      </c>
      <c r="Y1662" s="50">
        <v>3517.8</v>
      </c>
      <c r="Z1662" s="51">
        <v>1877</v>
      </c>
      <c r="AA1662" s="52">
        <f t="shared" si="40"/>
        <v>0.533572118937973</v>
      </c>
      <c r="AB1662" s="12">
        <v>1877</v>
      </c>
      <c r="AC1662" s="12">
        <v>0</v>
      </c>
      <c r="AD1662" s="43"/>
      <c r="AE1662" s="43"/>
      <c r="AF1662" s="43"/>
      <c r="AG1662" s="43"/>
      <c r="AH1662" s="43"/>
      <c r="AI1662" s="43"/>
      <c r="AJ1662" s="43"/>
      <c r="AK1662" s="43"/>
      <c r="AL1662" s="43"/>
      <c r="AM1662" s="43"/>
      <c r="AN1662" s="43"/>
      <c r="AO1662" s="43"/>
      <c r="AP1662" s="43"/>
      <c r="AQ1662" s="43"/>
      <c r="AR1662" s="43"/>
      <c r="AS1662" s="43"/>
      <c r="AT1662" s="43"/>
      <c r="AU1662" s="43"/>
      <c r="AV1662" s="43"/>
    </row>
    <row r="1663" ht="15.75" spans="1:48">
      <c r="A1663" s="12">
        <v>1659</v>
      </c>
      <c r="B1663" s="44">
        <v>850</v>
      </c>
      <c r="C1663" s="45" t="s">
        <v>109</v>
      </c>
      <c r="D1663" s="46"/>
      <c r="E1663" s="47" t="s">
        <v>50</v>
      </c>
      <c r="F1663" s="48">
        <v>5</v>
      </c>
      <c r="G1663" s="38">
        <v>0</v>
      </c>
      <c r="H1663" s="39"/>
      <c r="I1663" s="39"/>
      <c r="J1663" s="39"/>
      <c r="K1663" s="39"/>
      <c r="L1663" s="39"/>
      <c r="M1663" s="39"/>
      <c r="N1663" s="39"/>
      <c r="O1663" s="39"/>
      <c r="P1663" s="39"/>
      <c r="Q1663" s="39"/>
      <c r="R1663" s="39"/>
      <c r="S1663" s="39"/>
      <c r="T1663" s="39"/>
      <c r="U1663" s="39"/>
      <c r="V1663" s="39"/>
      <c r="W1663" s="39"/>
      <c r="X1663" s="49" t="s">
        <v>212</v>
      </c>
      <c r="Y1663" s="50">
        <v>1500</v>
      </c>
      <c r="Z1663" s="51">
        <v>724</v>
      </c>
      <c r="AA1663" s="52">
        <f t="shared" si="40"/>
        <v>0.482666666666667</v>
      </c>
      <c r="AB1663" s="12">
        <v>724</v>
      </c>
      <c r="AC1663" s="12">
        <v>0</v>
      </c>
      <c r="AD1663" s="43"/>
      <c r="AE1663" s="43"/>
      <c r="AF1663" s="43"/>
      <c r="AG1663" s="43"/>
      <c r="AH1663" s="43"/>
      <c r="AI1663" s="43"/>
      <c r="AJ1663" s="43"/>
      <c r="AK1663" s="43"/>
      <c r="AL1663" s="43"/>
      <c r="AM1663" s="43"/>
      <c r="AN1663" s="43"/>
      <c r="AO1663" s="43"/>
      <c r="AP1663" s="43"/>
      <c r="AQ1663" s="43"/>
      <c r="AR1663" s="43"/>
      <c r="AS1663" s="43"/>
      <c r="AT1663" s="43"/>
      <c r="AU1663" s="43"/>
      <c r="AV1663" s="43"/>
    </row>
    <row r="1664" ht="15.75" spans="1:48">
      <c r="A1664" s="12">
        <v>1660</v>
      </c>
      <c r="B1664" s="44">
        <v>850</v>
      </c>
      <c r="C1664" s="45" t="s">
        <v>109</v>
      </c>
      <c r="D1664" s="46"/>
      <c r="E1664" s="47" t="s">
        <v>50</v>
      </c>
      <c r="F1664" s="48">
        <v>0.5</v>
      </c>
      <c r="G1664" s="38">
        <v>0</v>
      </c>
      <c r="H1664" s="39"/>
      <c r="I1664" s="39"/>
      <c r="J1664" s="39"/>
      <c r="K1664" s="39"/>
      <c r="L1664" s="39"/>
      <c r="M1664" s="39"/>
      <c r="N1664" s="39"/>
      <c r="O1664" s="39"/>
      <c r="P1664" s="39"/>
      <c r="Q1664" s="39"/>
      <c r="R1664" s="39"/>
      <c r="S1664" s="39"/>
      <c r="T1664" s="39"/>
      <c r="U1664" s="39"/>
      <c r="V1664" s="39"/>
      <c r="W1664" s="39"/>
      <c r="X1664" s="49" t="s">
        <v>103</v>
      </c>
      <c r="Y1664" s="50">
        <v>420</v>
      </c>
      <c r="Z1664" s="51">
        <v>240</v>
      </c>
      <c r="AA1664" s="52">
        <f t="shared" si="40"/>
        <v>0.571428571428571</v>
      </c>
      <c r="AB1664" s="12">
        <v>240</v>
      </c>
      <c r="AC1664" s="12">
        <v>0</v>
      </c>
      <c r="AD1664" s="43"/>
      <c r="AE1664" s="43"/>
      <c r="AF1664" s="43"/>
      <c r="AG1664" s="43"/>
      <c r="AH1664" s="43"/>
      <c r="AI1664" s="43"/>
      <c r="AJ1664" s="43"/>
      <c r="AK1664" s="43"/>
      <c r="AL1664" s="43"/>
      <c r="AM1664" s="43"/>
      <c r="AN1664" s="43"/>
      <c r="AO1664" s="43"/>
      <c r="AP1664" s="43"/>
      <c r="AQ1664" s="43"/>
      <c r="AR1664" s="43"/>
      <c r="AS1664" s="43"/>
      <c r="AT1664" s="43"/>
      <c r="AU1664" s="43"/>
      <c r="AV1664" s="43"/>
    </row>
    <row r="1665" ht="15.75" spans="1:48">
      <c r="A1665" s="12">
        <v>1661</v>
      </c>
      <c r="B1665" s="44">
        <v>2865</v>
      </c>
      <c r="C1665" s="45" t="s">
        <v>149</v>
      </c>
      <c r="D1665" s="46"/>
      <c r="E1665" s="47" t="s">
        <v>50</v>
      </c>
      <c r="F1665" s="48">
        <v>1.67</v>
      </c>
      <c r="G1665" s="38">
        <v>0</v>
      </c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  <c r="S1665" s="39"/>
      <c r="T1665" s="39"/>
      <c r="U1665" s="39"/>
      <c r="V1665" s="39"/>
      <c r="W1665" s="39"/>
      <c r="X1665" s="49" t="s">
        <v>105</v>
      </c>
      <c r="Y1665" s="50">
        <v>1102.2</v>
      </c>
      <c r="Z1665" s="51">
        <v>1080</v>
      </c>
      <c r="AA1665" s="52">
        <f t="shared" si="40"/>
        <v>0.979858464888405</v>
      </c>
      <c r="AB1665" s="12">
        <v>1080</v>
      </c>
      <c r="AC1665" s="12">
        <v>0</v>
      </c>
      <c r="AD1665" s="43"/>
      <c r="AE1665" s="43"/>
      <c r="AF1665" s="43"/>
      <c r="AG1665" s="43"/>
      <c r="AH1665" s="43"/>
      <c r="AI1665" s="43"/>
      <c r="AJ1665" s="43"/>
      <c r="AK1665" s="43"/>
      <c r="AL1665" s="43"/>
      <c r="AM1665" s="43"/>
      <c r="AN1665" s="43"/>
      <c r="AO1665" s="43"/>
      <c r="AP1665" s="43"/>
      <c r="AQ1665" s="43"/>
      <c r="AR1665" s="43"/>
      <c r="AS1665" s="43"/>
      <c r="AT1665" s="43"/>
      <c r="AU1665" s="43"/>
      <c r="AV1665" s="43"/>
    </row>
    <row r="1666" ht="15.75" spans="1:48">
      <c r="A1666" s="12">
        <v>1662</v>
      </c>
      <c r="B1666" s="44">
        <v>4185</v>
      </c>
      <c r="C1666" s="45" t="s">
        <v>72</v>
      </c>
      <c r="D1666" s="46" t="s">
        <v>78</v>
      </c>
      <c r="E1666" s="47" t="s">
        <v>50</v>
      </c>
      <c r="F1666" s="48">
        <v>10.33</v>
      </c>
      <c r="G1666" s="38">
        <v>1.67</v>
      </c>
      <c r="H1666" s="39"/>
      <c r="I1666" s="39"/>
      <c r="J1666" s="39"/>
      <c r="K1666" s="39">
        <v>0.17</v>
      </c>
      <c r="L1666" s="39"/>
      <c r="M1666" s="39"/>
      <c r="N1666" s="39"/>
      <c r="O1666" s="39"/>
      <c r="P1666" s="39"/>
      <c r="Q1666" s="39">
        <v>1.17</v>
      </c>
      <c r="R1666" s="39"/>
      <c r="S1666" s="39"/>
      <c r="T1666" s="39"/>
      <c r="U1666" s="39">
        <v>0.33</v>
      </c>
      <c r="V1666" s="39"/>
      <c r="W1666" s="39"/>
      <c r="X1666" s="49" t="s">
        <v>79</v>
      </c>
      <c r="Y1666" s="50">
        <v>68797.8</v>
      </c>
      <c r="Z1666" s="51">
        <v>58800</v>
      </c>
      <c r="AA1666" s="52">
        <f t="shared" si="40"/>
        <v>0.854678492626218</v>
      </c>
      <c r="AB1666" s="12">
        <v>58688</v>
      </c>
      <c r="AC1666" s="12">
        <v>112</v>
      </c>
      <c r="AD1666" s="43"/>
      <c r="AE1666" s="43"/>
      <c r="AF1666" s="43"/>
      <c r="AG1666" s="19">
        <v>112</v>
      </c>
      <c r="AH1666" s="43"/>
      <c r="AI1666" s="43"/>
      <c r="AJ1666" s="43"/>
      <c r="AK1666" s="43"/>
      <c r="AL1666" s="43"/>
      <c r="AM1666" s="43"/>
      <c r="AN1666" s="43"/>
      <c r="AO1666" s="43"/>
      <c r="AP1666" s="43"/>
      <c r="AQ1666" s="43"/>
      <c r="AR1666" s="43"/>
      <c r="AS1666" s="43"/>
      <c r="AT1666" s="43"/>
      <c r="AU1666" s="43"/>
      <c r="AV1666" s="43"/>
    </row>
    <row r="1667" ht="15.75" spans="1:48">
      <c r="A1667" s="12">
        <v>1663</v>
      </c>
      <c r="B1667" s="44">
        <v>4185</v>
      </c>
      <c r="C1667" s="45" t="s">
        <v>72</v>
      </c>
      <c r="D1667" s="46" t="s">
        <v>76</v>
      </c>
      <c r="E1667" s="47" t="s">
        <v>50</v>
      </c>
      <c r="F1667" s="48">
        <v>10.17</v>
      </c>
      <c r="G1667" s="38">
        <v>1.83</v>
      </c>
      <c r="H1667" s="39"/>
      <c r="I1667" s="39"/>
      <c r="J1667" s="39"/>
      <c r="K1667" s="39">
        <v>0.33</v>
      </c>
      <c r="L1667" s="39"/>
      <c r="M1667" s="39"/>
      <c r="N1667" s="39"/>
      <c r="O1667" s="39"/>
      <c r="P1667" s="39"/>
      <c r="Q1667" s="39">
        <v>1.17</v>
      </c>
      <c r="R1667" s="39"/>
      <c r="S1667" s="39"/>
      <c r="T1667" s="39"/>
      <c r="U1667" s="39">
        <v>0.33</v>
      </c>
      <c r="V1667" s="39"/>
      <c r="W1667" s="39"/>
      <c r="X1667" s="49" t="s">
        <v>77</v>
      </c>
      <c r="Y1667" s="50">
        <v>61020</v>
      </c>
      <c r="Z1667" s="51">
        <v>56160</v>
      </c>
      <c r="AA1667" s="52">
        <f t="shared" si="40"/>
        <v>0.920353982300885</v>
      </c>
      <c r="AB1667" s="12">
        <v>56096</v>
      </c>
      <c r="AC1667" s="12">
        <v>64</v>
      </c>
      <c r="AD1667" s="43"/>
      <c r="AE1667" s="43"/>
      <c r="AF1667" s="43"/>
      <c r="AG1667" s="19">
        <v>64</v>
      </c>
      <c r="AH1667" s="43"/>
      <c r="AI1667" s="43"/>
      <c r="AJ1667" s="43"/>
      <c r="AK1667" s="43"/>
      <c r="AL1667" s="43"/>
      <c r="AM1667" s="43"/>
      <c r="AN1667" s="43"/>
      <c r="AO1667" s="43"/>
      <c r="AP1667" s="43"/>
      <c r="AQ1667" s="43"/>
      <c r="AR1667" s="43"/>
      <c r="AS1667" s="43"/>
      <c r="AT1667" s="43"/>
      <c r="AU1667" s="43"/>
      <c r="AV1667" s="43"/>
    </row>
    <row r="1668" ht="15.75" spans="1:48">
      <c r="A1668" s="12">
        <v>1664</v>
      </c>
      <c r="B1668" s="44">
        <v>4185</v>
      </c>
      <c r="C1668" s="45" t="s">
        <v>72</v>
      </c>
      <c r="D1668" s="46" t="s">
        <v>207</v>
      </c>
      <c r="E1668" s="47" t="s">
        <v>50</v>
      </c>
      <c r="F1668" s="48">
        <v>10.17</v>
      </c>
      <c r="G1668" s="38">
        <v>1.83</v>
      </c>
      <c r="H1668" s="39"/>
      <c r="I1668" s="39"/>
      <c r="J1668" s="39"/>
      <c r="K1668" s="39">
        <v>0.33</v>
      </c>
      <c r="L1668" s="39"/>
      <c r="M1668" s="39"/>
      <c r="N1668" s="39"/>
      <c r="O1668" s="39"/>
      <c r="P1668" s="39"/>
      <c r="Q1668" s="39">
        <v>1.17</v>
      </c>
      <c r="R1668" s="39"/>
      <c r="S1668" s="39"/>
      <c r="T1668" s="39"/>
      <c r="U1668" s="39">
        <v>0.33</v>
      </c>
      <c r="V1668" s="39"/>
      <c r="W1668" s="39"/>
      <c r="X1668" s="49" t="s">
        <v>79</v>
      </c>
      <c r="Y1668" s="50">
        <v>67732.2</v>
      </c>
      <c r="Z1668" s="51">
        <v>58640</v>
      </c>
      <c r="AA1668" s="52">
        <f t="shared" si="40"/>
        <v>0.865762517679922</v>
      </c>
      <c r="AB1668" s="12">
        <v>58528</v>
      </c>
      <c r="AC1668" s="12">
        <v>112</v>
      </c>
      <c r="AD1668" s="43"/>
      <c r="AE1668" s="43"/>
      <c r="AF1668" s="43"/>
      <c r="AG1668" s="19">
        <v>112</v>
      </c>
      <c r="AH1668" s="43"/>
      <c r="AI1668" s="43"/>
      <c r="AJ1668" s="43"/>
      <c r="AK1668" s="43"/>
      <c r="AL1668" s="43"/>
      <c r="AM1668" s="43"/>
      <c r="AN1668" s="43"/>
      <c r="AO1668" s="43"/>
      <c r="AP1668" s="43"/>
      <c r="AQ1668" s="43"/>
      <c r="AR1668" s="43"/>
      <c r="AS1668" s="43"/>
      <c r="AT1668" s="43"/>
      <c r="AU1668" s="43"/>
      <c r="AV1668" s="43"/>
    </row>
    <row r="1669" ht="15.75" spans="1:48">
      <c r="A1669" s="12">
        <v>1665</v>
      </c>
      <c r="B1669" s="44">
        <v>4496</v>
      </c>
      <c r="C1669" s="45" t="s">
        <v>133</v>
      </c>
      <c r="D1669" s="46" t="s">
        <v>138</v>
      </c>
      <c r="E1669" s="47" t="s">
        <v>50</v>
      </c>
      <c r="F1669" s="48">
        <v>5</v>
      </c>
      <c r="G1669" s="38">
        <v>7.01</v>
      </c>
      <c r="H1669" s="39"/>
      <c r="I1669" s="39"/>
      <c r="J1669" s="39"/>
      <c r="K1669" s="39"/>
      <c r="L1669" s="39"/>
      <c r="M1669" s="39"/>
      <c r="N1669" s="39"/>
      <c r="O1669" s="39"/>
      <c r="P1669" s="39"/>
      <c r="Q1669" s="39">
        <v>1.17</v>
      </c>
      <c r="R1669" s="39"/>
      <c r="S1669" s="39">
        <v>5.67</v>
      </c>
      <c r="T1669" s="39"/>
      <c r="U1669" s="39">
        <v>0.17</v>
      </c>
      <c r="V1669" s="39"/>
      <c r="W1669" s="39"/>
      <c r="X1669" s="49" t="s">
        <v>82</v>
      </c>
      <c r="Y1669" s="50">
        <v>8125</v>
      </c>
      <c r="Z1669" s="51"/>
      <c r="AA1669" s="52">
        <f>IFERROR(Z1669/Y1669,0)</f>
        <v>0</v>
      </c>
      <c r="AB1669" s="12">
        <v>0</v>
      </c>
      <c r="AC1669" s="12">
        <v>0</v>
      </c>
      <c r="AD1669" s="43"/>
      <c r="AE1669" s="43"/>
      <c r="AF1669" s="43"/>
      <c r="AG1669" s="43"/>
      <c r="AH1669" s="43"/>
      <c r="AI1669" s="43"/>
      <c r="AJ1669" s="43"/>
      <c r="AK1669" s="43"/>
      <c r="AL1669" s="43"/>
      <c r="AM1669" s="43"/>
      <c r="AN1669" s="43"/>
      <c r="AO1669" s="43"/>
      <c r="AP1669" s="43"/>
      <c r="AQ1669" s="43"/>
      <c r="AR1669" s="43"/>
      <c r="AS1669" s="43"/>
      <c r="AT1669" s="43"/>
      <c r="AU1669" s="43"/>
      <c r="AV1669" s="43"/>
    </row>
    <row r="1670" ht="15.75" spans="1:48">
      <c r="A1670" s="12">
        <v>1666</v>
      </c>
      <c r="B1670" s="44">
        <v>4352</v>
      </c>
      <c r="C1670" s="45" t="s">
        <v>132</v>
      </c>
      <c r="D1670" s="46" t="s">
        <v>129</v>
      </c>
      <c r="E1670" s="47" t="s">
        <v>50</v>
      </c>
      <c r="F1670" s="48">
        <v>1.67</v>
      </c>
      <c r="G1670" s="38">
        <v>1.34</v>
      </c>
      <c r="H1670" s="39"/>
      <c r="I1670" s="39"/>
      <c r="J1670" s="39"/>
      <c r="K1670" s="39"/>
      <c r="L1670" s="39"/>
      <c r="M1670" s="39"/>
      <c r="N1670" s="39"/>
      <c r="O1670" s="39"/>
      <c r="P1670" s="39"/>
      <c r="Q1670" s="39">
        <v>1.17</v>
      </c>
      <c r="R1670" s="39"/>
      <c r="S1670" s="39"/>
      <c r="T1670" s="39"/>
      <c r="U1670" s="39">
        <v>0.17</v>
      </c>
      <c r="V1670" s="39"/>
      <c r="W1670" s="39"/>
      <c r="X1670" s="49" t="s">
        <v>311</v>
      </c>
      <c r="Y1670" s="50">
        <v>3340</v>
      </c>
      <c r="Z1670" s="51">
        <v>3200</v>
      </c>
      <c r="AA1670" s="52">
        <f t="shared" ref="AA1670:AA1710" si="41">IFERROR(Z1670/Y1670,0)</f>
        <v>0.958083832335329</v>
      </c>
      <c r="AB1670" s="12">
        <v>3200</v>
      </c>
      <c r="AC1670" s="12">
        <v>0</v>
      </c>
      <c r="AD1670" s="43"/>
      <c r="AE1670" s="43"/>
      <c r="AF1670" s="43"/>
      <c r="AG1670" s="43"/>
      <c r="AH1670" s="43"/>
      <c r="AI1670" s="43"/>
      <c r="AJ1670" s="43"/>
      <c r="AK1670" s="43"/>
      <c r="AL1670" s="43"/>
      <c r="AM1670" s="43"/>
      <c r="AN1670" s="43"/>
      <c r="AO1670" s="43"/>
      <c r="AP1670" s="43"/>
      <c r="AQ1670" s="43"/>
      <c r="AR1670" s="43"/>
      <c r="AS1670" s="43"/>
      <c r="AT1670" s="43"/>
      <c r="AU1670" s="43"/>
      <c r="AV1670" s="43"/>
    </row>
    <row r="1671" ht="15.75" spans="1:48">
      <c r="A1671" s="12">
        <v>1667</v>
      </c>
      <c r="B1671" s="44">
        <v>4352</v>
      </c>
      <c r="C1671" s="45" t="s">
        <v>132</v>
      </c>
      <c r="D1671" s="46" t="s">
        <v>129</v>
      </c>
      <c r="E1671" s="47" t="s">
        <v>50</v>
      </c>
      <c r="F1671" s="48">
        <v>8.67</v>
      </c>
      <c r="G1671" s="38">
        <v>0.33</v>
      </c>
      <c r="H1671" s="39"/>
      <c r="I1671" s="39"/>
      <c r="J1671" s="39">
        <v>0.33</v>
      </c>
      <c r="K1671" s="39"/>
      <c r="L1671" s="39"/>
      <c r="M1671" s="39"/>
      <c r="N1671" s="39"/>
      <c r="O1671" s="39"/>
      <c r="P1671" s="39"/>
      <c r="Q1671" s="39"/>
      <c r="R1671" s="39"/>
      <c r="S1671" s="39"/>
      <c r="T1671" s="39"/>
      <c r="U1671" s="39"/>
      <c r="V1671" s="39"/>
      <c r="W1671" s="39"/>
      <c r="X1671" s="49" t="s">
        <v>386</v>
      </c>
      <c r="Y1671" s="50">
        <v>12658.2</v>
      </c>
      <c r="Z1671" s="51">
        <v>11080</v>
      </c>
      <c r="AA1671" s="52">
        <f t="shared" si="41"/>
        <v>0.875321925708237</v>
      </c>
      <c r="AB1671" s="12">
        <v>11056</v>
      </c>
      <c r="AC1671" s="12">
        <v>24</v>
      </c>
      <c r="AD1671" s="43"/>
      <c r="AE1671" s="43"/>
      <c r="AF1671" s="43"/>
      <c r="AG1671" s="19">
        <v>24</v>
      </c>
      <c r="AH1671" s="43"/>
      <c r="AI1671" s="43"/>
      <c r="AJ1671" s="43"/>
      <c r="AK1671" s="43"/>
      <c r="AL1671" s="43"/>
      <c r="AM1671" s="43"/>
      <c r="AN1671" s="43"/>
      <c r="AO1671" s="43"/>
      <c r="AP1671" s="43"/>
      <c r="AQ1671" s="43"/>
      <c r="AR1671" s="43"/>
      <c r="AS1671" s="43"/>
      <c r="AT1671" s="43"/>
      <c r="AU1671" s="43"/>
      <c r="AV1671" s="43"/>
    </row>
    <row r="1672" ht="15.75" spans="1:48">
      <c r="A1672" s="12">
        <v>1668</v>
      </c>
      <c r="B1672" s="44">
        <v>4490</v>
      </c>
      <c r="C1672" s="45" t="s">
        <v>91</v>
      </c>
      <c r="D1672" s="46">
        <v>3</v>
      </c>
      <c r="E1672" s="47" t="s">
        <v>50</v>
      </c>
      <c r="F1672" s="48">
        <v>7</v>
      </c>
      <c r="G1672" s="38">
        <v>1.51</v>
      </c>
      <c r="H1672" s="39"/>
      <c r="I1672" s="39"/>
      <c r="J1672" s="39"/>
      <c r="K1672" s="39"/>
      <c r="L1672" s="39"/>
      <c r="M1672" s="39"/>
      <c r="N1672" s="39"/>
      <c r="O1672" s="39"/>
      <c r="P1672" s="39"/>
      <c r="Q1672" s="39">
        <v>1.17</v>
      </c>
      <c r="R1672" s="39"/>
      <c r="S1672" s="39"/>
      <c r="T1672" s="39">
        <v>0.17</v>
      </c>
      <c r="U1672" s="39">
        <v>0.17</v>
      </c>
      <c r="V1672" s="39"/>
      <c r="W1672" s="39"/>
      <c r="X1672" s="49">
        <v>9740</v>
      </c>
      <c r="Y1672" s="50">
        <v>2940</v>
      </c>
      <c r="Z1672" s="51">
        <v>2955</v>
      </c>
      <c r="AA1672" s="52">
        <f t="shared" si="41"/>
        <v>1.00510204081633</v>
      </c>
      <c r="AB1672" s="12">
        <v>2927</v>
      </c>
      <c r="AC1672" s="12">
        <v>28</v>
      </c>
      <c r="AD1672" s="19">
        <v>28</v>
      </c>
      <c r="AE1672" s="43"/>
      <c r="AF1672" s="43"/>
      <c r="AG1672" s="43"/>
      <c r="AH1672" s="43"/>
      <c r="AI1672" s="43"/>
      <c r="AJ1672" s="43"/>
      <c r="AK1672" s="43"/>
      <c r="AL1672" s="43"/>
      <c r="AM1672" s="43"/>
      <c r="AN1672" s="43"/>
      <c r="AO1672" s="43"/>
      <c r="AP1672" s="43"/>
      <c r="AQ1672" s="43"/>
      <c r="AR1672" s="43"/>
      <c r="AS1672" s="43"/>
      <c r="AT1672" s="43"/>
      <c r="AU1672" s="43"/>
      <c r="AV1672" s="43"/>
    </row>
    <row r="1673" ht="15.75" spans="1:48">
      <c r="A1673" s="12">
        <v>1669</v>
      </c>
      <c r="B1673" s="44">
        <v>3268</v>
      </c>
      <c r="C1673" s="45" t="s">
        <v>80</v>
      </c>
      <c r="D1673" s="46">
        <v>17</v>
      </c>
      <c r="E1673" s="47" t="s">
        <v>50</v>
      </c>
      <c r="F1673" s="48">
        <v>8.5</v>
      </c>
      <c r="G1673" s="38">
        <v>3.51</v>
      </c>
      <c r="H1673" s="39"/>
      <c r="I1673" s="39"/>
      <c r="J1673" s="39"/>
      <c r="K1673" s="39"/>
      <c r="L1673" s="39"/>
      <c r="M1673" s="39"/>
      <c r="N1673" s="39"/>
      <c r="O1673" s="39"/>
      <c r="P1673" s="39"/>
      <c r="Q1673" s="39">
        <v>1.17</v>
      </c>
      <c r="R1673" s="39"/>
      <c r="S1673" s="39"/>
      <c r="T1673" s="39">
        <v>2.17</v>
      </c>
      <c r="U1673" s="39">
        <v>0.17</v>
      </c>
      <c r="V1673" s="39"/>
      <c r="W1673" s="39"/>
      <c r="X1673" s="49">
        <v>977</v>
      </c>
      <c r="Y1673" s="50">
        <v>2550</v>
      </c>
      <c r="Z1673" s="51">
        <v>1650</v>
      </c>
      <c r="AA1673" s="52">
        <f t="shared" si="41"/>
        <v>0.647058823529412</v>
      </c>
      <c r="AB1673" s="12">
        <v>928</v>
      </c>
      <c r="AC1673" s="12">
        <v>722</v>
      </c>
      <c r="AD1673" s="19">
        <v>722</v>
      </c>
      <c r="AE1673" s="43"/>
      <c r="AF1673" s="43"/>
      <c r="AG1673" s="43"/>
      <c r="AH1673" s="43"/>
      <c r="AI1673" s="43"/>
      <c r="AJ1673" s="43"/>
      <c r="AK1673" s="43"/>
      <c r="AL1673" s="43"/>
      <c r="AM1673" s="43"/>
      <c r="AN1673" s="43"/>
      <c r="AO1673" s="43"/>
      <c r="AP1673" s="43"/>
      <c r="AQ1673" s="43"/>
      <c r="AR1673" s="43"/>
      <c r="AS1673" s="43"/>
      <c r="AT1673" s="43"/>
      <c r="AU1673" s="43"/>
      <c r="AV1673" s="43"/>
    </row>
    <row r="1674" ht="15.75" spans="1:48">
      <c r="A1674" s="12">
        <v>1670</v>
      </c>
      <c r="B1674" s="44">
        <v>2865</v>
      </c>
      <c r="C1674" s="45" t="s">
        <v>149</v>
      </c>
      <c r="D1674" s="46">
        <v>15</v>
      </c>
      <c r="E1674" s="47" t="s">
        <v>50</v>
      </c>
      <c r="F1674" s="48">
        <v>9.83</v>
      </c>
      <c r="G1674" s="38">
        <v>2.17</v>
      </c>
      <c r="H1674" s="39"/>
      <c r="I1674" s="39"/>
      <c r="J1674" s="39"/>
      <c r="K1674" s="39">
        <v>0.33</v>
      </c>
      <c r="L1674" s="39"/>
      <c r="M1674" s="39"/>
      <c r="N1674" s="39"/>
      <c r="O1674" s="39"/>
      <c r="P1674" s="39"/>
      <c r="Q1674" s="39">
        <v>1.17</v>
      </c>
      <c r="R1674" s="39"/>
      <c r="S1674" s="39"/>
      <c r="T1674" s="39">
        <v>0.5</v>
      </c>
      <c r="U1674" s="39">
        <v>0.17</v>
      </c>
      <c r="V1674" s="39"/>
      <c r="W1674" s="39"/>
      <c r="X1674" s="49">
        <v>4563</v>
      </c>
      <c r="Y1674" s="50">
        <v>4718.4</v>
      </c>
      <c r="Z1674" s="51">
        <v>3960</v>
      </c>
      <c r="AA1674" s="52">
        <f t="shared" si="41"/>
        <v>0.839267548321465</v>
      </c>
      <c r="AB1674" s="12">
        <v>3814</v>
      </c>
      <c r="AC1674" s="12">
        <v>146</v>
      </c>
      <c r="AD1674" s="19">
        <v>146</v>
      </c>
      <c r="AE1674" s="43"/>
      <c r="AF1674" s="43"/>
      <c r="AG1674" s="43"/>
      <c r="AH1674" s="43"/>
      <c r="AI1674" s="43"/>
      <c r="AJ1674" s="43"/>
      <c r="AK1674" s="43"/>
      <c r="AL1674" s="43"/>
      <c r="AM1674" s="43"/>
      <c r="AN1674" s="43"/>
      <c r="AO1674" s="43"/>
      <c r="AP1674" s="43"/>
      <c r="AQ1674" s="43"/>
      <c r="AR1674" s="43"/>
      <c r="AS1674" s="43"/>
      <c r="AT1674" s="43"/>
      <c r="AU1674" s="43"/>
      <c r="AV1674" s="43"/>
    </row>
    <row r="1675" ht="15.75" spans="1:48">
      <c r="A1675" s="12">
        <v>1671</v>
      </c>
      <c r="B1675" s="44">
        <v>761</v>
      </c>
      <c r="C1675" s="45" t="s">
        <v>89</v>
      </c>
      <c r="D1675" s="46"/>
      <c r="E1675" s="47" t="s">
        <v>50</v>
      </c>
      <c r="F1675" s="48">
        <v>4</v>
      </c>
      <c r="G1675" s="38">
        <v>4.01</v>
      </c>
      <c r="H1675" s="39"/>
      <c r="I1675" s="39"/>
      <c r="J1675" s="39"/>
      <c r="K1675" s="39"/>
      <c r="L1675" s="39"/>
      <c r="M1675" s="39"/>
      <c r="N1675" s="39"/>
      <c r="O1675" s="39"/>
      <c r="P1675" s="39"/>
      <c r="Q1675" s="39">
        <v>1.17</v>
      </c>
      <c r="R1675" s="39"/>
      <c r="S1675" s="39">
        <v>0.5</v>
      </c>
      <c r="T1675" s="39">
        <v>2.17</v>
      </c>
      <c r="U1675" s="39">
        <v>0.17</v>
      </c>
      <c r="V1675" s="39"/>
      <c r="W1675" s="39"/>
      <c r="X1675" s="49" t="s">
        <v>90</v>
      </c>
      <c r="Y1675" s="50">
        <v>1880</v>
      </c>
      <c r="Z1675" s="51">
        <v>1800</v>
      </c>
      <c r="AA1675" s="52">
        <f t="shared" si="41"/>
        <v>0.957446808510638</v>
      </c>
      <c r="AB1675" s="12">
        <v>1800</v>
      </c>
      <c r="AC1675" s="12">
        <v>0</v>
      </c>
      <c r="AD1675" s="43"/>
      <c r="AE1675" s="43"/>
      <c r="AF1675" s="43"/>
      <c r="AG1675" s="43"/>
      <c r="AH1675" s="43"/>
      <c r="AI1675" s="43"/>
      <c r="AJ1675" s="43"/>
      <c r="AK1675" s="43"/>
      <c r="AL1675" s="43"/>
      <c r="AM1675" s="43"/>
      <c r="AN1675" s="43"/>
      <c r="AO1675" s="43"/>
      <c r="AP1675" s="43"/>
      <c r="AQ1675" s="43"/>
      <c r="AR1675" s="43"/>
      <c r="AS1675" s="43"/>
      <c r="AT1675" s="43"/>
      <c r="AU1675" s="43"/>
      <c r="AV1675" s="43"/>
    </row>
    <row r="1676" ht="15.75" spans="1:48">
      <c r="A1676" s="12">
        <v>1672</v>
      </c>
      <c r="B1676" s="44" t="s">
        <v>211</v>
      </c>
      <c r="C1676" s="45" t="s">
        <v>176</v>
      </c>
      <c r="D1676" s="46">
        <v>18</v>
      </c>
      <c r="E1676" s="47" t="s">
        <v>50</v>
      </c>
      <c r="F1676" s="48">
        <v>6</v>
      </c>
      <c r="G1676" s="38">
        <v>1.67</v>
      </c>
      <c r="H1676" s="39"/>
      <c r="I1676" s="39"/>
      <c r="J1676" s="39"/>
      <c r="K1676" s="39"/>
      <c r="L1676" s="39"/>
      <c r="M1676" s="39"/>
      <c r="N1676" s="39"/>
      <c r="O1676" s="39"/>
      <c r="P1676" s="39"/>
      <c r="Q1676" s="39">
        <v>1.17</v>
      </c>
      <c r="R1676" s="39"/>
      <c r="S1676" s="39"/>
      <c r="T1676" s="39">
        <v>0.33</v>
      </c>
      <c r="U1676" s="39">
        <v>0.17</v>
      </c>
      <c r="V1676" s="39"/>
      <c r="W1676" s="39"/>
      <c r="X1676" s="49">
        <v>2801</v>
      </c>
      <c r="Y1676" s="50">
        <v>3630</v>
      </c>
      <c r="Z1676" s="51">
        <v>3628</v>
      </c>
      <c r="AA1676" s="52">
        <f t="shared" si="41"/>
        <v>0.999449035812672</v>
      </c>
      <c r="AB1676" s="12">
        <v>3508</v>
      </c>
      <c r="AC1676" s="12">
        <v>120</v>
      </c>
      <c r="AD1676" s="19">
        <v>120</v>
      </c>
      <c r="AE1676" s="43"/>
      <c r="AF1676" s="43"/>
      <c r="AG1676" s="43"/>
      <c r="AH1676" s="43"/>
      <c r="AI1676" s="43"/>
      <c r="AJ1676" s="43"/>
      <c r="AK1676" s="43"/>
      <c r="AL1676" s="43"/>
      <c r="AM1676" s="43"/>
      <c r="AN1676" s="43"/>
      <c r="AO1676" s="43"/>
      <c r="AP1676" s="43"/>
      <c r="AQ1676" s="43"/>
      <c r="AR1676" s="43"/>
      <c r="AS1676" s="43"/>
      <c r="AT1676" s="43"/>
      <c r="AU1676" s="43"/>
      <c r="AV1676" s="43"/>
    </row>
    <row r="1677" ht="15.75" spans="1:48">
      <c r="A1677" s="12">
        <v>1673</v>
      </c>
      <c r="B1677" s="53">
        <v>4489</v>
      </c>
      <c r="C1677" s="45" t="s">
        <v>88</v>
      </c>
      <c r="D1677" s="46">
        <v>5</v>
      </c>
      <c r="E1677" s="47" t="s">
        <v>50</v>
      </c>
      <c r="F1677" s="48">
        <v>8.67</v>
      </c>
      <c r="G1677" s="38">
        <v>1.34</v>
      </c>
      <c r="H1677" s="39"/>
      <c r="I1677" s="39"/>
      <c r="J1677" s="39"/>
      <c r="K1677" s="39"/>
      <c r="L1677" s="39"/>
      <c r="M1677" s="39"/>
      <c r="N1677" s="39"/>
      <c r="O1677" s="39"/>
      <c r="P1677" s="39"/>
      <c r="Q1677" s="39">
        <v>1.17</v>
      </c>
      <c r="R1677" s="39"/>
      <c r="S1677" s="39"/>
      <c r="T1677" s="39"/>
      <c r="U1677" s="39">
        <v>0.17</v>
      </c>
      <c r="V1677" s="39"/>
      <c r="W1677" s="39"/>
      <c r="X1677" s="49">
        <v>5770</v>
      </c>
      <c r="Y1677" s="50">
        <v>5245.35</v>
      </c>
      <c r="Z1677" s="51">
        <v>5635</v>
      </c>
      <c r="AA1677" s="52">
        <f t="shared" si="41"/>
        <v>1.0742848427655</v>
      </c>
      <c r="AB1677" s="12">
        <v>5584</v>
      </c>
      <c r="AC1677" s="12">
        <v>51</v>
      </c>
      <c r="AD1677" s="19">
        <v>51</v>
      </c>
      <c r="AE1677" s="43"/>
      <c r="AF1677" s="43"/>
      <c r="AG1677" s="43"/>
      <c r="AH1677" s="43"/>
      <c r="AI1677" s="43"/>
      <c r="AJ1677" s="43"/>
      <c r="AK1677" s="43"/>
      <c r="AL1677" s="43"/>
      <c r="AM1677" s="43"/>
      <c r="AN1677" s="43"/>
      <c r="AO1677" s="43"/>
      <c r="AP1677" s="43"/>
      <c r="AQ1677" s="43"/>
      <c r="AR1677" s="43"/>
      <c r="AS1677" s="43"/>
      <c r="AT1677" s="43"/>
      <c r="AU1677" s="43"/>
      <c r="AV1677" s="43"/>
    </row>
    <row r="1678" ht="15.75" spans="1:48">
      <c r="A1678" s="12">
        <v>1674</v>
      </c>
      <c r="B1678" s="44">
        <v>947</v>
      </c>
      <c r="C1678" s="45" t="s">
        <v>143</v>
      </c>
      <c r="D1678" s="46">
        <v>8</v>
      </c>
      <c r="E1678" s="47" t="s">
        <v>50</v>
      </c>
      <c r="F1678" s="48">
        <v>10</v>
      </c>
      <c r="G1678" s="38">
        <v>2.01</v>
      </c>
      <c r="H1678" s="39"/>
      <c r="I1678" s="39"/>
      <c r="J1678" s="39"/>
      <c r="K1678" s="39"/>
      <c r="L1678" s="39"/>
      <c r="M1678" s="39"/>
      <c r="N1678" s="39"/>
      <c r="O1678" s="39"/>
      <c r="P1678" s="39"/>
      <c r="Q1678" s="39">
        <v>1.17</v>
      </c>
      <c r="R1678" s="39"/>
      <c r="S1678" s="39"/>
      <c r="T1678" s="39">
        <v>0.67</v>
      </c>
      <c r="U1678" s="39">
        <v>0.17</v>
      </c>
      <c r="V1678" s="39"/>
      <c r="W1678" s="39"/>
      <c r="X1678" s="49">
        <v>6270</v>
      </c>
      <c r="Y1678" s="50">
        <v>6050</v>
      </c>
      <c r="Z1678" s="51">
        <v>6067</v>
      </c>
      <c r="AA1678" s="52">
        <f t="shared" si="41"/>
        <v>1.00280991735537</v>
      </c>
      <c r="AB1678" s="12">
        <v>5983</v>
      </c>
      <c r="AC1678" s="12">
        <v>84</v>
      </c>
      <c r="AD1678" s="19">
        <v>84</v>
      </c>
      <c r="AE1678" s="43"/>
      <c r="AF1678" s="43"/>
      <c r="AG1678" s="43"/>
      <c r="AH1678" s="43"/>
      <c r="AI1678" s="43"/>
      <c r="AJ1678" s="43"/>
      <c r="AK1678" s="43"/>
      <c r="AL1678" s="43"/>
      <c r="AM1678" s="43"/>
      <c r="AN1678" s="43"/>
      <c r="AO1678" s="43"/>
      <c r="AP1678" s="43"/>
      <c r="AQ1678" s="43"/>
      <c r="AR1678" s="43"/>
      <c r="AS1678" s="43"/>
      <c r="AT1678" s="43"/>
      <c r="AU1678" s="43"/>
      <c r="AV1678" s="43"/>
    </row>
    <row r="1679" ht="15.75" spans="1:48">
      <c r="A1679" s="12">
        <v>1675</v>
      </c>
      <c r="B1679" s="44">
        <v>4489</v>
      </c>
      <c r="C1679" s="45" t="s">
        <v>88</v>
      </c>
      <c r="D1679" s="46"/>
      <c r="E1679" s="47" t="s">
        <v>50</v>
      </c>
      <c r="F1679" s="48">
        <v>2</v>
      </c>
      <c r="G1679" s="38">
        <v>0</v>
      </c>
      <c r="H1679" s="39"/>
      <c r="I1679" s="39"/>
      <c r="J1679" s="39"/>
      <c r="K1679" s="39"/>
      <c r="L1679" s="39"/>
      <c r="M1679" s="39"/>
      <c r="N1679" s="39"/>
      <c r="O1679" s="39"/>
      <c r="P1679" s="39"/>
      <c r="Q1679" s="39"/>
      <c r="R1679" s="39"/>
      <c r="S1679" s="39"/>
      <c r="T1679" s="39"/>
      <c r="U1679" s="39"/>
      <c r="V1679" s="39"/>
      <c r="W1679" s="39"/>
      <c r="X1679" s="49" t="s">
        <v>103</v>
      </c>
      <c r="Y1679" s="50">
        <v>1680</v>
      </c>
      <c r="Z1679" s="51">
        <v>2035</v>
      </c>
      <c r="AA1679" s="52">
        <f t="shared" si="41"/>
        <v>1.21130952380952</v>
      </c>
      <c r="AB1679" s="12">
        <v>2035</v>
      </c>
      <c r="AC1679" s="12">
        <v>0</v>
      </c>
      <c r="AD1679" s="43"/>
      <c r="AE1679" s="43"/>
      <c r="AF1679" s="43"/>
      <c r="AG1679" s="43"/>
      <c r="AH1679" s="43"/>
      <c r="AI1679" s="43"/>
      <c r="AJ1679" s="43"/>
      <c r="AK1679" s="43"/>
      <c r="AL1679" s="43"/>
      <c r="AM1679" s="43"/>
      <c r="AN1679" s="43"/>
      <c r="AO1679" s="43"/>
      <c r="AP1679" s="43"/>
      <c r="AQ1679" s="43"/>
      <c r="AR1679" s="43"/>
      <c r="AS1679" s="43"/>
      <c r="AT1679" s="43"/>
      <c r="AU1679" s="43"/>
      <c r="AV1679" s="43"/>
    </row>
    <row r="1680" ht="15.75" spans="1:48">
      <c r="A1680" s="12">
        <v>1676</v>
      </c>
      <c r="B1680" s="44">
        <v>4490</v>
      </c>
      <c r="C1680" s="45" t="s">
        <v>91</v>
      </c>
      <c r="D1680" s="46"/>
      <c r="E1680" s="47" t="s">
        <v>50</v>
      </c>
      <c r="F1680" s="48">
        <v>3.5</v>
      </c>
      <c r="G1680" s="38">
        <v>0</v>
      </c>
      <c r="H1680" s="39"/>
      <c r="I1680" s="39"/>
      <c r="J1680" s="39"/>
      <c r="K1680" s="39"/>
      <c r="L1680" s="39"/>
      <c r="M1680" s="39"/>
      <c r="N1680" s="39"/>
      <c r="O1680" s="39"/>
      <c r="P1680" s="39"/>
      <c r="Q1680" s="39"/>
      <c r="R1680" s="39"/>
      <c r="S1680" s="39"/>
      <c r="T1680" s="39"/>
      <c r="U1680" s="39"/>
      <c r="V1680" s="39"/>
      <c r="W1680" s="39"/>
      <c r="X1680" s="49" t="s">
        <v>103</v>
      </c>
      <c r="Y1680" s="50">
        <v>2940</v>
      </c>
      <c r="Z1680" s="51">
        <v>2955</v>
      </c>
      <c r="AA1680" s="52">
        <f t="shared" si="41"/>
        <v>1.00510204081633</v>
      </c>
      <c r="AB1680" s="12">
        <v>2955</v>
      </c>
      <c r="AC1680" s="12">
        <v>0</v>
      </c>
      <c r="AD1680" s="43"/>
      <c r="AE1680" s="43"/>
      <c r="AF1680" s="43"/>
      <c r="AG1680" s="43"/>
      <c r="AH1680" s="43"/>
      <c r="AI1680" s="43"/>
      <c r="AJ1680" s="43"/>
      <c r="AK1680" s="43"/>
      <c r="AL1680" s="43"/>
      <c r="AM1680" s="43"/>
      <c r="AN1680" s="43"/>
      <c r="AO1680" s="43"/>
      <c r="AP1680" s="43"/>
      <c r="AQ1680" s="43"/>
      <c r="AR1680" s="43"/>
      <c r="AS1680" s="43"/>
      <c r="AT1680" s="43"/>
      <c r="AU1680" s="43"/>
      <c r="AV1680" s="43"/>
    </row>
    <row r="1681" ht="15.75" spans="1:48">
      <c r="A1681" s="12">
        <v>1677</v>
      </c>
      <c r="B1681" s="44">
        <v>761</v>
      </c>
      <c r="C1681" s="45" t="s">
        <v>89</v>
      </c>
      <c r="D1681" s="46"/>
      <c r="E1681" s="47" t="s">
        <v>50</v>
      </c>
      <c r="F1681" s="48">
        <v>2</v>
      </c>
      <c r="G1681" s="38">
        <v>0</v>
      </c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  <c r="S1681" s="39"/>
      <c r="T1681" s="39"/>
      <c r="U1681" s="39"/>
      <c r="V1681" s="39"/>
      <c r="W1681" s="39"/>
      <c r="X1681" s="49" t="s">
        <v>229</v>
      </c>
      <c r="Y1681" s="50">
        <v>7440</v>
      </c>
      <c r="Z1681" s="51">
        <v>7200</v>
      </c>
      <c r="AA1681" s="52">
        <f t="shared" si="41"/>
        <v>0.967741935483871</v>
      </c>
      <c r="AB1681" s="12">
        <v>7200</v>
      </c>
      <c r="AC1681" s="12">
        <v>0</v>
      </c>
      <c r="AD1681" s="43"/>
      <c r="AE1681" s="43"/>
      <c r="AF1681" s="43"/>
      <c r="AG1681" s="43"/>
      <c r="AH1681" s="43"/>
      <c r="AI1681" s="43"/>
      <c r="AJ1681" s="43"/>
      <c r="AK1681" s="43"/>
      <c r="AL1681" s="43"/>
      <c r="AM1681" s="43"/>
      <c r="AN1681" s="43"/>
      <c r="AO1681" s="43"/>
      <c r="AP1681" s="43"/>
      <c r="AQ1681" s="43"/>
      <c r="AR1681" s="43"/>
      <c r="AS1681" s="43"/>
      <c r="AT1681" s="43"/>
      <c r="AU1681" s="43"/>
      <c r="AV1681" s="43"/>
    </row>
    <row r="1682" ht="15.75" spans="1:48">
      <c r="A1682" s="12">
        <v>1678</v>
      </c>
      <c r="B1682" s="44">
        <v>761</v>
      </c>
      <c r="C1682" s="45" t="s">
        <v>89</v>
      </c>
      <c r="D1682" s="46"/>
      <c r="E1682" s="47" t="s">
        <v>50</v>
      </c>
      <c r="F1682" s="48">
        <v>1.33</v>
      </c>
      <c r="G1682" s="38">
        <v>0</v>
      </c>
      <c r="H1682" s="39"/>
      <c r="I1682" s="39"/>
      <c r="J1682" s="39"/>
      <c r="K1682" s="39"/>
      <c r="L1682" s="39"/>
      <c r="M1682" s="39"/>
      <c r="N1682" s="39"/>
      <c r="O1682" s="39"/>
      <c r="P1682" s="39"/>
      <c r="Q1682" s="39"/>
      <c r="R1682" s="39"/>
      <c r="S1682" s="39"/>
      <c r="T1682" s="39"/>
      <c r="U1682" s="39"/>
      <c r="V1682" s="39"/>
      <c r="W1682" s="39"/>
      <c r="X1682" s="49" t="s">
        <v>101</v>
      </c>
      <c r="Y1682" s="50">
        <v>2553.6</v>
      </c>
      <c r="Z1682" s="51">
        <v>2700</v>
      </c>
      <c r="AA1682" s="52">
        <f t="shared" si="41"/>
        <v>1.05733082706767</v>
      </c>
      <c r="AB1682" s="12">
        <v>2700</v>
      </c>
      <c r="AC1682" s="12">
        <v>0</v>
      </c>
      <c r="AD1682" s="43"/>
      <c r="AE1682" s="43"/>
      <c r="AF1682" s="43"/>
      <c r="AG1682" s="43"/>
      <c r="AH1682" s="43"/>
      <c r="AI1682" s="43"/>
      <c r="AJ1682" s="43"/>
      <c r="AK1682" s="43"/>
      <c r="AL1682" s="43"/>
      <c r="AM1682" s="43"/>
      <c r="AN1682" s="43"/>
      <c r="AO1682" s="43"/>
      <c r="AP1682" s="43"/>
      <c r="AQ1682" s="43"/>
      <c r="AR1682" s="43"/>
      <c r="AS1682" s="43"/>
      <c r="AT1682" s="43"/>
      <c r="AU1682" s="43"/>
      <c r="AV1682" s="43"/>
    </row>
    <row r="1683" ht="15.75" spans="1:48">
      <c r="A1683" s="12">
        <v>1679</v>
      </c>
      <c r="B1683" s="44">
        <v>761</v>
      </c>
      <c r="C1683" s="45" t="s">
        <v>89</v>
      </c>
      <c r="D1683" s="46"/>
      <c r="E1683" s="47" t="s">
        <v>50</v>
      </c>
      <c r="F1683" s="48">
        <v>0.67</v>
      </c>
      <c r="G1683" s="38">
        <v>0</v>
      </c>
      <c r="H1683" s="39"/>
      <c r="I1683" s="39"/>
      <c r="J1683" s="39"/>
      <c r="K1683" s="39"/>
      <c r="L1683" s="39"/>
      <c r="M1683" s="39"/>
      <c r="N1683" s="39"/>
      <c r="O1683" s="39"/>
      <c r="P1683" s="39"/>
      <c r="Q1683" s="39"/>
      <c r="R1683" s="39"/>
      <c r="S1683" s="39"/>
      <c r="T1683" s="39"/>
      <c r="U1683" s="39"/>
      <c r="V1683" s="39"/>
      <c r="W1683" s="39"/>
      <c r="X1683" s="49" t="s">
        <v>383</v>
      </c>
      <c r="Y1683" s="50">
        <v>1139</v>
      </c>
      <c r="Z1683" s="51">
        <v>1080</v>
      </c>
      <c r="AA1683" s="52">
        <f t="shared" si="41"/>
        <v>0.948200175592625</v>
      </c>
      <c r="AB1683" s="12">
        <v>1080</v>
      </c>
      <c r="AC1683" s="12">
        <v>0</v>
      </c>
      <c r="AD1683" s="43"/>
      <c r="AE1683" s="43"/>
      <c r="AF1683" s="43"/>
      <c r="AG1683" s="43"/>
      <c r="AH1683" s="43"/>
      <c r="AI1683" s="43"/>
      <c r="AJ1683" s="43"/>
      <c r="AK1683" s="43"/>
      <c r="AL1683" s="43"/>
      <c r="AM1683" s="43"/>
      <c r="AN1683" s="43"/>
      <c r="AO1683" s="43"/>
      <c r="AP1683" s="43"/>
      <c r="AQ1683" s="43"/>
      <c r="AR1683" s="43"/>
      <c r="AS1683" s="43"/>
      <c r="AT1683" s="43"/>
      <c r="AU1683" s="43"/>
      <c r="AV1683" s="43"/>
    </row>
    <row r="1684" ht="15.75" spans="1:48">
      <c r="A1684" s="12">
        <v>1680</v>
      </c>
      <c r="B1684" s="44" t="s">
        <v>211</v>
      </c>
      <c r="C1684" s="45" t="s">
        <v>176</v>
      </c>
      <c r="D1684" s="46"/>
      <c r="E1684" s="47" t="s">
        <v>50</v>
      </c>
      <c r="F1684" s="48">
        <v>4.33</v>
      </c>
      <c r="G1684" s="38">
        <v>0</v>
      </c>
      <c r="H1684" s="39"/>
      <c r="I1684" s="39"/>
      <c r="J1684" s="39"/>
      <c r="K1684" s="39"/>
      <c r="L1684" s="39"/>
      <c r="M1684" s="39"/>
      <c r="N1684" s="39"/>
      <c r="O1684" s="39"/>
      <c r="P1684" s="39"/>
      <c r="Q1684" s="39"/>
      <c r="R1684" s="39"/>
      <c r="S1684" s="39"/>
      <c r="T1684" s="39"/>
      <c r="U1684" s="39"/>
      <c r="V1684" s="39"/>
      <c r="W1684" s="39"/>
      <c r="X1684" s="49" t="s">
        <v>103</v>
      </c>
      <c r="Y1684" s="50">
        <v>3637.2</v>
      </c>
      <c r="Z1684" s="51">
        <v>3628</v>
      </c>
      <c r="AA1684" s="52">
        <f t="shared" si="41"/>
        <v>0.997470581766194</v>
      </c>
      <c r="AB1684" s="12">
        <v>3628</v>
      </c>
      <c r="AC1684" s="12">
        <v>0</v>
      </c>
      <c r="AD1684" s="43"/>
      <c r="AE1684" s="43"/>
      <c r="AF1684" s="43"/>
      <c r="AG1684" s="43"/>
      <c r="AH1684" s="43"/>
      <c r="AI1684" s="43"/>
      <c r="AJ1684" s="43"/>
      <c r="AK1684" s="43"/>
      <c r="AL1684" s="43"/>
      <c r="AM1684" s="43"/>
      <c r="AN1684" s="43"/>
      <c r="AO1684" s="43"/>
      <c r="AP1684" s="43"/>
      <c r="AQ1684" s="43"/>
      <c r="AR1684" s="43"/>
      <c r="AS1684" s="43"/>
      <c r="AT1684" s="43"/>
      <c r="AU1684" s="43"/>
      <c r="AV1684" s="43"/>
    </row>
    <row r="1685" ht="15.75" spans="1:48">
      <c r="A1685" s="12">
        <v>1681</v>
      </c>
      <c r="B1685" s="44">
        <v>698</v>
      </c>
      <c r="C1685" s="45" t="s">
        <v>68</v>
      </c>
      <c r="D1685" s="46"/>
      <c r="E1685" s="47" t="s">
        <v>50</v>
      </c>
      <c r="F1685" s="48">
        <v>7.5</v>
      </c>
      <c r="G1685" s="38">
        <v>1.17</v>
      </c>
      <c r="H1685" s="39"/>
      <c r="I1685" s="39"/>
      <c r="J1685" s="39"/>
      <c r="K1685" s="39"/>
      <c r="L1685" s="39"/>
      <c r="M1685" s="39"/>
      <c r="N1685" s="39"/>
      <c r="O1685" s="39"/>
      <c r="P1685" s="39"/>
      <c r="Q1685" s="39">
        <v>1.17</v>
      </c>
      <c r="R1685" s="39"/>
      <c r="S1685" s="39"/>
      <c r="T1685" s="39"/>
      <c r="U1685" s="39"/>
      <c r="V1685" s="39"/>
      <c r="W1685" s="39"/>
      <c r="X1685" s="49" t="s">
        <v>103</v>
      </c>
      <c r="Y1685" s="50">
        <v>6300</v>
      </c>
      <c r="Z1685" s="51">
        <v>6067</v>
      </c>
      <c r="AA1685" s="52">
        <f t="shared" si="41"/>
        <v>0.963015873015873</v>
      </c>
      <c r="AB1685" s="12">
        <v>6067</v>
      </c>
      <c r="AC1685" s="12">
        <v>0</v>
      </c>
      <c r="AD1685" s="43"/>
      <c r="AE1685" s="43"/>
      <c r="AF1685" s="43"/>
      <c r="AG1685" s="43"/>
      <c r="AH1685" s="43"/>
      <c r="AI1685" s="43"/>
      <c r="AJ1685" s="43"/>
      <c r="AK1685" s="43"/>
      <c r="AL1685" s="43"/>
      <c r="AM1685" s="43"/>
      <c r="AN1685" s="43"/>
      <c r="AO1685" s="43"/>
      <c r="AP1685" s="43"/>
      <c r="AQ1685" s="43"/>
      <c r="AR1685" s="43"/>
      <c r="AS1685" s="43"/>
      <c r="AT1685" s="43"/>
      <c r="AU1685" s="43"/>
      <c r="AV1685" s="43"/>
    </row>
    <row r="1686" ht="15.75" spans="1:48">
      <c r="A1686" s="12">
        <v>1682</v>
      </c>
      <c r="B1686" s="44" t="s">
        <v>277</v>
      </c>
      <c r="C1686" s="45" t="s">
        <v>182</v>
      </c>
      <c r="D1686" s="46"/>
      <c r="E1686" s="47" t="s">
        <v>50</v>
      </c>
      <c r="F1686" s="48">
        <v>10.83</v>
      </c>
      <c r="G1686" s="38">
        <v>1.17</v>
      </c>
      <c r="H1686" s="39"/>
      <c r="I1686" s="39"/>
      <c r="J1686" s="39"/>
      <c r="K1686" s="39"/>
      <c r="L1686" s="39"/>
      <c r="M1686" s="39"/>
      <c r="N1686" s="39"/>
      <c r="O1686" s="39"/>
      <c r="P1686" s="39"/>
      <c r="Q1686" s="39">
        <v>1.17</v>
      </c>
      <c r="R1686" s="39"/>
      <c r="S1686" s="39"/>
      <c r="T1686" s="39"/>
      <c r="U1686" s="39"/>
      <c r="V1686" s="39"/>
      <c r="W1686" s="39"/>
      <c r="X1686" s="49" t="s">
        <v>103</v>
      </c>
      <c r="Y1686" s="50">
        <v>9097.2</v>
      </c>
      <c r="Z1686" s="51">
        <v>7560</v>
      </c>
      <c r="AA1686" s="52">
        <f t="shared" si="41"/>
        <v>0.831024930747922</v>
      </c>
      <c r="AB1686" s="12">
        <v>7560</v>
      </c>
      <c r="AC1686" s="12">
        <v>0</v>
      </c>
      <c r="AD1686" s="43"/>
      <c r="AE1686" s="43"/>
      <c r="AF1686" s="43"/>
      <c r="AG1686" s="43"/>
      <c r="AH1686" s="43"/>
      <c r="AI1686" s="43"/>
      <c r="AJ1686" s="43"/>
      <c r="AK1686" s="43"/>
      <c r="AL1686" s="43"/>
      <c r="AM1686" s="43"/>
      <c r="AN1686" s="43"/>
      <c r="AO1686" s="43"/>
      <c r="AP1686" s="43"/>
      <c r="AQ1686" s="43"/>
      <c r="AR1686" s="43"/>
      <c r="AS1686" s="43"/>
      <c r="AT1686" s="43"/>
      <c r="AU1686" s="43"/>
      <c r="AV1686" s="43"/>
    </row>
    <row r="1687" ht="15.75" spans="1:48">
      <c r="A1687" s="12">
        <v>1683</v>
      </c>
      <c r="B1687" s="44">
        <v>3353</v>
      </c>
      <c r="C1687" s="45" t="s">
        <v>48</v>
      </c>
      <c r="D1687" s="46" t="s">
        <v>215</v>
      </c>
      <c r="E1687" s="47" t="s">
        <v>50</v>
      </c>
      <c r="F1687" s="48">
        <v>5</v>
      </c>
      <c r="G1687" s="38">
        <v>1.34</v>
      </c>
      <c r="H1687" s="39"/>
      <c r="I1687" s="39"/>
      <c r="J1687" s="39"/>
      <c r="K1687" s="39"/>
      <c r="L1687" s="39"/>
      <c r="M1687" s="39"/>
      <c r="N1687" s="39"/>
      <c r="O1687" s="39"/>
      <c r="P1687" s="39"/>
      <c r="Q1687" s="39">
        <v>1.17</v>
      </c>
      <c r="R1687" s="39"/>
      <c r="S1687" s="39"/>
      <c r="T1687" s="39"/>
      <c r="U1687" s="39">
        <v>0.17</v>
      </c>
      <c r="V1687" s="39"/>
      <c r="W1687" s="39"/>
      <c r="X1687" s="49" t="s">
        <v>117</v>
      </c>
      <c r="Y1687" s="50">
        <v>15525</v>
      </c>
      <c r="Z1687" s="51">
        <v>15840</v>
      </c>
      <c r="AA1687" s="52">
        <f t="shared" si="41"/>
        <v>1.02028985507246</v>
      </c>
      <c r="AB1687" s="12">
        <v>15840</v>
      </c>
      <c r="AC1687" s="12">
        <v>0</v>
      </c>
      <c r="AD1687" s="43"/>
      <c r="AE1687" s="43"/>
      <c r="AF1687" s="43"/>
      <c r="AG1687" s="43"/>
      <c r="AH1687" s="43"/>
      <c r="AI1687" s="43"/>
      <c r="AJ1687" s="43"/>
      <c r="AK1687" s="43"/>
      <c r="AL1687" s="43"/>
      <c r="AM1687" s="43"/>
      <c r="AN1687" s="43"/>
      <c r="AO1687" s="43"/>
      <c r="AP1687" s="43"/>
      <c r="AQ1687" s="43"/>
      <c r="AR1687" s="43"/>
      <c r="AS1687" s="43"/>
      <c r="AT1687" s="43"/>
      <c r="AU1687" s="43"/>
      <c r="AV1687" s="43"/>
    </row>
    <row r="1688" ht="15.75" spans="1:48">
      <c r="A1688" s="12">
        <v>1684</v>
      </c>
      <c r="B1688" s="44">
        <v>3111</v>
      </c>
      <c r="C1688" s="45" t="s">
        <v>124</v>
      </c>
      <c r="D1688" s="46" t="s">
        <v>217</v>
      </c>
      <c r="E1688" s="47" t="s">
        <v>50</v>
      </c>
      <c r="F1688" s="48">
        <v>10.33</v>
      </c>
      <c r="G1688" s="38">
        <v>1.34</v>
      </c>
      <c r="H1688" s="39"/>
      <c r="I1688" s="39"/>
      <c r="J1688" s="39"/>
      <c r="K1688" s="39"/>
      <c r="L1688" s="39"/>
      <c r="M1688" s="39"/>
      <c r="N1688" s="39"/>
      <c r="O1688" s="39"/>
      <c r="P1688" s="39"/>
      <c r="Q1688" s="39">
        <v>1.17</v>
      </c>
      <c r="R1688" s="39"/>
      <c r="S1688" s="39"/>
      <c r="T1688" s="39"/>
      <c r="U1688" s="39">
        <v>0.17</v>
      </c>
      <c r="V1688" s="39"/>
      <c r="W1688" s="39"/>
      <c r="X1688" s="49" t="s">
        <v>218</v>
      </c>
      <c r="Y1688" s="50">
        <v>24946.95</v>
      </c>
      <c r="Z1688" s="51">
        <v>25380</v>
      </c>
      <c r="AA1688" s="52">
        <f t="shared" si="41"/>
        <v>1.01735883544882</v>
      </c>
      <c r="AB1688" s="12">
        <v>25380</v>
      </c>
      <c r="AC1688" s="12">
        <v>0</v>
      </c>
      <c r="AD1688" s="43"/>
      <c r="AE1688" s="43"/>
      <c r="AF1688" s="43"/>
      <c r="AG1688" s="43"/>
      <c r="AH1688" s="43"/>
      <c r="AI1688" s="43"/>
      <c r="AJ1688" s="43"/>
      <c r="AK1688" s="43"/>
      <c r="AL1688" s="43"/>
      <c r="AM1688" s="43"/>
      <c r="AN1688" s="43"/>
      <c r="AO1688" s="43"/>
      <c r="AP1688" s="43"/>
      <c r="AQ1688" s="43"/>
      <c r="AR1688" s="43"/>
      <c r="AS1688" s="43"/>
      <c r="AT1688" s="43"/>
      <c r="AU1688" s="43"/>
      <c r="AV1688" s="43"/>
    </row>
    <row r="1689" ht="15.75" spans="1:48">
      <c r="A1689" s="12">
        <v>1685</v>
      </c>
      <c r="B1689" s="44">
        <v>3187</v>
      </c>
      <c r="C1689" s="45" t="s">
        <v>52</v>
      </c>
      <c r="D1689" s="46" t="s">
        <v>264</v>
      </c>
      <c r="E1689" s="47" t="s">
        <v>50</v>
      </c>
      <c r="F1689" s="48">
        <v>10.66</v>
      </c>
      <c r="G1689" s="38">
        <v>1.34</v>
      </c>
      <c r="H1689" s="39"/>
      <c r="I1689" s="39"/>
      <c r="J1689" s="39"/>
      <c r="K1689" s="39"/>
      <c r="L1689" s="39"/>
      <c r="M1689" s="39"/>
      <c r="N1689" s="39"/>
      <c r="O1689" s="39"/>
      <c r="P1689" s="39"/>
      <c r="Q1689" s="39">
        <v>1.17</v>
      </c>
      <c r="R1689" s="39"/>
      <c r="S1689" s="39"/>
      <c r="T1689" s="39"/>
      <c r="U1689" s="39">
        <v>0.17</v>
      </c>
      <c r="V1689" s="39"/>
      <c r="W1689" s="39"/>
      <c r="X1689" s="49" t="s">
        <v>216</v>
      </c>
      <c r="Y1689" s="50">
        <v>9061</v>
      </c>
      <c r="Z1689" s="51">
        <v>8960</v>
      </c>
      <c r="AA1689" s="52">
        <f t="shared" si="41"/>
        <v>0.988853327447302</v>
      </c>
      <c r="AB1689" s="12">
        <v>8960</v>
      </c>
      <c r="AC1689" s="12">
        <v>0</v>
      </c>
      <c r="AD1689" s="43"/>
      <c r="AE1689" s="43"/>
      <c r="AF1689" s="43"/>
      <c r="AG1689" s="43"/>
      <c r="AH1689" s="43"/>
      <c r="AI1689" s="43"/>
      <c r="AJ1689" s="43"/>
      <c r="AK1689" s="43"/>
      <c r="AL1689" s="43"/>
      <c r="AM1689" s="43"/>
      <c r="AN1689" s="43"/>
      <c r="AO1689" s="43"/>
      <c r="AP1689" s="43"/>
      <c r="AQ1689" s="43"/>
      <c r="AR1689" s="43"/>
      <c r="AS1689" s="43"/>
      <c r="AT1689" s="43"/>
      <c r="AU1689" s="43"/>
      <c r="AV1689" s="43"/>
    </row>
    <row r="1690" ht="15.75" spans="1:48">
      <c r="A1690" s="12">
        <v>1686</v>
      </c>
      <c r="B1690" s="44">
        <v>2516</v>
      </c>
      <c r="C1690" s="45" t="s">
        <v>189</v>
      </c>
      <c r="D1690" s="46" t="s">
        <v>116</v>
      </c>
      <c r="E1690" s="47" t="s">
        <v>50</v>
      </c>
      <c r="F1690" s="48">
        <v>10.33</v>
      </c>
      <c r="G1690" s="38">
        <v>1.67</v>
      </c>
      <c r="H1690" s="39"/>
      <c r="I1690" s="39"/>
      <c r="J1690" s="39"/>
      <c r="K1690" s="39"/>
      <c r="L1690" s="39"/>
      <c r="M1690" s="39"/>
      <c r="N1690" s="39"/>
      <c r="O1690" s="39"/>
      <c r="P1690" s="39"/>
      <c r="Q1690" s="39">
        <v>1.17</v>
      </c>
      <c r="R1690" s="39"/>
      <c r="S1690" s="39"/>
      <c r="T1690" s="39"/>
      <c r="U1690" s="39">
        <v>0.5</v>
      </c>
      <c r="V1690" s="39"/>
      <c r="W1690" s="39"/>
      <c r="X1690" s="49" t="s">
        <v>381</v>
      </c>
      <c r="Y1690" s="50">
        <v>42229.04</v>
      </c>
      <c r="Z1690" s="51">
        <v>42400</v>
      </c>
      <c r="AA1690" s="52">
        <f t="shared" si="41"/>
        <v>1.00404839892169</v>
      </c>
      <c r="AB1690" s="12">
        <v>42400</v>
      </c>
      <c r="AC1690" s="12">
        <v>0</v>
      </c>
      <c r="AD1690" s="43"/>
      <c r="AE1690" s="43"/>
      <c r="AF1690" s="43"/>
      <c r="AG1690" s="43"/>
      <c r="AH1690" s="43"/>
      <c r="AI1690" s="43"/>
      <c r="AJ1690" s="43"/>
      <c r="AK1690" s="43"/>
      <c r="AL1690" s="43"/>
      <c r="AM1690" s="43"/>
      <c r="AN1690" s="43"/>
      <c r="AO1690" s="43"/>
      <c r="AP1690" s="43"/>
      <c r="AQ1690" s="43"/>
      <c r="AR1690" s="43"/>
      <c r="AS1690" s="43"/>
      <c r="AT1690" s="43"/>
      <c r="AU1690" s="43"/>
      <c r="AV1690" s="43"/>
    </row>
    <row r="1691" ht="15.75" spans="1:48">
      <c r="A1691" s="12">
        <v>1687</v>
      </c>
      <c r="B1691" s="44" t="s">
        <v>268</v>
      </c>
      <c r="C1691" s="45" t="e">
        <v>#N/A</v>
      </c>
      <c r="D1691" s="46">
        <v>10</v>
      </c>
      <c r="E1691" s="47" t="s">
        <v>50</v>
      </c>
      <c r="F1691" s="48">
        <v>10.66</v>
      </c>
      <c r="G1691" s="38">
        <v>1.34</v>
      </c>
      <c r="H1691" s="39"/>
      <c r="I1691" s="39"/>
      <c r="J1691" s="39"/>
      <c r="K1691" s="39"/>
      <c r="L1691" s="39"/>
      <c r="M1691" s="39"/>
      <c r="N1691" s="39"/>
      <c r="O1691" s="39"/>
      <c r="P1691" s="39"/>
      <c r="Q1691" s="39">
        <v>1.17</v>
      </c>
      <c r="R1691" s="39"/>
      <c r="S1691" s="39"/>
      <c r="T1691" s="39"/>
      <c r="U1691" s="39">
        <v>0.17</v>
      </c>
      <c r="V1691" s="39"/>
      <c r="W1691" s="39"/>
      <c r="X1691" s="49">
        <v>127</v>
      </c>
      <c r="Y1691" s="50">
        <v>5330</v>
      </c>
      <c r="Z1691" s="51">
        <v>4860</v>
      </c>
      <c r="AA1691" s="52">
        <f t="shared" si="41"/>
        <v>0.911819887429643</v>
      </c>
      <c r="AB1691" s="12">
        <v>4860</v>
      </c>
      <c r="AC1691" s="12">
        <v>0</v>
      </c>
      <c r="AD1691" s="43"/>
      <c r="AE1691" s="43"/>
      <c r="AF1691" s="43"/>
      <c r="AG1691" s="43"/>
      <c r="AH1691" s="43"/>
      <c r="AI1691" s="43"/>
      <c r="AJ1691" s="43"/>
      <c r="AK1691" s="43"/>
      <c r="AL1691" s="43"/>
      <c r="AM1691" s="43"/>
      <c r="AN1691" s="43"/>
      <c r="AO1691" s="43"/>
      <c r="AP1691" s="43"/>
      <c r="AQ1691" s="43"/>
      <c r="AR1691" s="43"/>
      <c r="AS1691" s="43"/>
      <c r="AT1691" s="43"/>
      <c r="AU1691" s="43"/>
      <c r="AV1691" s="43"/>
    </row>
    <row r="1692" ht="15.75" spans="1:48">
      <c r="A1692" s="12">
        <v>1688</v>
      </c>
      <c r="B1692" s="44">
        <v>4456</v>
      </c>
      <c r="C1692" s="45" t="s">
        <v>119</v>
      </c>
      <c r="D1692" s="46"/>
      <c r="E1692" s="47" t="s">
        <v>50</v>
      </c>
      <c r="F1692" s="48">
        <v>10.83</v>
      </c>
      <c r="G1692" s="38">
        <v>1.17</v>
      </c>
      <c r="H1692" s="39"/>
      <c r="I1692" s="39"/>
      <c r="J1692" s="39"/>
      <c r="K1692" s="39"/>
      <c r="L1692" s="39"/>
      <c r="M1692" s="39"/>
      <c r="N1692" s="39"/>
      <c r="O1692" s="39"/>
      <c r="P1692" s="39"/>
      <c r="Q1692" s="39">
        <v>1.17</v>
      </c>
      <c r="R1692" s="39"/>
      <c r="S1692" s="39"/>
      <c r="T1692" s="39"/>
      <c r="U1692" s="39"/>
      <c r="V1692" s="39"/>
      <c r="W1692" s="39"/>
      <c r="X1692" s="49" t="s">
        <v>120</v>
      </c>
      <c r="Y1692" s="50">
        <v>2707.5</v>
      </c>
      <c r="Z1692" s="51">
        <v>2600</v>
      </c>
      <c r="AA1692" s="52">
        <f t="shared" si="41"/>
        <v>0.960295475530933</v>
      </c>
      <c r="AB1692" s="12">
        <v>2600</v>
      </c>
      <c r="AC1692" s="12">
        <v>0</v>
      </c>
      <c r="AD1692" s="43"/>
      <c r="AE1692" s="43"/>
      <c r="AF1692" s="43"/>
      <c r="AG1692" s="43"/>
      <c r="AH1692" s="43"/>
      <c r="AI1692" s="43"/>
      <c r="AJ1692" s="43"/>
      <c r="AK1692" s="43"/>
      <c r="AL1692" s="43"/>
      <c r="AM1692" s="43"/>
      <c r="AN1692" s="43"/>
      <c r="AO1692" s="43"/>
      <c r="AP1692" s="43"/>
      <c r="AQ1692" s="43"/>
      <c r="AR1692" s="43"/>
      <c r="AS1692" s="43"/>
      <c r="AT1692" s="43"/>
      <c r="AU1692" s="43"/>
      <c r="AV1692" s="43"/>
    </row>
    <row r="1693" ht="15.75" spans="1:48">
      <c r="A1693" s="12">
        <v>1689</v>
      </c>
      <c r="B1693" s="44">
        <v>655</v>
      </c>
      <c r="C1693" s="45" t="s">
        <v>198</v>
      </c>
      <c r="D1693" s="46">
        <v>19</v>
      </c>
      <c r="E1693" s="47" t="s">
        <v>50</v>
      </c>
      <c r="F1693" s="48">
        <v>10.66</v>
      </c>
      <c r="G1693" s="38">
        <v>1.34</v>
      </c>
      <c r="H1693" s="39"/>
      <c r="I1693" s="39"/>
      <c r="J1693" s="39"/>
      <c r="K1693" s="39"/>
      <c r="L1693" s="39"/>
      <c r="M1693" s="39"/>
      <c r="N1693" s="39"/>
      <c r="O1693" s="39"/>
      <c r="P1693" s="39"/>
      <c r="Q1693" s="39">
        <v>1.17</v>
      </c>
      <c r="R1693" s="39"/>
      <c r="S1693" s="39"/>
      <c r="T1693" s="39"/>
      <c r="U1693" s="39">
        <v>0.17</v>
      </c>
      <c r="V1693" s="39"/>
      <c r="W1693" s="39"/>
      <c r="X1693" s="49" t="s">
        <v>71</v>
      </c>
      <c r="Y1693" s="50">
        <v>3571.1</v>
      </c>
      <c r="Z1693" s="51">
        <v>3480</v>
      </c>
      <c r="AA1693" s="52">
        <f t="shared" si="41"/>
        <v>0.97448965304808</v>
      </c>
      <c r="AB1693" s="12">
        <v>3480</v>
      </c>
      <c r="AC1693" s="12">
        <v>0</v>
      </c>
      <c r="AD1693" s="43"/>
      <c r="AE1693" s="43"/>
      <c r="AF1693" s="43"/>
      <c r="AG1693" s="43"/>
      <c r="AH1693" s="43"/>
      <c r="AI1693" s="43"/>
      <c r="AJ1693" s="43"/>
      <c r="AK1693" s="43"/>
      <c r="AL1693" s="43"/>
      <c r="AM1693" s="43"/>
      <c r="AN1693" s="43"/>
      <c r="AO1693" s="43"/>
      <c r="AP1693" s="43"/>
      <c r="AQ1693" s="43"/>
      <c r="AR1693" s="43"/>
      <c r="AS1693" s="43"/>
      <c r="AT1693" s="43"/>
      <c r="AU1693" s="43"/>
      <c r="AV1693" s="43"/>
    </row>
    <row r="1694" ht="15.75" spans="1:48">
      <c r="A1694" s="12">
        <v>1690</v>
      </c>
      <c r="B1694" s="44" t="s">
        <v>269</v>
      </c>
      <c r="C1694" s="45" t="e">
        <v>#N/A</v>
      </c>
      <c r="D1694" s="46">
        <v>11</v>
      </c>
      <c r="E1694" s="47" t="s">
        <v>50</v>
      </c>
      <c r="F1694" s="48">
        <v>10.66</v>
      </c>
      <c r="G1694" s="38">
        <v>1.34</v>
      </c>
      <c r="H1694" s="39"/>
      <c r="I1694" s="39"/>
      <c r="J1694" s="39"/>
      <c r="K1694" s="39"/>
      <c r="L1694" s="39"/>
      <c r="M1694" s="39"/>
      <c r="N1694" s="39"/>
      <c r="O1694" s="39"/>
      <c r="P1694" s="39"/>
      <c r="Q1694" s="39">
        <v>1.17</v>
      </c>
      <c r="R1694" s="39"/>
      <c r="S1694" s="39"/>
      <c r="T1694" s="39"/>
      <c r="U1694" s="39">
        <v>0.17</v>
      </c>
      <c r="V1694" s="39"/>
      <c r="W1694" s="39"/>
      <c r="X1694" s="49" t="s">
        <v>239</v>
      </c>
      <c r="Y1694" s="50">
        <v>5436.6</v>
      </c>
      <c r="Z1694" s="51">
        <v>5400</v>
      </c>
      <c r="AA1694" s="52">
        <f t="shared" si="41"/>
        <v>0.993267851230548</v>
      </c>
      <c r="AB1694" s="12">
        <v>5400</v>
      </c>
      <c r="AC1694" s="12">
        <v>0</v>
      </c>
      <c r="AD1694" s="43"/>
      <c r="AE1694" s="43"/>
      <c r="AF1694" s="43"/>
      <c r="AG1694" s="43"/>
      <c r="AH1694" s="43"/>
      <c r="AI1694" s="43"/>
      <c r="AJ1694" s="43"/>
      <c r="AK1694" s="43"/>
      <c r="AL1694" s="43"/>
      <c r="AM1694" s="43"/>
      <c r="AN1694" s="43"/>
      <c r="AO1694" s="43"/>
      <c r="AP1694" s="43"/>
      <c r="AQ1694" s="43"/>
      <c r="AR1694" s="43"/>
      <c r="AS1694" s="43"/>
      <c r="AT1694" s="43"/>
      <c r="AU1694" s="43"/>
      <c r="AV1694" s="43"/>
    </row>
    <row r="1695" ht="15.75" spans="1:48">
      <c r="A1695" s="12">
        <v>1691</v>
      </c>
      <c r="B1695" s="44">
        <v>3526</v>
      </c>
      <c r="C1695" s="45" t="s">
        <v>65</v>
      </c>
      <c r="D1695" s="46"/>
      <c r="E1695" s="47" t="s">
        <v>50</v>
      </c>
      <c r="F1695" s="48">
        <v>10.83</v>
      </c>
      <c r="G1695" s="38">
        <v>1.17</v>
      </c>
      <c r="H1695" s="39"/>
      <c r="I1695" s="39"/>
      <c r="J1695" s="39"/>
      <c r="K1695" s="39"/>
      <c r="L1695" s="39"/>
      <c r="M1695" s="39"/>
      <c r="N1695" s="39"/>
      <c r="O1695" s="39"/>
      <c r="P1695" s="39"/>
      <c r="Q1695" s="39">
        <v>1.17</v>
      </c>
      <c r="R1695" s="39"/>
      <c r="S1695" s="39"/>
      <c r="T1695" s="39"/>
      <c r="U1695" s="39"/>
      <c r="V1695" s="39"/>
      <c r="W1695" s="39"/>
      <c r="X1695" s="49" t="s">
        <v>246</v>
      </c>
      <c r="Y1695" s="50">
        <v>3628.05</v>
      </c>
      <c r="Z1695" s="51">
        <v>3400</v>
      </c>
      <c r="AA1695" s="52">
        <f t="shared" si="41"/>
        <v>0.937142542136961</v>
      </c>
      <c r="AB1695" s="12">
        <v>3400</v>
      </c>
      <c r="AC1695" s="12">
        <v>0</v>
      </c>
      <c r="AD1695" s="43"/>
      <c r="AE1695" s="43"/>
      <c r="AF1695" s="43"/>
      <c r="AG1695" s="43"/>
      <c r="AH1695" s="43"/>
      <c r="AI1695" s="43"/>
      <c r="AJ1695" s="43"/>
      <c r="AK1695" s="43"/>
      <c r="AL1695" s="43"/>
      <c r="AM1695" s="43"/>
      <c r="AN1695" s="43"/>
      <c r="AO1695" s="43"/>
      <c r="AP1695" s="43"/>
      <c r="AQ1695" s="43"/>
      <c r="AR1695" s="43"/>
      <c r="AS1695" s="43"/>
      <c r="AT1695" s="43"/>
      <c r="AU1695" s="43"/>
      <c r="AV1695" s="43"/>
    </row>
    <row r="1696" ht="15.75" spans="1:48">
      <c r="A1696" s="12">
        <v>1692</v>
      </c>
      <c r="B1696" s="44">
        <v>3352</v>
      </c>
      <c r="C1696" s="45" t="s">
        <v>66</v>
      </c>
      <c r="D1696" s="46"/>
      <c r="E1696" s="47" t="s">
        <v>50</v>
      </c>
      <c r="F1696" s="48">
        <v>10.83</v>
      </c>
      <c r="G1696" s="38">
        <v>1.17</v>
      </c>
      <c r="H1696" s="39"/>
      <c r="I1696" s="39"/>
      <c r="J1696" s="39"/>
      <c r="K1696" s="39"/>
      <c r="L1696" s="39"/>
      <c r="M1696" s="39"/>
      <c r="N1696" s="39"/>
      <c r="O1696" s="39"/>
      <c r="P1696" s="39"/>
      <c r="Q1696" s="39">
        <v>1.17</v>
      </c>
      <c r="R1696" s="39"/>
      <c r="S1696" s="39"/>
      <c r="T1696" s="39"/>
      <c r="U1696" s="39"/>
      <c r="V1696" s="39"/>
      <c r="W1696" s="39"/>
      <c r="X1696" s="49" t="s">
        <v>120</v>
      </c>
      <c r="Y1696" s="50">
        <v>2707.5</v>
      </c>
      <c r="Z1696" s="51">
        <v>2700</v>
      </c>
      <c r="AA1696" s="52">
        <f t="shared" si="41"/>
        <v>0.997229916897507</v>
      </c>
      <c r="AB1696" s="12">
        <v>2700</v>
      </c>
      <c r="AC1696" s="12">
        <v>0</v>
      </c>
      <c r="AD1696" s="43"/>
      <c r="AE1696" s="43"/>
      <c r="AF1696" s="43"/>
      <c r="AG1696" s="43"/>
      <c r="AH1696" s="43"/>
      <c r="AI1696" s="43"/>
      <c r="AJ1696" s="43"/>
      <c r="AK1696" s="43"/>
      <c r="AL1696" s="43"/>
      <c r="AM1696" s="43"/>
      <c r="AN1696" s="43"/>
      <c r="AO1696" s="43"/>
      <c r="AP1696" s="43"/>
      <c r="AQ1696" s="43"/>
      <c r="AR1696" s="43"/>
      <c r="AS1696" s="43"/>
      <c r="AT1696" s="43"/>
      <c r="AU1696" s="43"/>
      <c r="AV1696" s="43"/>
    </row>
    <row r="1697" ht="15.75" spans="1:48">
      <c r="A1697" s="12">
        <v>1693</v>
      </c>
      <c r="B1697" s="44">
        <v>3959</v>
      </c>
      <c r="C1697" s="45" t="s">
        <v>123</v>
      </c>
      <c r="D1697" s="46"/>
      <c r="E1697" s="47" t="s">
        <v>50</v>
      </c>
      <c r="F1697" s="48">
        <v>7.17</v>
      </c>
      <c r="G1697" s="38">
        <v>0.83</v>
      </c>
      <c r="H1697" s="39"/>
      <c r="I1697" s="39"/>
      <c r="J1697" s="39"/>
      <c r="K1697" s="39"/>
      <c r="L1697" s="39"/>
      <c r="M1697" s="39"/>
      <c r="N1697" s="39"/>
      <c r="O1697" s="39"/>
      <c r="P1697" s="39"/>
      <c r="Q1697" s="39">
        <v>0.83</v>
      </c>
      <c r="R1697" s="39"/>
      <c r="S1697" s="39"/>
      <c r="T1697" s="39"/>
      <c r="U1697" s="39"/>
      <c r="V1697" s="39"/>
      <c r="W1697" s="39"/>
      <c r="X1697" s="49">
        <v>9276</v>
      </c>
      <c r="Y1697" s="50">
        <v>3585</v>
      </c>
      <c r="Z1697" s="51">
        <v>3580</v>
      </c>
      <c r="AA1697" s="52">
        <f t="shared" si="41"/>
        <v>0.99860529986053</v>
      </c>
      <c r="AB1697" s="12">
        <v>3580</v>
      </c>
      <c r="AC1697" s="12">
        <v>0</v>
      </c>
      <c r="AD1697" s="43"/>
      <c r="AE1697" s="43"/>
      <c r="AF1697" s="43"/>
      <c r="AG1697" s="43"/>
      <c r="AH1697" s="43"/>
      <c r="AI1697" s="43"/>
      <c r="AJ1697" s="43"/>
      <c r="AK1697" s="43"/>
      <c r="AL1697" s="43"/>
      <c r="AM1697" s="43"/>
      <c r="AN1697" s="43"/>
      <c r="AO1697" s="43"/>
      <c r="AP1697" s="43"/>
      <c r="AQ1697" s="43"/>
      <c r="AR1697" s="43"/>
      <c r="AS1697" s="43"/>
      <c r="AT1697" s="43"/>
      <c r="AU1697" s="43"/>
      <c r="AV1697" s="43"/>
    </row>
    <row r="1698" ht="15.75" spans="1:48">
      <c r="A1698" s="12">
        <v>1694</v>
      </c>
      <c r="B1698" s="44" t="s">
        <v>267</v>
      </c>
      <c r="C1698" s="45" t="e">
        <v>#N/A</v>
      </c>
      <c r="D1698" s="46"/>
      <c r="E1698" s="47" t="s">
        <v>50</v>
      </c>
      <c r="F1698" s="48">
        <v>4.67032967032967</v>
      </c>
      <c r="G1698" s="38">
        <v>1.5</v>
      </c>
      <c r="H1698" s="39"/>
      <c r="I1698" s="39"/>
      <c r="J1698" s="39"/>
      <c r="K1698" s="39"/>
      <c r="L1698" s="39"/>
      <c r="M1698" s="39"/>
      <c r="N1698" s="39"/>
      <c r="O1698" s="39"/>
      <c r="P1698" s="39"/>
      <c r="Q1698" s="39"/>
      <c r="R1698" s="39"/>
      <c r="S1698" s="39"/>
      <c r="T1698" s="39">
        <v>1.5</v>
      </c>
      <c r="U1698" s="39"/>
      <c r="V1698" s="39"/>
      <c r="W1698" s="39"/>
      <c r="X1698" s="49" t="s">
        <v>233</v>
      </c>
      <c r="Y1698" s="50">
        <v>840.659340659341</v>
      </c>
      <c r="Z1698" s="51">
        <v>850</v>
      </c>
      <c r="AA1698" s="52">
        <f t="shared" si="41"/>
        <v>1.01111111111111</v>
      </c>
      <c r="AB1698" s="12">
        <v>850</v>
      </c>
      <c r="AC1698" s="12">
        <v>0</v>
      </c>
      <c r="AD1698" s="43"/>
      <c r="AE1698" s="43"/>
      <c r="AF1698" s="43"/>
      <c r="AG1698" s="43"/>
      <c r="AH1698" s="43"/>
      <c r="AI1698" s="43"/>
      <c r="AJ1698" s="43"/>
      <c r="AK1698" s="43"/>
      <c r="AL1698" s="43"/>
      <c r="AM1698" s="43"/>
      <c r="AN1698" s="43"/>
      <c r="AO1698" s="43"/>
      <c r="AP1698" s="43"/>
      <c r="AQ1698" s="43"/>
      <c r="AR1698" s="43"/>
      <c r="AS1698" s="43"/>
      <c r="AT1698" s="43"/>
      <c r="AU1698" s="43"/>
      <c r="AV1698" s="43"/>
    </row>
    <row r="1699" ht="15.75" spans="1:48">
      <c r="A1699" s="12">
        <v>1695</v>
      </c>
      <c r="B1699" s="44" t="s">
        <v>267</v>
      </c>
      <c r="C1699" s="45" t="e">
        <v>#N/A</v>
      </c>
      <c r="D1699" s="46"/>
      <c r="E1699" s="47" t="s">
        <v>50</v>
      </c>
      <c r="F1699" s="48">
        <v>4.65967032967033</v>
      </c>
      <c r="G1699" s="38">
        <v>1.17</v>
      </c>
      <c r="H1699" s="39"/>
      <c r="I1699" s="39"/>
      <c r="J1699" s="39"/>
      <c r="K1699" s="39"/>
      <c r="L1699" s="39"/>
      <c r="M1699" s="39"/>
      <c r="N1699" s="39"/>
      <c r="O1699" s="39"/>
      <c r="P1699" s="39"/>
      <c r="Q1699" s="39">
        <v>1.17</v>
      </c>
      <c r="R1699" s="39"/>
      <c r="S1699" s="39"/>
      <c r="T1699" s="39"/>
      <c r="U1699" s="39"/>
      <c r="V1699" s="39"/>
      <c r="W1699" s="39"/>
      <c r="X1699" s="49" t="s">
        <v>232</v>
      </c>
      <c r="Y1699" s="50">
        <v>838.740659340659</v>
      </c>
      <c r="Z1699" s="51">
        <v>850</v>
      </c>
      <c r="AA1699" s="52">
        <f t="shared" si="41"/>
        <v>1.01342410259232</v>
      </c>
      <c r="AB1699" s="12">
        <v>850</v>
      </c>
      <c r="AC1699" s="12">
        <v>0</v>
      </c>
      <c r="AD1699" s="43"/>
      <c r="AE1699" s="43"/>
      <c r="AF1699" s="43"/>
      <c r="AG1699" s="43"/>
      <c r="AH1699" s="43"/>
      <c r="AI1699" s="43"/>
      <c r="AJ1699" s="43"/>
      <c r="AK1699" s="43"/>
      <c r="AL1699" s="43"/>
      <c r="AM1699" s="43"/>
      <c r="AN1699" s="43"/>
      <c r="AO1699" s="43"/>
      <c r="AP1699" s="43"/>
      <c r="AQ1699" s="43"/>
      <c r="AR1699" s="43"/>
      <c r="AS1699" s="43"/>
      <c r="AT1699" s="43"/>
      <c r="AU1699" s="43"/>
      <c r="AV1699" s="43"/>
    </row>
    <row r="1700" ht="15.75" spans="1:48">
      <c r="A1700" s="12">
        <v>1696</v>
      </c>
      <c r="B1700" s="44">
        <v>4504</v>
      </c>
      <c r="C1700" s="45" t="s">
        <v>304</v>
      </c>
      <c r="D1700" s="46">
        <v>12</v>
      </c>
      <c r="E1700" s="47" t="s">
        <v>50</v>
      </c>
      <c r="F1700" s="48">
        <v>6.66</v>
      </c>
      <c r="G1700" s="38">
        <v>1.51</v>
      </c>
      <c r="H1700" s="39"/>
      <c r="I1700" s="39"/>
      <c r="J1700" s="39"/>
      <c r="K1700" s="39">
        <v>0.17</v>
      </c>
      <c r="L1700" s="39"/>
      <c r="M1700" s="39"/>
      <c r="N1700" s="39"/>
      <c r="O1700" s="39"/>
      <c r="P1700" s="39"/>
      <c r="Q1700" s="39">
        <v>1.17</v>
      </c>
      <c r="R1700" s="39"/>
      <c r="S1700" s="39"/>
      <c r="T1700" s="39"/>
      <c r="U1700" s="39">
        <v>0.17</v>
      </c>
      <c r="V1700" s="39"/>
      <c r="W1700" s="39"/>
      <c r="X1700" s="49" t="s">
        <v>71</v>
      </c>
      <c r="Y1700" s="50">
        <v>2231.1</v>
      </c>
      <c r="Z1700" s="51">
        <v>2280</v>
      </c>
      <c r="AA1700" s="52">
        <f t="shared" si="41"/>
        <v>1.02191743982789</v>
      </c>
      <c r="AB1700" s="12">
        <v>2280</v>
      </c>
      <c r="AC1700" s="12">
        <v>0</v>
      </c>
      <c r="AD1700" s="43"/>
      <c r="AE1700" s="43"/>
      <c r="AF1700" s="43"/>
      <c r="AG1700" s="43"/>
      <c r="AH1700" s="43"/>
      <c r="AI1700" s="43"/>
      <c r="AJ1700" s="43"/>
      <c r="AK1700" s="43"/>
      <c r="AL1700" s="43"/>
      <c r="AM1700" s="43"/>
      <c r="AN1700" s="43"/>
      <c r="AO1700" s="43"/>
      <c r="AP1700" s="43"/>
      <c r="AQ1700" s="43"/>
      <c r="AR1700" s="43"/>
      <c r="AS1700" s="43"/>
      <c r="AT1700" s="43"/>
      <c r="AU1700" s="43"/>
      <c r="AV1700" s="43"/>
    </row>
    <row r="1701" ht="15.75" spans="1:48">
      <c r="A1701" s="12">
        <v>1697</v>
      </c>
      <c r="B1701" s="44">
        <v>4504</v>
      </c>
      <c r="C1701" s="45" t="s">
        <v>304</v>
      </c>
      <c r="D1701" s="46"/>
      <c r="E1701" s="47" t="s">
        <v>50</v>
      </c>
      <c r="F1701" s="48">
        <v>1.91</v>
      </c>
      <c r="G1701" s="38">
        <v>0</v>
      </c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  <c r="S1701" s="39"/>
      <c r="T1701" s="39"/>
      <c r="U1701" s="39"/>
      <c r="V1701" s="39"/>
      <c r="W1701" s="39"/>
      <c r="X1701" s="49" t="s">
        <v>233</v>
      </c>
      <c r="Y1701" s="50">
        <v>343.8</v>
      </c>
      <c r="Z1701" s="51">
        <v>350</v>
      </c>
      <c r="AA1701" s="52">
        <f t="shared" si="41"/>
        <v>1.01803374054683</v>
      </c>
      <c r="AB1701" s="12">
        <v>350</v>
      </c>
      <c r="AC1701" s="12">
        <v>0</v>
      </c>
      <c r="AD1701" s="43"/>
      <c r="AE1701" s="43"/>
      <c r="AF1701" s="43"/>
      <c r="AG1701" s="43"/>
      <c r="AH1701" s="43"/>
      <c r="AI1701" s="43"/>
      <c r="AJ1701" s="43"/>
      <c r="AK1701" s="43"/>
      <c r="AL1701" s="43"/>
      <c r="AM1701" s="43"/>
      <c r="AN1701" s="43"/>
      <c r="AO1701" s="43"/>
      <c r="AP1701" s="43"/>
      <c r="AQ1701" s="43"/>
      <c r="AR1701" s="43"/>
      <c r="AS1701" s="43"/>
      <c r="AT1701" s="43"/>
      <c r="AU1701" s="43"/>
      <c r="AV1701" s="43"/>
    </row>
    <row r="1702" ht="15.75" spans="1:48">
      <c r="A1702" s="12">
        <v>1698</v>
      </c>
      <c r="B1702" s="44">
        <v>4504</v>
      </c>
      <c r="C1702" s="45" t="s">
        <v>304</v>
      </c>
      <c r="D1702" s="46"/>
      <c r="E1702" s="47" t="s">
        <v>50</v>
      </c>
      <c r="F1702" s="48">
        <v>1.915</v>
      </c>
      <c r="G1702" s="38">
        <v>0</v>
      </c>
      <c r="H1702" s="39"/>
      <c r="I1702" s="39"/>
      <c r="J1702" s="39"/>
      <c r="K1702" s="39"/>
      <c r="L1702" s="39"/>
      <c r="M1702" s="39"/>
      <c r="N1702" s="39"/>
      <c r="O1702" s="39"/>
      <c r="P1702" s="39"/>
      <c r="Q1702" s="39"/>
      <c r="R1702" s="39"/>
      <c r="S1702" s="39"/>
      <c r="T1702" s="39"/>
      <c r="U1702" s="39"/>
      <c r="V1702" s="39"/>
      <c r="W1702" s="39"/>
      <c r="X1702" s="49" t="s">
        <v>232</v>
      </c>
      <c r="Y1702" s="50">
        <v>344.7</v>
      </c>
      <c r="Z1702" s="51">
        <v>350</v>
      </c>
      <c r="AA1702" s="52">
        <f t="shared" si="41"/>
        <v>1.01537568900493</v>
      </c>
      <c r="AB1702" s="12">
        <v>350</v>
      </c>
      <c r="AC1702" s="12">
        <v>0</v>
      </c>
      <c r="AD1702" s="43"/>
      <c r="AE1702" s="43"/>
      <c r="AF1702" s="43"/>
      <c r="AG1702" s="43"/>
      <c r="AH1702" s="43"/>
      <c r="AI1702" s="43"/>
      <c r="AJ1702" s="43"/>
      <c r="AK1702" s="43"/>
      <c r="AL1702" s="43"/>
      <c r="AM1702" s="43"/>
      <c r="AN1702" s="43"/>
      <c r="AO1702" s="43"/>
      <c r="AP1702" s="43"/>
      <c r="AQ1702" s="43"/>
      <c r="AR1702" s="43"/>
      <c r="AS1702" s="43"/>
      <c r="AT1702" s="43"/>
      <c r="AU1702" s="43"/>
      <c r="AV1702" s="43"/>
    </row>
    <row r="1703" ht="15.75" spans="1:48">
      <c r="A1703" s="12">
        <v>1699</v>
      </c>
      <c r="B1703" s="44">
        <v>656</v>
      </c>
      <c r="C1703" s="45" t="s">
        <v>195</v>
      </c>
      <c r="D1703" s="46">
        <v>4</v>
      </c>
      <c r="E1703" s="47" t="s">
        <v>50</v>
      </c>
      <c r="F1703" s="48">
        <v>9</v>
      </c>
      <c r="G1703" s="38">
        <v>1.34</v>
      </c>
      <c r="H1703" s="39"/>
      <c r="I1703" s="39"/>
      <c r="J1703" s="39"/>
      <c r="K1703" s="39"/>
      <c r="L1703" s="39"/>
      <c r="M1703" s="39"/>
      <c r="N1703" s="39"/>
      <c r="O1703" s="39"/>
      <c r="P1703" s="39"/>
      <c r="Q1703" s="39">
        <v>1.17</v>
      </c>
      <c r="R1703" s="39"/>
      <c r="S1703" s="39"/>
      <c r="T1703" s="39"/>
      <c r="U1703" s="39">
        <v>0.17</v>
      </c>
      <c r="V1703" s="39"/>
      <c r="W1703" s="39"/>
      <c r="X1703" s="49">
        <v>8014</v>
      </c>
      <c r="Y1703" s="50">
        <v>4950</v>
      </c>
      <c r="Z1703" s="51">
        <v>4995</v>
      </c>
      <c r="AA1703" s="52">
        <f t="shared" si="41"/>
        <v>1.00909090909091</v>
      </c>
      <c r="AB1703" s="12">
        <v>4995</v>
      </c>
      <c r="AC1703" s="12">
        <v>0</v>
      </c>
      <c r="AD1703" s="43"/>
      <c r="AE1703" s="43"/>
      <c r="AF1703" s="43"/>
      <c r="AG1703" s="43"/>
      <c r="AH1703" s="43"/>
      <c r="AI1703" s="43"/>
      <c r="AJ1703" s="43"/>
      <c r="AK1703" s="43"/>
      <c r="AL1703" s="43"/>
      <c r="AM1703" s="43"/>
      <c r="AN1703" s="43"/>
      <c r="AO1703" s="43"/>
      <c r="AP1703" s="43"/>
      <c r="AQ1703" s="43"/>
      <c r="AR1703" s="43"/>
      <c r="AS1703" s="43"/>
      <c r="AT1703" s="43"/>
      <c r="AU1703" s="43"/>
      <c r="AV1703" s="43"/>
    </row>
    <row r="1704" ht="15.75" spans="1:48">
      <c r="A1704" s="12">
        <v>1700</v>
      </c>
      <c r="B1704" s="53">
        <v>656</v>
      </c>
      <c r="C1704" s="55" t="s">
        <v>195</v>
      </c>
      <c r="D1704" s="56"/>
      <c r="E1704" s="68" t="s">
        <v>50</v>
      </c>
      <c r="F1704" s="48">
        <v>1.66</v>
      </c>
      <c r="G1704" s="38">
        <v>0</v>
      </c>
      <c r="H1704" s="39"/>
      <c r="I1704" s="39"/>
      <c r="J1704" s="39"/>
      <c r="K1704" s="39"/>
      <c r="L1704" s="39"/>
      <c r="M1704" s="39"/>
      <c r="N1704" s="39"/>
      <c r="O1704" s="39"/>
      <c r="P1704" s="39"/>
      <c r="Q1704" s="39"/>
      <c r="R1704" s="39"/>
      <c r="S1704" s="39"/>
      <c r="T1704" s="39"/>
      <c r="U1704" s="39"/>
      <c r="V1704" s="39"/>
      <c r="W1704" s="39"/>
      <c r="X1704" s="49" t="s">
        <v>127</v>
      </c>
      <c r="Y1704" s="50">
        <v>2158</v>
      </c>
      <c r="Z1704" s="51">
        <v>2430</v>
      </c>
      <c r="AA1704" s="52">
        <f t="shared" si="41"/>
        <v>1.12604263206673</v>
      </c>
      <c r="AB1704" s="12">
        <v>2430</v>
      </c>
      <c r="AC1704" s="12">
        <v>0</v>
      </c>
      <c r="AD1704" s="43"/>
      <c r="AE1704" s="43"/>
      <c r="AF1704" s="43"/>
      <c r="AG1704" s="43"/>
      <c r="AH1704" s="43"/>
      <c r="AI1704" s="43"/>
      <c r="AJ1704" s="43"/>
      <c r="AK1704" s="43"/>
      <c r="AL1704" s="43"/>
      <c r="AM1704" s="43"/>
      <c r="AN1704" s="43"/>
      <c r="AO1704" s="43"/>
      <c r="AP1704" s="43"/>
      <c r="AQ1704" s="43"/>
      <c r="AR1704" s="43"/>
      <c r="AS1704" s="43"/>
      <c r="AT1704" s="43"/>
      <c r="AU1704" s="43"/>
      <c r="AV1704" s="43"/>
    </row>
    <row r="1705" ht="15.75" spans="1:48">
      <c r="A1705" s="12">
        <v>1701</v>
      </c>
      <c r="B1705" s="44">
        <v>2516</v>
      </c>
      <c r="C1705" s="45" t="s">
        <v>189</v>
      </c>
      <c r="D1705" s="46" t="s">
        <v>116</v>
      </c>
      <c r="E1705" s="47" t="s">
        <v>113</v>
      </c>
      <c r="F1705" s="48">
        <v>10.33</v>
      </c>
      <c r="G1705" s="38">
        <v>1.66</v>
      </c>
      <c r="H1705" s="39"/>
      <c r="I1705" s="39"/>
      <c r="J1705" s="39"/>
      <c r="K1705" s="39"/>
      <c r="L1705" s="39"/>
      <c r="M1705" s="39"/>
      <c r="N1705" s="39"/>
      <c r="O1705" s="39"/>
      <c r="P1705" s="39"/>
      <c r="Q1705" s="39">
        <v>1.33</v>
      </c>
      <c r="R1705" s="39"/>
      <c r="S1705" s="39"/>
      <c r="T1705" s="39"/>
      <c r="U1705" s="39">
        <v>0.33</v>
      </c>
      <c r="V1705" s="39"/>
      <c r="W1705" s="39"/>
      <c r="X1705" s="49" t="s">
        <v>381</v>
      </c>
      <c r="Y1705" s="50">
        <v>42229.04</v>
      </c>
      <c r="Z1705" s="51">
        <v>42400</v>
      </c>
      <c r="AA1705" s="52">
        <f t="shared" si="41"/>
        <v>1.00404839892169</v>
      </c>
      <c r="AB1705" s="12">
        <v>42383</v>
      </c>
      <c r="AC1705" s="12">
        <v>17</v>
      </c>
      <c r="AD1705" s="43"/>
      <c r="AE1705" s="43"/>
      <c r="AF1705" s="43"/>
      <c r="AG1705" s="43"/>
      <c r="AH1705" s="43"/>
      <c r="AI1705" s="43"/>
      <c r="AJ1705" s="43"/>
      <c r="AK1705" s="43"/>
      <c r="AL1705" s="43"/>
      <c r="AM1705" s="43"/>
      <c r="AN1705" s="19">
        <v>17</v>
      </c>
      <c r="AO1705" s="43"/>
      <c r="AP1705" s="43"/>
      <c r="AQ1705" s="43"/>
      <c r="AR1705" s="43"/>
      <c r="AS1705" s="43"/>
      <c r="AT1705" s="43"/>
      <c r="AU1705" s="43"/>
      <c r="AV1705" s="43"/>
    </row>
    <row r="1706" ht="15.75" spans="1:48">
      <c r="A1706" s="12">
        <v>1702</v>
      </c>
      <c r="B1706" s="44" t="s">
        <v>387</v>
      </c>
      <c r="C1706" s="45" t="s">
        <v>388</v>
      </c>
      <c r="D1706" s="46"/>
      <c r="E1706" s="47" t="s">
        <v>113</v>
      </c>
      <c r="F1706" s="48">
        <v>4.85436893203883</v>
      </c>
      <c r="G1706" s="38">
        <v>0</v>
      </c>
      <c r="H1706" s="39"/>
      <c r="I1706" s="39"/>
      <c r="J1706" s="39"/>
      <c r="K1706" s="39"/>
      <c r="L1706" s="39"/>
      <c r="M1706" s="39"/>
      <c r="N1706" s="39"/>
      <c r="O1706" s="39"/>
      <c r="P1706" s="39"/>
      <c r="Q1706" s="39"/>
      <c r="R1706" s="39"/>
      <c r="S1706" s="39"/>
      <c r="T1706" s="39"/>
      <c r="U1706" s="39"/>
      <c r="V1706" s="39"/>
      <c r="W1706" s="39"/>
      <c r="X1706" s="49" t="s">
        <v>233</v>
      </c>
      <c r="Y1706" s="50">
        <v>873.78640776699</v>
      </c>
      <c r="Z1706" s="51">
        <v>500</v>
      </c>
      <c r="AA1706" s="52">
        <f t="shared" si="41"/>
        <v>0.572222222222222</v>
      </c>
      <c r="AB1706" s="12">
        <v>500</v>
      </c>
      <c r="AC1706" s="12">
        <v>0</v>
      </c>
      <c r="AD1706" s="43"/>
      <c r="AE1706" s="43"/>
      <c r="AF1706" s="43"/>
      <c r="AG1706" s="43"/>
      <c r="AH1706" s="43"/>
      <c r="AI1706" s="43"/>
      <c r="AJ1706" s="43"/>
      <c r="AK1706" s="43"/>
      <c r="AL1706" s="43"/>
      <c r="AM1706" s="43"/>
      <c r="AN1706" s="43"/>
      <c r="AO1706" s="43"/>
      <c r="AP1706" s="43"/>
      <c r="AQ1706" s="43"/>
      <c r="AR1706" s="43"/>
      <c r="AS1706" s="43"/>
      <c r="AT1706" s="43"/>
      <c r="AU1706" s="43"/>
      <c r="AV1706" s="43"/>
    </row>
    <row r="1707" ht="15.75" spans="1:48">
      <c r="A1707" s="12">
        <v>1703</v>
      </c>
      <c r="B1707" s="44" t="s">
        <v>387</v>
      </c>
      <c r="C1707" s="45" t="s">
        <v>388</v>
      </c>
      <c r="D1707" s="46"/>
      <c r="E1707" s="47" t="s">
        <v>113</v>
      </c>
      <c r="F1707" s="48">
        <v>4.36893203883495</v>
      </c>
      <c r="G1707" s="38">
        <v>2.83</v>
      </c>
      <c r="H1707" s="39"/>
      <c r="I1707" s="39"/>
      <c r="J1707" s="39"/>
      <c r="K1707" s="39"/>
      <c r="L1707" s="39"/>
      <c r="M1707" s="39"/>
      <c r="N1707" s="39"/>
      <c r="O1707" s="39"/>
      <c r="P1707" s="39"/>
      <c r="Q1707" s="39">
        <v>1.33</v>
      </c>
      <c r="R1707" s="39"/>
      <c r="S1707" s="39"/>
      <c r="T1707" s="39">
        <v>1.5</v>
      </c>
      <c r="U1707" s="39"/>
      <c r="V1707" s="39"/>
      <c r="W1707" s="39"/>
      <c r="X1707" s="49" t="s">
        <v>232</v>
      </c>
      <c r="Y1707" s="50">
        <v>786.407766990291</v>
      </c>
      <c r="Z1707" s="51">
        <v>450</v>
      </c>
      <c r="AA1707" s="52">
        <f t="shared" si="41"/>
        <v>0.572222222222222</v>
      </c>
      <c r="AB1707" s="12">
        <v>450</v>
      </c>
      <c r="AC1707" s="12">
        <v>0</v>
      </c>
      <c r="AD1707" s="43"/>
      <c r="AE1707" s="43"/>
      <c r="AF1707" s="43"/>
      <c r="AG1707" s="43"/>
      <c r="AH1707" s="43"/>
      <c r="AI1707" s="43"/>
      <c r="AJ1707" s="43"/>
      <c r="AK1707" s="43"/>
      <c r="AL1707" s="43"/>
      <c r="AM1707" s="43"/>
      <c r="AN1707" s="43"/>
      <c r="AO1707" s="43"/>
      <c r="AP1707" s="43"/>
      <c r="AQ1707" s="43"/>
      <c r="AR1707" s="43"/>
      <c r="AS1707" s="43"/>
      <c r="AT1707" s="43"/>
      <c r="AU1707" s="43"/>
      <c r="AV1707" s="43"/>
    </row>
    <row r="1708" ht="15.75" spans="1:48">
      <c r="A1708" s="12">
        <v>1704</v>
      </c>
      <c r="B1708" s="44">
        <v>3526</v>
      </c>
      <c r="C1708" s="45" t="s">
        <v>65</v>
      </c>
      <c r="D1708" s="46"/>
      <c r="E1708" s="47" t="s">
        <v>113</v>
      </c>
      <c r="F1708" s="48">
        <v>10.66</v>
      </c>
      <c r="G1708" s="38">
        <v>1.33</v>
      </c>
      <c r="H1708" s="39"/>
      <c r="I1708" s="39"/>
      <c r="J1708" s="39"/>
      <c r="K1708" s="39"/>
      <c r="L1708" s="39"/>
      <c r="M1708" s="39"/>
      <c r="N1708" s="39"/>
      <c r="O1708" s="39"/>
      <c r="P1708" s="39"/>
      <c r="Q1708" s="39">
        <v>1.33</v>
      </c>
      <c r="R1708" s="39"/>
      <c r="S1708" s="39"/>
      <c r="T1708" s="39"/>
      <c r="U1708" s="39"/>
      <c r="V1708" s="39"/>
      <c r="W1708" s="39"/>
      <c r="X1708" s="49" t="s">
        <v>246</v>
      </c>
      <c r="Y1708" s="50">
        <v>3571.1</v>
      </c>
      <c r="Z1708" s="51">
        <v>3050</v>
      </c>
      <c r="AA1708" s="52">
        <f t="shared" si="41"/>
        <v>0.854078575228921</v>
      </c>
      <c r="AB1708" s="12">
        <v>3050</v>
      </c>
      <c r="AC1708" s="12">
        <v>0</v>
      </c>
      <c r="AD1708" s="43"/>
      <c r="AE1708" s="43"/>
      <c r="AF1708" s="43"/>
      <c r="AG1708" s="43"/>
      <c r="AH1708" s="43"/>
      <c r="AI1708" s="43"/>
      <c r="AJ1708" s="43"/>
      <c r="AK1708" s="43"/>
      <c r="AL1708" s="43"/>
      <c r="AM1708" s="43"/>
      <c r="AN1708" s="43"/>
      <c r="AO1708" s="43"/>
      <c r="AP1708" s="43"/>
      <c r="AQ1708" s="43"/>
      <c r="AR1708" s="43"/>
      <c r="AS1708" s="43"/>
      <c r="AT1708" s="43"/>
      <c r="AU1708" s="43"/>
      <c r="AV1708" s="43"/>
    </row>
    <row r="1709" ht="15.75" spans="1:48">
      <c r="A1709" s="12">
        <v>1705</v>
      </c>
      <c r="B1709" s="44" t="s">
        <v>389</v>
      </c>
      <c r="C1709" s="45" t="s">
        <v>390</v>
      </c>
      <c r="D1709" s="46">
        <v>11</v>
      </c>
      <c r="E1709" s="47" t="s">
        <v>113</v>
      </c>
      <c r="F1709" s="48">
        <v>10.5</v>
      </c>
      <c r="G1709" s="38">
        <v>1.5</v>
      </c>
      <c r="H1709" s="39"/>
      <c r="I1709" s="39"/>
      <c r="J1709" s="39"/>
      <c r="K1709" s="39"/>
      <c r="L1709" s="39"/>
      <c r="M1709" s="39"/>
      <c r="N1709" s="39"/>
      <c r="O1709" s="39"/>
      <c r="P1709" s="39"/>
      <c r="Q1709" s="39">
        <v>1.33</v>
      </c>
      <c r="R1709" s="39"/>
      <c r="S1709" s="39"/>
      <c r="T1709" s="39"/>
      <c r="U1709" s="39">
        <v>0.17</v>
      </c>
      <c r="V1709" s="39"/>
      <c r="W1709" s="39"/>
      <c r="X1709" s="49" t="s">
        <v>239</v>
      </c>
      <c r="Y1709" s="50">
        <v>5355</v>
      </c>
      <c r="Z1709" s="51">
        <v>5265</v>
      </c>
      <c r="AA1709" s="52">
        <f t="shared" si="41"/>
        <v>0.983193277310924</v>
      </c>
      <c r="AB1709" s="12">
        <v>5265</v>
      </c>
      <c r="AC1709" s="12">
        <v>0</v>
      </c>
      <c r="AD1709" s="43"/>
      <c r="AE1709" s="43"/>
      <c r="AF1709" s="43"/>
      <c r="AG1709" s="43"/>
      <c r="AH1709" s="43"/>
      <c r="AI1709" s="43"/>
      <c r="AJ1709" s="43"/>
      <c r="AK1709" s="43"/>
      <c r="AL1709" s="43"/>
      <c r="AM1709" s="43"/>
      <c r="AN1709" s="43"/>
      <c r="AO1709" s="43"/>
      <c r="AP1709" s="43"/>
      <c r="AQ1709" s="43"/>
      <c r="AR1709" s="43"/>
      <c r="AS1709" s="43"/>
      <c r="AT1709" s="43"/>
      <c r="AU1709" s="43"/>
      <c r="AV1709" s="43"/>
    </row>
    <row r="1710" ht="15.75" spans="1:48">
      <c r="A1710" s="12">
        <v>1706</v>
      </c>
      <c r="B1710" s="44">
        <v>3353</v>
      </c>
      <c r="C1710" s="45" t="s">
        <v>48</v>
      </c>
      <c r="D1710" s="46">
        <v>1</v>
      </c>
      <c r="E1710" s="47" t="s">
        <v>113</v>
      </c>
      <c r="F1710" s="48">
        <v>7.17</v>
      </c>
      <c r="G1710" s="38">
        <v>1.5</v>
      </c>
      <c r="H1710" s="39"/>
      <c r="I1710" s="39"/>
      <c r="J1710" s="39"/>
      <c r="K1710" s="39"/>
      <c r="L1710" s="39"/>
      <c r="M1710" s="39"/>
      <c r="N1710" s="39"/>
      <c r="O1710" s="39"/>
      <c r="P1710" s="39"/>
      <c r="Q1710" s="39">
        <v>1.33</v>
      </c>
      <c r="R1710" s="39"/>
      <c r="S1710" s="39"/>
      <c r="T1710" s="39"/>
      <c r="U1710" s="39">
        <v>0.17</v>
      </c>
      <c r="V1710" s="39"/>
      <c r="W1710" s="39"/>
      <c r="X1710" s="49" t="s">
        <v>214</v>
      </c>
      <c r="Y1710" s="50">
        <v>2401.95</v>
      </c>
      <c r="Z1710" s="51">
        <v>2400</v>
      </c>
      <c r="AA1710" s="52">
        <f t="shared" si="41"/>
        <v>0.999188159620309</v>
      </c>
      <c r="AB1710" s="12">
        <v>2400</v>
      </c>
      <c r="AC1710" s="12">
        <v>0</v>
      </c>
      <c r="AD1710" s="43"/>
      <c r="AE1710" s="43"/>
      <c r="AF1710" s="43"/>
      <c r="AG1710" s="43"/>
      <c r="AH1710" s="43"/>
      <c r="AI1710" s="43"/>
      <c r="AJ1710" s="43"/>
      <c r="AK1710" s="43"/>
      <c r="AL1710" s="43"/>
      <c r="AM1710" s="43"/>
      <c r="AN1710" s="43"/>
      <c r="AO1710" s="43"/>
      <c r="AP1710" s="43"/>
      <c r="AQ1710" s="43"/>
      <c r="AR1710" s="43"/>
      <c r="AS1710" s="43"/>
      <c r="AT1710" s="43"/>
      <c r="AU1710" s="43"/>
      <c r="AV1710" s="43"/>
    </row>
    <row r="1711" ht="15.75" spans="1:48">
      <c r="A1711" s="12">
        <v>1707</v>
      </c>
      <c r="B1711" s="44">
        <v>3353</v>
      </c>
      <c r="C1711" s="45" t="s">
        <v>48</v>
      </c>
      <c r="D1711" s="46"/>
      <c r="E1711" s="47" t="s">
        <v>113</v>
      </c>
      <c r="F1711" s="48">
        <v>3.33</v>
      </c>
      <c r="G1711" s="38">
        <v>0</v>
      </c>
      <c r="H1711" s="39"/>
      <c r="I1711" s="39"/>
      <c r="J1711" s="39"/>
      <c r="K1711" s="39"/>
      <c r="L1711" s="39"/>
      <c r="M1711" s="39"/>
      <c r="N1711" s="39"/>
      <c r="O1711" s="39"/>
      <c r="P1711" s="39"/>
      <c r="Q1711" s="39"/>
      <c r="R1711" s="39"/>
      <c r="S1711" s="39"/>
      <c r="T1711" s="39"/>
      <c r="U1711" s="39"/>
      <c r="V1711" s="39"/>
      <c r="W1711" s="39"/>
      <c r="X1711" s="49" t="s">
        <v>122</v>
      </c>
      <c r="Y1711" s="50">
        <v>0</v>
      </c>
      <c r="Z1711" s="51"/>
      <c r="AA1711" s="52">
        <f>IFERROR(Z1711/Y1711,0)</f>
        <v>0</v>
      </c>
      <c r="AB1711" s="12">
        <v>0</v>
      </c>
      <c r="AC1711" s="12">
        <v>0</v>
      </c>
      <c r="AD1711" s="43"/>
      <c r="AE1711" s="43"/>
      <c r="AF1711" s="43"/>
      <c r="AG1711" s="43"/>
      <c r="AH1711" s="43"/>
      <c r="AI1711" s="43"/>
      <c r="AJ1711" s="43"/>
      <c r="AK1711" s="43"/>
      <c r="AL1711" s="43"/>
      <c r="AM1711" s="43"/>
      <c r="AN1711" s="43"/>
      <c r="AO1711" s="43"/>
      <c r="AP1711" s="43"/>
      <c r="AQ1711" s="43"/>
      <c r="AR1711" s="43"/>
      <c r="AS1711" s="43"/>
      <c r="AT1711" s="43"/>
      <c r="AU1711" s="43"/>
      <c r="AV1711" s="43"/>
    </row>
    <row r="1712" ht="15.75" spans="1:48">
      <c r="A1712" s="12">
        <v>1708</v>
      </c>
      <c r="B1712" s="44">
        <v>3352</v>
      </c>
      <c r="C1712" s="45" t="s">
        <v>66</v>
      </c>
      <c r="D1712" s="46"/>
      <c r="E1712" s="47" t="s">
        <v>113</v>
      </c>
      <c r="F1712" s="48">
        <v>10.66</v>
      </c>
      <c r="G1712" s="38">
        <v>1.33</v>
      </c>
      <c r="H1712" s="39"/>
      <c r="I1712" s="39"/>
      <c r="J1712" s="39"/>
      <c r="K1712" s="39"/>
      <c r="L1712" s="39"/>
      <c r="M1712" s="39"/>
      <c r="N1712" s="39"/>
      <c r="O1712" s="39"/>
      <c r="P1712" s="39"/>
      <c r="Q1712" s="39">
        <v>1.33</v>
      </c>
      <c r="R1712" s="39"/>
      <c r="S1712" s="39"/>
      <c r="T1712" s="39"/>
      <c r="U1712" s="39"/>
      <c r="V1712" s="39"/>
      <c r="W1712" s="39"/>
      <c r="X1712" s="49" t="s">
        <v>120</v>
      </c>
      <c r="Y1712" s="50">
        <v>2665</v>
      </c>
      <c r="Z1712" s="51">
        <v>2650</v>
      </c>
      <c r="AA1712" s="52">
        <f t="shared" ref="AA1712:AA1743" si="42">IFERROR(Z1712/Y1712,0)</f>
        <v>0.99437148217636</v>
      </c>
      <c r="AB1712" s="12">
        <v>2650</v>
      </c>
      <c r="AC1712" s="12">
        <v>0</v>
      </c>
      <c r="AD1712" s="43"/>
      <c r="AE1712" s="43"/>
      <c r="AF1712" s="43"/>
      <c r="AG1712" s="43"/>
      <c r="AH1712" s="43"/>
      <c r="AI1712" s="43"/>
      <c r="AJ1712" s="43"/>
      <c r="AK1712" s="43"/>
      <c r="AL1712" s="43"/>
      <c r="AM1712" s="43"/>
      <c r="AN1712" s="43"/>
      <c r="AO1712" s="43"/>
      <c r="AP1712" s="43"/>
      <c r="AQ1712" s="43"/>
      <c r="AR1712" s="43"/>
      <c r="AS1712" s="43"/>
      <c r="AT1712" s="43"/>
      <c r="AU1712" s="43"/>
      <c r="AV1712" s="43"/>
    </row>
    <row r="1713" ht="15.75" spans="1:48">
      <c r="A1713" s="12">
        <v>1709</v>
      </c>
      <c r="B1713" s="44">
        <v>698</v>
      </c>
      <c r="C1713" s="45" t="s">
        <v>68</v>
      </c>
      <c r="D1713" s="46">
        <v>12</v>
      </c>
      <c r="E1713" s="47" t="s">
        <v>113</v>
      </c>
      <c r="F1713" s="48">
        <v>3.17</v>
      </c>
      <c r="G1713" s="38">
        <v>0.17</v>
      </c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  <c r="S1713" s="39"/>
      <c r="T1713" s="39"/>
      <c r="U1713" s="39">
        <v>0.17</v>
      </c>
      <c r="V1713" s="39"/>
      <c r="W1713" s="39"/>
      <c r="X1713" s="49" t="s">
        <v>71</v>
      </c>
      <c r="Y1713" s="50">
        <v>1061.95</v>
      </c>
      <c r="Z1713" s="51">
        <v>1080</v>
      </c>
      <c r="AA1713" s="52">
        <f t="shared" si="42"/>
        <v>1.01699703375865</v>
      </c>
      <c r="AB1713" s="12">
        <v>1080</v>
      </c>
      <c r="AC1713" s="12">
        <v>0</v>
      </c>
      <c r="AD1713" s="43"/>
      <c r="AE1713" s="43"/>
      <c r="AF1713" s="43"/>
      <c r="AG1713" s="43"/>
      <c r="AH1713" s="43"/>
      <c r="AI1713" s="43"/>
      <c r="AJ1713" s="43"/>
      <c r="AK1713" s="43"/>
      <c r="AL1713" s="43"/>
      <c r="AM1713" s="43"/>
      <c r="AN1713" s="43"/>
      <c r="AO1713" s="43"/>
      <c r="AP1713" s="43"/>
      <c r="AQ1713" s="43"/>
      <c r="AR1713" s="43"/>
      <c r="AS1713" s="43"/>
      <c r="AT1713" s="43"/>
      <c r="AU1713" s="43"/>
      <c r="AV1713" s="43"/>
    </row>
    <row r="1714" ht="15.75" spans="1:48">
      <c r="A1714" s="12">
        <v>1710</v>
      </c>
      <c r="B1714" s="44">
        <v>698</v>
      </c>
      <c r="C1714" s="45" t="s">
        <v>68</v>
      </c>
      <c r="D1714" s="46"/>
      <c r="E1714" s="47" t="s">
        <v>113</v>
      </c>
      <c r="F1714" s="48">
        <v>3.7</v>
      </c>
      <c r="G1714" s="38">
        <v>0</v>
      </c>
      <c r="H1714" s="39"/>
      <c r="I1714" s="39"/>
      <c r="J1714" s="39"/>
      <c r="K1714" s="39"/>
      <c r="L1714" s="39"/>
      <c r="M1714" s="39"/>
      <c r="N1714" s="39"/>
      <c r="O1714" s="39"/>
      <c r="P1714" s="39"/>
      <c r="Q1714" s="39"/>
      <c r="R1714" s="39"/>
      <c r="S1714" s="39"/>
      <c r="T1714" s="39"/>
      <c r="U1714" s="39"/>
      <c r="V1714" s="39"/>
      <c r="W1714" s="39"/>
      <c r="X1714" s="49" t="s">
        <v>233</v>
      </c>
      <c r="Y1714" s="50">
        <v>666</v>
      </c>
      <c r="Z1714" s="51">
        <v>650</v>
      </c>
      <c r="AA1714" s="52">
        <f t="shared" si="42"/>
        <v>0.975975975975976</v>
      </c>
      <c r="AB1714" s="12">
        <v>650</v>
      </c>
      <c r="AC1714" s="12">
        <v>0</v>
      </c>
      <c r="AD1714" s="43"/>
      <c r="AE1714" s="43"/>
      <c r="AF1714" s="43"/>
      <c r="AG1714" s="43"/>
      <c r="AH1714" s="43"/>
      <c r="AI1714" s="43"/>
      <c r="AJ1714" s="43"/>
      <c r="AK1714" s="43"/>
      <c r="AL1714" s="43"/>
      <c r="AM1714" s="43"/>
      <c r="AN1714" s="43"/>
      <c r="AO1714" s="43"/>
      <c r="AP1714" s="43"/>
      <c r="AQ1714" s="43"/>
      <c r="AR1714" s="43"/>
      <c r="AS1714" s="43"/>
      <c r="AT1714" s="43"/>
      <c r="AU1714" s="43"/>
      <c r="AV1714" s="43"/>
    </row>
    <row r="1715" ht="15.75" spans="1:48">
      <c r="A1715" s="12">
        <v>1711</v>
      </c>
      <c r="B1715" s="44">
        <v>698</v>
      </c>
      <c r="C1715" s="45" t="s">
        <v>68</v>
      </c>
      <c r="D1715" s="46"/>
      <c r="E1715" s="47" t="s">
        <v>113</v>
      </c>
      <c r="F1715" s="48">
        <v>3.7</v>
      </c>
      <c r="G1715" s="38">
        <v>1.33</v>
      </c>
      <c r="H1715" s="39"/>
      <c r="I1715" s="39"/>
      <c r="J1715" s="39"/>
      <c r="K1715" s="39"/>
      <c r="L1715" s="39"/>
      <c r="M1715" s="39"/>
      <c r="N1715" s="39"/>
      <c r="O1715" s="39"/>
      <c r="P1715" s="39"/>
      <c r="Q1715" s="39">
        <v>1.33</v>
      </c>
      <c r="R1715" s="39"/>
      <c r="S1715" s="39"/>
      <c r="T1715" s="39"/>
      <c r="U1715" s="39"/>
      <c r="V1715" s="39"/>
      <c r="W1715" s="39"/>
      <c r="X1715" s="49" t="s">
        <v>232</v>
      </c>
      <c r="Y1715" s="50">
        <v>666</v>
      </c>
      <c r="Z1715" s="51">
        <v>650</v>
      </c>
      <c r="AA1715" s="52">
        <f t="shared" si="42"/>
        <v>0.975975975975976</v>
      </c>
      <c r="AB1715" s="12">
        <v>650</v>
      </c>
      <c r="AC1715" s="12">
        <v>0</v>
      </c>
      <c r="AD1715" s="43"/>
      <c r="AE1715" s="43"/>
      <c r="AF1715" s="43"/>
      <c r="AG1715" s="43"/>
      <c r="AH1715" s="43"/>
      <c r="AI1715" s="43"/>
      <c r="AJ1715" s="43"/>
      <c r="AK1715" s="43"/>
      <c r="AL1715" s="43"/>
      <c r="AM1715" s="43"/>
      <c r="AN1715" s="43"/>
      <c r="AO1715" s="43"/>
      <c r="AP1715" s="43"/>
      <c r="AQ1715" s="43"/>
      <c r="AR1715" s="43"/>
      <c r="AS1715" s="43"/>
      <c r="AT1715" s="43"/>
      <c r="AU1715" s="43"/>
      <c r="AV1715" s="43"/>
    </row>
    <row r="1716" ht="15.75" spans="1:48">
      <c r="A1716" s="12">
        <v>1712</v>
      </c>
      <c r="B1716" s="44">
        <v>4344</v>
      </c>
      <c r="C1716" s="45" t="s">
        <v>85</v>
      </c>
      <c r="D1716" s="46" t="s">
        <v>81</v>
      </c>
      <c r="E1716" s="47" t="s">
        <v>113</v>
      </c>
      <c r="F1716" s="48">
        <v>6.5</v>
      </c>
      <c r="G1716" s="38">
        <v>1.5</v>
      </c>
      <c r="H1716" s="39"/>
      <c r="I1716" s="39"/>
      <c r="J1716" s="39"/>
      <c r="K1716" s="39"/>
      <c r="L1716" s="39"/>
      <c r="M1716" s="39"/>
      <c r="N1716" s="39"/>
      <c r="O1716" s="39"/>
      <c r="P1716" s="39"/>
      <c r="Q1716" s="39">
        <v>1.33</v>
      </c>
      <c r="R1716" s="39"/>
      <c r="S1716" s="39"/>
      <c r="T1716" s="39"/>
      <c r="U1716" s="39">
        <v>0.17</v>
      </c>
      <c r="V1716" s="39"/>
      <c r="W1716" s="39"/>
      <c r="X1716" s="49" t="s">
        <v>208</v>
      </c>
      <c r="Y1716" s="50">
        <v>9912.5</v>
      </c>
      <c r="Z1716" s="51">
        <v>9989</v>
      </c>
      <c r="AA1716" s="52">
        <f t="shared" si="42"/>
        <v>1.00771752837327</v>
      </c>
      <c r="AB1716" s="12">
        <v>9989</v>
      </c>
      <c r="AC1716" s="12">
        <v>0</v>
      </c>
      <c r="AD1716" s="43"/>
      <c r="AE1716" s="43"/>
      <c r="AF1716" s="43"/>
      <c r="AG1716" s="43"/>
      <c r="AH1716" s="43"/>
      <c r="AI1716" s="43"/>
      <c r="AJ1716" s="43"/>
      <c r="AK1716" s="43"/>
      <c r="AL1716" s="43"/>
      <c r="AM1716" s="43"/>
      <c r="AN1716" s="43"/>
      <c r="AO1716" s="43"/>
      <c r="AP1716" s="43"/>
      <c r="AQ1716" s="43"/>
      <c r="AR1716" s="43"/>
      <c r="AS1716" s="43"/>
      <c r="AT1716" s="43"/>
      <c r="AU1716" s="43"/>
      <c r="AV1716" s="43"/>
    </row>
    <row r="1717" ht="15.75" spans="1:48">
      <c r="A1717" s="12">
        <v>1713</v>
      </c>
      <c r="B1717" s="44">
        <v>4478</v>
      </c>
      <c r="C1717" s="45" t="s">
        <v>128</v>
      </c>
      <c r="D1717" s="46" t="s">
        <v>129</v>
      </c>
      <c r="E1717" s="47" t="s">
        <v>113</v>
      </c>
      <c r="F1717" s="48">
        <v>10.5</v>
      </c>
      <c r="G1717" s="38">
        <v>1.5</v>
      </c>
      <c r="H1717" s="39"/>
      <c r="I1717" s="39"/>
      <c r="J1717" s="39"/>
      <c r="K1717" s="39"/>
      <c r="L1717" s="39"/>
      <c r="M1717" s="39"/>
      <c r="N1717" s="39"/>
      <c r="O1717" s="39"/>
      <c r="P1717" s="39"/>
      <c r="Q1717" s="39">
        <v>1.33</v>
      </c>
      <c r="R1717" s="39"/>
      <c r="S1717" s="39"/>
      <c r="T1717" s="39"/>
      <c r="U1717" s="39">
        <v>0.17</v>
      </c>
      <c r="V1717" s="39"/>
      <c r="W1717" s="39"/>
      <c r="X1717" s="49" t="s">
        <v>220</v>
      </c>
      <c r="Y1717" s="50">
        <v>18900</v>
      </c>
      <c r="Z1717" s="51">
        <v>15663</v>
      </c>
      <c r="AA1717" s="52">
        <f t="shared" si="42"/>
        <v>0.828730158730159</v>
      </c>
      <c r="AB1717" s="12">
        <v>15648</v>
      </c>
      <c r="AC1717" s="12">
        <v>15</v>
      </c>
      <c r="AD1717" s="43"/>
      <c r="AE1717" s="43"/>
      <c r="AF1717" s="43"/>
      <c r="AG1717" s="19">
        <v>15</v>
      </c>
      <c r="AH1717" s="43"/>
      <c r="AI1717" s="43"/>
      <c r="AJ1717" s="43"/>
      <c r="AK1717" s="43"/>
      <c r="AL1717" s="43"/>
      <c r="AM1717" s="43"/>
      <c r="AN1717" s="43"/>
      <c r="AO1717" s="43"/>
      <c r="AP1717" s="43"/>
      <c r="AQ1717" s="43"/>
      <c r="AR1717" s="43"/>
      <c r="AS1717" s="43"/>
      <c r="AT1717" s="43"/>
      <c r="AU1717" s="43"/>
      <c r="AV1717" s="43"/>
    </row>
    <row r="1718" ht="15.75" spans="1:48">
      <c r="A1718" s="12">
        <v>1714</v>
      </c>
      <c r="B1718" s="44">
        <v>4185</v>
      </c>
      <c r="C1718" s="45" t="s">
        <v>72</v>
      </c>
      <c r="D1718" s="46" t="s">
        <v>78</v>
      </c>
      <c r="E1718" s="47" t="s">
        <v>113</v>
      </c>
      <c r="F1718" s="48">
        <v>9.83</v>
      </c>
      <c r="G1718" s="38">
        <v>2.16</v>
      </c>
      <c r="H1718" s="39"/>
      <c r="I1718" s="39"/>
      <c r="J1718" s="39"/>
      <c r="K1718" s="39">
        <v>0.5</v>
      </c>
      <c r="L1718" s="39"/>
      <c r="M1718" s="39"/>
      <c r="N1718" s="39"/>
      <c r="O1718" s="39"/>
      <c r="P1718" s="39"/>
      <c r="Q1718" s="39">
        <v>1.33</v>
      </c>
      <c r="R1718" s="39"/>
      <c r="S1718" s="39"/>
      <c r="T1718" s="39"/>
      <c r="U1718" s="39">
        <v>0.33</v>
      </c>
      <c r="V1718" s="39"/>
      <c r="W1718" s="39"/>
      <c r="X1718" s="49" t="s">
        <v>79</v>
      </c>
      <c r="Y1718" s="50">
        <v>65467.8</v>
      </c>
      <c r="Z1718" s="51">
        <v>56480</v>
      </c>
      <c r="AA1718" s="52">
        <f t="shared" si="42"/>
        <v>0.862714189265563</v>
      </c>
      <c r="AB1718" s="12">
        <v>56360</v>
      </c>
      <c r="AC1718" s="12">
        <v>120</v>
      </c>
      <c r="AD1718" s="43"/>
      <c r="AE1718" s="43"/>
      <c r="AF1718" s="43"/>
      <c r="AG1718" s="19">
        <v>120</v>
      </c>
      <c r="AH1718" s="43"/>
      <c r="AI1718" s="43"/>
      <c r="AJ1718" s="43"/>
      <c r="AK1718" s="43"/>
      <c r="AL1718" s="43"/>
      <c r="AM1718" s="43"/>
      <c r="AN1718" s="43"/>
      <c r="AO1718" s="43"/>
      <c r="AP1718" s="43"/>
      <c r="AQ1718" s="43"/>
      <c r="AR1718" s="43"/>
      <c r="AS1718" s="43"/>
      <c r="AT1718" s="43"/>
      <c r="AU1718" s="43"/>
      <c r="AV1718" s="43"/>
    </row>
    <row r="1719" ht="15.75" spans="1:48">
      <c r="A1719" s="12">
        <v>1715</v>
      </c>
      <c r="B1719" s="44">
        <v>4185</v>
      </c>
      <c r="C1719" s="45" t="s">
        <v>72</v>
      </c>
      <c r="D1719" s="46" t="s">
        <v>76</v>
      </c>
      <c r="E1719" s="47" t="s">
        <v>113</v>
      </c>
      <c r="F1719" s="48">
        <v>10.17</v>
      </c>
      <c r="G1719" s="38">
        <v>1.66</v>
      </c>
      <c r="H1719" s="39"/>
      <c r="I1719" s="39"/>
      <c r="J1719" s="39"/>
      <c r="K1719" s="39"/>
      <c r="L1719" s="39"/>
      <c r="M1719" s="39"/>
      <c r="N1719" s="39"/>
      <c r="O1719" s="39"/>
      <c r="P1719" s="39"/>
      <c r="Q1719" s="39">
        <v>1.33</v>
      </c>
      <c r="R1719" s="39"/>
      <c r="S1719" s="39"/>
      <c r="T1719" s="39"/>
      <c r="U1719" s="39">
        <v>0.33</v>
      </c>
      <c r="V1719" s="39"/>
      <c r="W1719" s="39"/>
      <c r="X1719" s="49" t="s">
        <v>77</v>
      </c>
      <c r="Y1719" s="50">
        <v>61020</v>
      </c>
      <c r="Z1719" s="51">
        <v>56192</v>
      </c>
      <c r="AA1719" s="52">
        <f t="shared" si="42"/>
        <v>0.920878400524418</v>
      </c>
      <c r="AB1719" s="12">
        <v>56160</v>
      </c>
      <c r="AC1719" s="12">
        <v>32</v>
      </c>
      <c r="AD1719" s="43"/>
      <c r="AE1719" s="43"/>
      <c r="AF1719" s="43"/>
      <c r="AG1719" s="19">
        <v>32</v>
      </c>
      <c r="AH1719" s="43"/>
      <c r="AI1719" s="43"/>
      <c r="AJ1719" s="43"/>
      <c r="AK1719" s="43"/>
      <c r="AL1719" s="43"/>
      <c r="AM1719" s="43"/>
      <c r="AN1719" s="43"/>
      <c r="AO1719" s="43"/>
      <c r="AP1719" s="43"/>
      <c r="AQ1719" s="43"/>
      <c r="AR1719" s="43"/>
      <c r="AS1719" s="43"/>
      <c r="AT1719" s="43"/>
      <c r="AU1719" s="43"/>
      <c r="AV1719" s="43"/>
    </row>
    <row r="1720" ht="15.75" spans="1:48">
      <c r="A1720" s="12">
        <v>1716</v>
      </c>
      <c r="B1720" s="44">
        <v>4185</v>
      </c>
      <c r="C1720" s="45" t="s">
        <v>72</v>
      </c>
      <c r="D1720" s="46" t="s">
        <v>83</v>
      </c>
      <c r="E1720" s="47" t="s">
        <v>113</v>
      </c>
      <c r="F1720" s="48">
        <v>9.33</v>
      </c>
      <c r="G1720" s="38">
        <v>1.83</v>
      </c>
      <c r="H1720" s="39"/>
      <c r="I1720" s="39"/>
      <c r="J1720" s="39"/>
      <c r="K1720" s="39">
        <v>0.17</v>
      </c>
      <c r="L1720" s="39"/>
      <c r="M1720" s="39"/>
      <c r="N1720" s="39"/>
      <c r="O1720" s="39"/>
      <c r="P1720" s="39"/>
      <c r="Q1720" s="39">
        <v>1.33</v>
      </c>
      <c r="R1720" s="39"/>
      <c r="S1720" s="39"/>
      <c r="T1720" s="39"/>
      <c r="U1720" s="39">
        <v>0.33</v>
      </c>
      <c r="V1720" s="39"/>
      <c r="W1720" s="39"/>
      <c r="X1720" s="49" t="s">
        <v>342</v>
      </c>
      <c r="Y1720" s="50">
        <v>41985</v>
      </c>
      <c r="Z1720" s="51">
        <v>42600</v>
      </c>
      <c r="AA1720" s="52">
        <f t="shared" si="42"/>
        <v>1.01464808860307</v>
      </c>
      <c r="AB1720" s="12">
        <v>42582</v>
      </c>
      <c r="AC1720" s="12">
        <v>18</v>
      </c>
      <c r="AD1720" s="43"/>
      <c r="AE1720" s="43"/>
      <c r="AF1720" s="43"/>
      <c r="AG1720" s="19">
        <v>18</v>
      </c>
      <c r="AH1720" s="43"/>
      <c r="AI1720" s="43"/>
      <c r="AJ1720" s="43"/>
      <c r="AK1720" s="43"/>
      <c r="AL1720" s="43"/>
      <c r="AM1720" s="43"/>
      <c r="AN1720" s="43"/>
      <c r="AO1720" s="43"/>
      <c r="AP1720" s="43"/>
      <c r="AQ1720" s="43"/>
      <c r="AR1720" s="43"/>
      <c r="AS1720" s="43"/>
      <c r="AT1720" s="43"/>
      <c r="AU1720" s="43"/>
      <c r="AV1720" s="43"/>
    </row>
    <row r="1721" ht="15.75" spans="1:48">
      <c r="A1721" s="12">
        <v>1717</v>
      </c>
      <c r="B1721" s="44">
        <v>4173</v>
      </c>
      <c r="C1721" s="45" t="s">
        <v>75</v>
      </c>
      <c r="D1721" s="46" t="s">
        <v>73</v>
      </c>
      <c r="E1721" s="47" t="s">
        <v>113</v>
      </c>
      <c r="F1721" s="48">
        <v>4.33</v>
      </c>
      <c r="G1721" s="38">
        <v>1.83</v>
      </c>
      <c r="H1721" s="39"/>
      <c r="I1721" s="39"/>
      <c r="J1721" s="39"/>
      <c r="K1721" s="39">
        <v>0.33</v>
      </c>
      <c r="L1721" s="39"/>
      <c r="M1721" s="39"/>
      <c r="N1721" s="39"/>
      <c r="O1721" s="39"/>
      <c r="P1721" s="39"/>
      <c r="Q1721" s="39">
        <v>1.33</v>
      </c>
      <c r="R1721" s="39"/>
      <c r="S1721" s="39"/>
      <c r="T1721" s="39"/>
      <c r="U1721" s="39">
        <v>0.17</v>
      </c>
      <c r="V1721" s="39"/>
      <c r="W1721" s="39"/>
      <c r="X1721" s="49" t="s">
        <v>139</v>
      </c>
      <c r="Y1721" s="50">
        <v>6603.25</v>
      </c>
      <c r="Z1721" s="51">
        <v>6636</v>
      </c>
      <c r="AA1721" s="52">
        <f t="shared" si="42"/>
        <v>1.00495967894597</v>
      </c>
      <c r="AB1721" s="12">
        <v>6628</v>
      </c>
      <c r="AC1721" s="12">
        <v>8</v>
      </c>
      <c r="AD1721" s="43"/>
      <c r="AE1721" s="43"/>
      <c r="AF1721" s="43"/>
      <c r="AG1721" s="19">
        <v>8</v>
      </c>
      <c r="AH1721" s="43"/>
      <c r="AI1721" s="43"/>
      <c r="AJ1721" s="43"/>
      <c r="AK1721" s="43"/>
      <c r="AL1721" s="43"/>
      <c r="AM1721" s="43"/>
      <c r="AN1721" s="43"/>
      <c r="AO1721" s="43"/>
      <c r="AP1721" s="43"/>
      <c r="AQ1721" s="43"/>
      <c r="AR1721" s="43"/>
      <c r="AS1721" s="43"/>
      <c r="AT1721" s="43"/>
      <c r="AU1721" s="43"/>
      <c r="AV1721" s="43"/>
    </row>
    <row r="1722" ht="15.75" spans="1:48">
      <c r="A1722" s="12">
        <v>1718</v>
      </c>
      <c r="B1722" s="44">
        <v>4173</v>
      </c>
      <c r="C1722" s="45" t="s">
        <v>75</v>
      </c>
      <c r="D1722" s="46" t="s">
        <v>138</v>
      </c>
      <c r="E1722" s="47" t="s">
        <v>113</v>
      </c>
      <c r="F1722" s="48">
        <v>5.67</v>
      </c>
      <c r="G1722" s="38">
        <v>0.17</v>
      </c>
      <c r="H1722" s="39"/>
      <c r="I1722" s="39"/>
      <c r="J1722" s="39"/>
      <c r="K1722" s="39"/>
      <c r="L1722" s="39"/>
      <c r="M1722" s="39"/>
      <c r="N1722" s="39"/>
      <c r="O1722" s="39"/>
      <c r="P1722" s="39"/>
      <c r="Q1722" s="39"/>
      <c r="R1722" s="39"/>
      <c r="S1722" s="39"/>
      <c r="T1722" s="39"/>
      <c r="U1722" s="39">
        <v>0.17</v>
      </c>
      <c r="V1722" s="39"/>
      <c r="W1722" s="39"/>
      <c r="X1722" s="49" t="s">
        <v>82</v>
      </c>
      <c r="Y1722" s="50">
        <v>9213.75</v>
      </c>
      <c r="Z1722" s="51">
        <v>9600</v>
      </c>
      <c r="AA1722" s="52">
        <f t="shared" si="42"/>
        <v>1.04192104192104</v>
      </c>
      <c r="AB1722" s="12">
        <v>9574</v>
      </c>
      <c r="AC1722" s="12">
        <v>26</v>
      </c>
      <c r="AD1722" s="43"/>
      <c r="AE1722" s="43"/>
      <c r="AF1722" s="43"/>
      <c r="AG1722" s="19">
        <v>26</v>
      </c>
      <c r="AH1722" s="43"/>
      <c r="AI1722" s="43"/>
      <c r="AJ1722" s="43"/>
      <c r="AK1722" s="43"/>
      <c r="AL1722" s="43"/>
      <c r="AM1722" s="43"/>
      <c r="AN1722" s="43"/>
      <c r="AO1722" s="43"/>
      <c r="AP1722" s="43"/>
      <c r="AQ1722" s="43"/>
      <c r="AR1722" s="43"/>
      <c r="AS1722" s="43"/>
      <c r="AT1722" s="43"/>
      <c r="AU1722" s="43"/>
      <c r="AV1722" s="43"/>
    </row>
    <row r="1723" ht="15.75" spans="1:48">
      <c r="A1723" s="12">
        <v>1719</v>
      </c>
      <c r="B1723" s="44">
        <v>4360</v>
      </c>
      <c r="C1723" s="45" t="s">
        <v>97</v>
      </c>
      <c r="D1723" s="46">
        <v>15</v>
      </c>
      <c r="E1723" s="47" t="s">
        <v>113</v>
      </c>
      <c r="F1723" s="48">
        <v>9.33</v>
      </c>
      <c r="G1723" s="38">
        <v>2.67</v>
      </c>
      <c r="H1723" s="39"/>
      <c r="I1723" s="39"/>
      <c r="J1723" s="39"/>
      <c r="K1723" s="39"/>
      <c r="L1723" s="39"/>
      <c r="M1723" s="39"/>
      <c r="N1723" s="39"/>
      <c r="O1723" s="39"/>
      <c r="P1723" s="39"/>
      <c r="Q1723" s="39">
        <v>1.33</v>
      </c>
      <c r="R1723" s="39"/>
      <c r="S1723" s="39"/>
      <c r="T1723" s="39">
        <v>1.17</v>
      </c>
      <c r="U1723" s="39">
        <v>0.17</v>
      </c>
      <c r="V1723" s="39"/>
      <c r="W1723" s="39"/>
      <c r="X1723" s="49">
        <v>3880</v>
      </c>
      <c r="Y1723" s="50">
        <v>3732</v>
      </c>
      <c r="Z1723" s="51">
        <v>3351</v>
      </c>
      <c r="AA1723" s="52">
        <f t="shared" si="42"/>
        <v>0.897909967845659</v>
      </c>
      <c r="AB1723" s="12">
        <v>3126</v>
      </c>
      <c r="AC1723" s="12">
        <v>225</v>
      </c>
      <c r="AD1723" s="19">
        <v>225</v>
      </c>
      <c r="AE1723" s="43"/>
      <c r="AF1723" s="43"/>
      <c r="AG1723" s="43"/>
      <c r="AH1723" s="43"/>
      <c r="AI1723" s="43"/>
      <c r="AJ1723" s="43"/>
      <c r="AK1723" s="43"/>
      <c r="AL1723" s="43"/>
      <c r="AM1723" s="43"/>
      <c r="AN1723" s="43"/>
      <c r="AO1723" s="43"/>
      <c r="AP1723" s="43"/>
      <c r="AQ1723" s="43"/>
      <c r="AR1723" s="43"/>
      <c r="AS1723" s="43"/>
      <c r="AT1723" s="43"/>
      <c r="AU1723" s="43"/>
      <c r="AV1723" s="43"/>
    </row>
    <row r="1724" ht="15.75" spans="1:48">
      <c r="A1724" s="12">
        <v>1720</v>
      </c>
      <c r="B1724" s="44">
        <v>3268</v>
      </c>
      <c r="C1724" s="45" t="s">
        <v>80</v>
      </c>
      <c r="D1724" s="46">
        <v>17</v>
      </c>
      <c r="E1724" s="47" t="s">
        <v>113</v>
      </c>
      <c r="F1724" s="48">
        <v>8.5</v>
      </c>
      <c r="G1724" s="38">
        <v>3.5</v>
      </c>
      <c r="H1724" s="39"/>
      <c r="I1724" s="39"/>
      <c r="J1724" s="39"/>
      <c r="K1724" s="39"/>
      <c r="L1724" s="39"/>
      <c r="M1724" s="39"/>
      <c r="N1724" s="39"/>
      <c r="O1724" s="39"/>
      <c r="P1724" s="39"/>
      <c r="Q1724" s="39">
        <v>1.33</v>
      </c>
      <c r="R1724" s="39"/>
      <c r="S1724" s="39"/>
      <c r="T1724" s="39">
        <v>2</v>
      </c>
      <c r="U1724" s="39">
        <v>0.17</v>
      </c>
      <c r="V1724" s="39"/>
      <c r="W1724" s="39"/>
      <c r="X1724" s="49">
        <v>977</v>
      </c>
      <c r="Y1724" s="50">
        <v>2550</v>
      </c>
      <c r="Z1724" s="51">
        <v>1760</v>
      </c>
      <c r="AA1724" s="52">
        <f t="shared" si="42"/>
        <v>0.690196078431373</v>
      </c>
      <c r="AB1724" s="12">
        <v>1122</v>
      </c>
      <c r="AC1724" s="12">
        <v>638</v>
      </c>
      <c r="AD1724" s="19">
        <v>638</v>
      </c>
      <c r="AE1724" s="43"/>
      <c r="AF1724" s="43"/>
      <c r="AG1724" s="43"/>
      <c r="AH1724" s="43"/>
      <c r="AI1724" s="43"/>
      <c r="AJ1724" s="43"/>
      <c r="AK1724" s="43"/>
      <c r="AL1724" s="43"/>
      <c r="AM1724" s="43"/>
      <c r="AN1724" s="43"/>
      <c r="AO1724" s="43"/>
      <c r="AP1724" s="43"/>
      <c r="AQ1724" s="43"/>
      <c r="AR1724" s="43"/>
      <c r="AS1724" s="43"/>
      <c r="AT1724" s="43"/>
      <c r="AU1724" s="43"/>
      <c r="AV1724" s="43"/>
    </row>
    <row r="1725" ht="15.75" spans="1:48">
      <c r="A1725" s="12">
        <v>1721</v>
      </c>
      <c r="B1725" s="44">
        <v>676</v>
      </c>
      <c r="C1725" s="45" t="s">
        <v>171</v>
      </c>
      <c r="D1725" s="46"/>
      <c r="E1725" s="47" t="s">
        <v>113</v>
      </c>
      <c r="F1725" s="48">
        <v>7</v>
      </c>
      <c r="G1725" s="38">
        <v>3</v>
      </c>
      <c r="H1725" s="39"/>
      <c r="I1725" s="39"/>
      <c r="J1725" s="39"/>
      <c r="K1725" s="39"/>
      <c r="L1725" s="39"/>
      <c r="M1725" s="39"/>
      <c r="N1725" s="39"/>
      <c r="O1725" s="39"/>
      <c r="P1725" s="39"/>
      <c r="Q1725" s="39">
        <v>1.33</v>
      </c>
      <c r="R1725" s="39"/>
      <c r="S1725" s="39"/>
      <c r="T1725" s="39">
        <v>1.5</v>
      </c>
      <c r="U1725" s="39">
        <v>0.17</v>
      </c>
      <c r="V1725" s="39"/>
      <c r="W1725" s="39"/>
      <c r="X1725" s="49" t="s">
        <v>98</v>
      </c>
      <c r="Y1725" s="50">
        <v>3290</v>
      </c>
      <c r="Z1725" s="51">
        <v>3240</v>
      </c>
      <c r="AA1725" s="52">
        <f t="shared" si="42"/>
        <v>0.984802431610942</v>
      </c>
      <c r="AB1725" s="12">
        <v>3240</v>
      </c>
      <c r="AC1725" s="12">
        <v>0</v>
      </c>
      <c r="AD1725" s="43"/>
      <c r="AE1725" s="43"/>
      <c r="AF1725" s="43"/>
      <c r="AG1725" s="43"/>
      <c r="AH1725" s="43"/>
      <c r="AI1725" s="43"/>
      <c r="AJ1725" s="43"/>
      <c r="AK1725" s="43"/>
      <c r="AL1725" s="43"/>
      <c r="AM1725" s="43"/>
      <c r="AN1725" s="43"/>
      <c r="AO1725" s="43"/>
      <c r="AP1725" s="43"/>
      <c r="AQ1725" s="43"/>
      <c r="AR1725" s="43"/>
      <c r="AS1725" s="43"/>
      <c r="AT1725" s="43"/>
      <c r="AU1725" s="43"/>
      <c r="AV1725" s="43"/>
    </row>
    <row r="1726" ht="15.75" spans="1:48">
      <c r="A1726" s="12">
        <v>1722</v>
      </c>
      <c r="B1726" s="44">
        <v>761</v>
      </c>
      <c r="C1726" s="45" t="s">
        <v>89</v>
      </c>
      <c r="D1726" s="46"/>
      <c r="E1726" s="47" t="s">
        <v>113</v>
      </c>
      <c r="F1726" s="48">
        <v>3.17</v>
      </c>
      <c r="G1726" s="38">
        <v>0</v>
      </c>
      <c r="H1726" s="39"/>
      <c r="I1726" s="39"/>
      <c r="J1726" s="39"/>
      <c r="K1726" s="39"/>
      <c r="L1726" s="39"/>
      <c r="M1726" s="39"/>
      <c r="N1726" s="39"/>
      <c r="O1726" s="39"/>
      <c r="P1726" s="39"/>
      <c r="Q1726" s="39"/>
      <c r="R1726" s="39"/>
      <c r="S1726" s="39"/>
      <c r="T1726" s="39"/>
      <c r="U1726" s="39"/>
      <c r="V1726" s="39"/>
      <c r="W1726" s="39"/>
      <c r="X1726" s="49" t="s">
        <v>98</v>
      </c>
      <c r="Y1726" s="50">
        <v>1489.9</v>
      </c>
      <c r="Z1726" s="51">
        <v>1620</v>
      </c>
      <c r="AA1726" s="52">
        <f t="shared" si="42"/>
        <v>1.08732129673132</v>
      </c>
      <c r="AB1726" s="12">
        <v>1620</v>
      </c>
      <c r="AC1726" s="12">
        <v>0</v>
      </c>
      <c r="AD1726" s="43"/>
      <c r="AE1726" s="43"/>
      <c r="AF1726" s="43"/>
      <c r="AG1726" s="43"/>
      <c r="AH1726" s="43"/>
      <c r="AI1726" s="43"/>
      <c r="AJ1726" s="43"/>
      <c r="AK1726" s="43"/>
      <c r="AL1726" s="43"/>
      <c r="AM1726" s="43"/>
      <c r="AN1726" s="43"/>
      <c r="AO1726" s="43"/>
      <c r="AP1726" s="43"/>
      <c r="AQ1726" s="43"/>
      <c r="AR1726" s="43"/>
      <c r="AS1726" s="43"/>
      <c r="AT1726" s="43"/>
      <c r="AU1726" s="43"/>
      <c r="AV1726" s="43"/>
    </row>
    <row r="1727" ht="15.75" spans="1:48">
      <c r="A1727" s="12">
        <v>1723</v>
      </c>
      <c r="B1727" s="44">
        <v>4489</v>
      </c>
      <c r="C1727" s="45" t="s">
        <v>88</v>
      </c>
      <c r="D1727" s="46">
        <v>3</v>
      </c>
      <c r="E1727" s="47" t="s">
        <v>113</v>
      </c>
      <c r="F1727" s="48">
        <v>8.5</v>
      </c>
      <c r="G1727" s="38">
        <v>3.5</v>
      </c>
      <c r="H1727" s="39"/>
      <c r="I1727" s="39"/>
      <c r="J1727" s="39"/>
      <c r="K1727" s="39"/>
      <c r="L1727" s="39"/>
      <c r="M1727" s="39"/>
      <c r="N1727" s="39"/>
      <c r="O1727" s="39"/>
      <c r="P1727" s="39"/>
      <c r="Q1727" s="39">
        <v>1.33</v>
      </c>
      <c r="R1727" s="39"/>
      <c r="S1727" s="39">
        <v>1</v>
      </c>
      <c r="T1727" s="39">
        <v>1</v>
      </c>
      <c r="U1727" s="39">
        <v>0.17</v>
      </c>
      <c r="V1727" s="39"/>
      <c r="W1727" s="39"/>
      <c r="X1727" s="49" t="s">
        <v>219</v>
      </c>
      <c r="Y1727" s="50">
        <v>4420</v>
      </c>
      <c r="Z1727" s="51">
        <v>4014</v>
      </c>
      <c r="AA1727" s="52">
        <f t="shared" si="42"/>
        <v>0.90814479638009</v>
      </c>
      <c r="AB1727" s="12">
        <v>4014</v>
      </c>
      <c r="AC1727" s="12">
        <v>0</v>
      </c>
      <c r="AD1727" s="43"/>
      <c r="AE1727" s="43"/>
      <c r="AF1727" s="43"/>
      <c r="AG1727" s="43"/>
      <c r="AH1727" s="43"/>
      <c r="AI1727" s="43"/>
      <c r="AJ1727" s="43"/>
      <c r="AK1727" s="43"/>
      <c r="AL1727" s="43"/>
      <c r="AM1727" s="43"/>
      <c r="AN1727" s="43"/>
      <c r="AO1727" s="43"/>
      <c r="AP1727" s="43"/>
      <c r="AQ1727" s="43"/>
      <c r="AR1727" s="43"/>
      <c r="AS1727" s="43"/>
      <c r="AT1727" s="43"/>
      <c r="AU1727" s="43"/>
      <c r="AV1727" s="43"/>
    </row>
    <row r="1728" ht="15.75" spans="1:48">
      <c r="A1728" s="12">
        <v>1724</v>
      </c>
      <c r="B1728" s="44">
        <v>4382</v>
      </c>
      <c r="C1728" s="45" t="s">
        <v>173</v>
      </c>
      <c r="D1728" s="46"/>
      <c r="E1728" s="47" t="s">
        <v>113</v>
      </c>
      <c r="F1728" s="48">
        <v>10.67</v>
      </c>
      <c r="G1728" s="38">
        <v>1.33</v>
      </c>
      <c r="H1728" s="39"/>
      <c r="I1728" s="39"/>
      <c r="J1728" s="39"/>
      <c r="K1728" s="39"/>
      <c r="L1728" s="39"/>
      <c r="M1728" s="39"/>
      <c r="N1728" s="39"/>
      <c r="O1728" s="39"/>
      <c r="P1728" s="39"/>
      <c r="Q1728" s="39">
        <v>1.33</v>
      </c>
      <c r="R1728" s="39"/>
      <c r="S1728" s="39"/>
      <c r="T1728" s="39"/>
      <c r="U1728" s="39"/>
      <c r="V1728" s="39"/>
      <c r="W1728" s="39"/>
      <c r="X1728" s="49" t="s">
        <v>96</v>
      </c>
      <c r="Y1728" s="50">
        <v>15471.5</v>
      </c>
      <c r="Z1728" s="51">
        <v>15000</v>
      </c>
      <c r="AA1728" s="52">
        <f t="shared" si="42"/>
        <v>0.969524609766345</v>
      </c>
      <c r="AB1728" s="12">
        <v>15000</v>
      </c>
      <c r="AC1728" s="12">
        <v>0</v>
      </c>
      <c r="AD1728" s="43"/>
      <c r="AE1728" s="43"/>
      <c r="AF1728" s="43"/>
      <c r="AG1728" s="43"/>
      <c r="AH1728" s="43"/>
      <c r="AI1728" s="43"/>
      <c r="AJ1728" s="43"/>
      <c r="AK1728" s="43"/>
      <c r="AL1728" s="43"/>
      <c r="AM1728" s="43"/>
      <c r="AN1728" s="43"/>
      <c r="AO1728" s="43"/>
      <c r="AP1728" s="43"/>
      <c r="AQ1728" s="43"/>
      <c r="AR1728" s="43"/>
      <c r="AS1728" s="43"/>
      <c r="AT1728" s="43"/>
      <c r="AU1728" s="43"/>
      <c r="AV1728" s="43"/>
    </row>
    <row r="1729" ht="15.75" spans="1:48">
      <c r="A1729" s="12">
        <v>1725</v>
      </c>
      <c r="B1729" s="44">
        <v>676</v>
      </c>
      <c r="C1729" s="45" t="s">
        <v>171</v>
      </c>
      <c r="D1729" s="46"/>
      <c r="E1729" s="47" t="s">
        <v>113</v>
      </c>
      <c r="F1729" s="48">
        <v>2</v>
      </c>
      <c r="G1729" s="38">
        <v>0</v>
      </c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  <c r="S1729" s="39"/>
      <c r="T1729" s="39"/>
      <c r="U1729" s="39"/>
      <c r="V1729" s="39"/>
      <c r="W1729" s="39"/>
      <c r="X1729" s="49">
        <v>5770</v>
      </c>
      <c r="Y1729" s="50">
        <v>1210</v>
      </c>
      <c r="Z1729" s="51">
        <v>1112</v>
      </c>
      <c r="AA1729" s="52">
        <f t="shared" si="42"/>
        <v>0.91900826446281</v>
      </c>
      <c r="AB1729" s="12">
        <v>1062</v>
      </c>
      <c r="AC1729" s="12">
        <v>50</v>
      </c>
      <c r="AD1729" s="19">
        <v>50</v>
      </c>
      <c r="AE1729" s="43"/>
      <c r="AF1729" s="43"/>
      <c r="AG1729" s="43"/>
      <c r="AH1729" s="43"/>
      <c r="AI1729" s="43"/>
      <c r="AJ1729" s="43"/>
      <c r="AK1729" s="43"/>
      <c r="AL1729" s="43"/>
      <c r="AM1729" s="43"/>
      <c r="AN1729" s="43"/>
      <c r="AO1729" s="43"/>
      <c r="AP1729" s="43"/>
      <c r="AQ1729" s="43"/>
      <c r="AR1729" s="43"/>
      <c r="AS1729" s="43"/>
      <c r="AT1729" s="43"/>
      <c r="AU1729" s="43"/>
      <c r="AV1729" s="43"/>
    </row>
    <row r="1730" ht="15.75" spans="1:48">
      <c r="A1730" s="12">
        <v>1726</v>
      </c>
      <c r="B1730" s="44">
        <v>4324</v>
      </c>
      <c r="C1730" s="45" t="s">
        <v>331</v>
      </c>
      <c r="D1730" s="46">
        <v>6</v>
      </c>
      <c r="E1730" s="47" t="s">
        <v>93</v>
      </c>
      <c r="F1730" s="48">
        <v>4.67</v>
      </c>
      <c r="G1730" s="38">
        <v>1.33</v>
      </c>
      <c r="H1730" s="39"/>
      <c r="I1730" s="39"/>
      <c r="J1730" s="39"/>
      <c r="K1730" s="39"/>
      <c r="L1730" s="39"/>
      <c r="M1730" s="39"/>
      <c r="N1730" s="39"/>
      <c r="O1730" s="39"/>
      <c r="P1730" s="39"/>
      <c r="Q1730" s="39">
        <v>1.33</v>
      </c>
      <c r="R1730" s="39"/>
      <c r="S1730" s="39"/>
      <c r="T1730" s="39"/>
      <c r="U1730" s="39"/>
      <c r="V1730" s="39"/>
      <c r="W1730" s="39"/>
      <c r="X1730" s="49">
        <v>1090</v>
      </c>
      <c r="Y1730" s="50">
        <v>2157.54</v>
      </c>
      <c r="Z1730" s="51">
        <v>2250</v>
      </c>
      <c r="AA1730" s="52">
        <f t="shared" si="42"/>
        <v>1.04285436191218</v>
      </c>
      <c r="AB1730" s="12">
        <v>2250</v>
      </c>
      <c r="AC1730" s="12">
        <v>0</v>
      </c>
      <c r="AD1730" s="43"/>
      <c r="AE1730" s="43"/>
      <c r="AF1730" s="43"/>
      <c r="AG1730" s="43"/>
      <c r="AH1730" s="43"/>
      <c r="AI1730" s="43"/>
      <c r="AJ1730" s="43"/>
      <c r="AK1730" s="43"/>
      <c r="AL1730" s="43"/>
      <c r="AM1730" s="43"/>
      <c r="AN1730" s="43"/>
      <c r="AO1730" s="43"/>
      <c r="AP1730" s="43"/>
      <c r="AQ1730" s="43"/>
      <c r="AR1730" s="43"/>
      <c r="AS1730" s="43"/>
      <c r="AT1730" s="43"/>
      <c r="AU1730" s="43"/>
      <c r="AV1730" s="43"/>
    </row>
    <row r="1731" ht="15.75" spans="1:48">
      <c r="A1731" s="12">
        <v>1727</v>
      </c>
      <c r="B1731" s="44">
        <v>4490</v>
      </c>
      <c r="C1731" s="45" t="s">
        <v>91</v>
      </c>
      <c r="D1731" s="46">
        <v>8</v>
      </c>
      <c r="E1731" s="47" t="s">
        <v>113</v>
      </c>
      <c r="F1731" s="48">
        <v>9.5</v>
      </c>
      <c r="G1731" s="38">
        <v>2.5</v>
      </c>
      <c r="H1731" s="39"/>
      <c r="I1731" s="39"/>
      <c r="J1731" s="39"/>
      <c r="K1731" s="39">
        <v>0.67</v>
      </c>
      <c r="L1731" s="39"/>
      <c r="M1731" s="39"/>
      <c r="N1731" s="39"/>
      <c r="O1731" s="39"/>
      <c r="P1731" s="39"/>
      <c r="Q1731" s="39">
        <v>1.33</v>
      </c>
      <c r="R1731" s="39"/>
      <c r="S1731" s="39"/>
      <c r="T1731" s="39">
        <v>0.33</v>
      </c>
      <c r="U1731" s="39">
        <v>0.17</v>
      </c>
      <c r="V1731" s="39"/>
      <c r="W1731" s="39"/>
      <c r="X1731" s="49">
        <v>9477</v>
      </c>
      <c r="Y1731" s="50">
        <v>5747.5</v>
      </c>
      <c r="Z1731" s="51">
        <v>5880</v>
      </c>
      <c r="AA1731" s="52">
        <f t="shared" si="42"/>
        <v>1.0230535015224</v>
      </c>
      <c r="AB1731" s="12">
        <v>5776</v>
      </c>
      <c r="AC1731" s="12">
        <v>104</v>
      </c>
      <c r="AD1731" s="19">
        <v>104</v>
      </c>
      <c r="AE1731" s="43"/>
      <c r="AF1731" s="43"/>
      <c r="AG1731" s="43"/>
      <c r="AH1731" s="43"/>
      <c r="AI1731" s="43"/>
      <c r="AJ1731" s="43"/>
      <c r="AK1731" s="43"/>
      <c r="AL1731" s="43"/>
      <c r="AM1731" s="43"/>
      <c r="AN1731" s="43"/>
      <c r="AO1731" s="43"/>
      <c r="AP1731" s="43"/>
      <c r="AQ1731" s="43"/>
      <c r="AR1731" s="43"/>
      <c r="AS1731" s="43"/>
      <c r="AT1731" s="43"/>
      <c r="AU1731" s="43"/>
      <c r="AV1731" s="43"/>
    </row>
    <row r="1732" ht="15.75" spans="1:48">
      <c r="A1732" s="12">
        <v>1728</v>
      </c>
      <c r="B1732" s="44" t="s">
        <v>185</v>
      </c>
      <c r="C1732" s="45" t="s">
        <v>179</v>
      </c>
      <c r="D1732" s="46">
        <v>7</v>
      </c>
      <c r="E1732" s="47" t="s">
        <v>113</v>
      </c>
      <c r="F1732" s="48">
        <v>7.5</v>
      </c>
      <c r="G1732" s="38">
        <v>1.5</v>
      </c>
      <c r="H1732" s="39"/>
      <c r="I1732" s="39"/>
      <c r="J1732" s="39"/>
      <c r="K1732" s="39"/>
      <c r="L1732" s="39"/>
      <c r="M1732" s="39"/>
      <c r="N1732" s="39"/>
      <c r="O1732" s="39"/>
      <c r="P1732" s="39"/>
      <c r="Q1732" s="39">
        <v>1.33</v>
      </c>
      <c r="R1732" s="39"/>
      <c r="S1732" s="39"/>
      <c r="T1732" s="39"/>
      <c r="U1732" s="39">
        <v>0.17</v>
      </c>
      <c r="V1732" s="39"/>
      <c r="W1732" s="39"/>
      <c r="X1732" s="49" t="s">
        <v>95</v>
      </c>
      <c r="Y1732" s="50">
        <v>10500</v>
      </c>
      <c r="Z1732" s="51">
        <v>7098</v>
      </c>
      <c r="AA1732" s="52">
        <f t="shared" si="42"/>
        <v>0.676</v>
      </c>
      <c r="AB1732" s="12">
        <v>7098</v>
      </c>
      <c r="AC1732" s="12">
        <v>0</v>
      </c>
      <c r="AD1732" s="43"/>
      <c r="AE1732" s="43"/>
      <c r="AF1732" s="43"/>
      <c r="AG1732" s="43"/>
      <c r="AH1732" s="43"/>
      <c r="AI1732" s="43"/>
      <c r="AJ1732" s="43"/>
      <c r="AK1732" s="43"/>
      <c r="AL1732" s="43"/>
      <c r="AM1732" s="43"/>
      <c r="AN1732" s="43"/>
      <c r="AO1732" s="43"/>
      <c r="AP1732" s="43"/>
      <c r="AQ1732" s="43"/>
      <c r="AR1732" s="43"/>
      <c r="AS1732" s="43"/>
      <c r="AT1732" s="43"/>
      <c r="AU1732" s="43"/>
      <c r="AV1732" s="43"/>
    </row>
    <row r="1733" ht="15.75" spans="1:48">
      <c r="A1733" s="12">
        <v>1729</v>
      </c>
      <c r="B1733" s="44" t="s">
        <v>185</v>
      </c>
      <c r="C1733" s="45" t="s">
        <v>179</v>
      </c>
      <c r="D1733" s="46">
        <v>7</v>
      </c>
      <c r="E1733" s="47" t="s">
        <v>93</v>
      </c>
      <c r="F1733" s="48">
        <v>1</v>
      </c>
      <c r="G1733" s="38">
        <v>0</v>
      </c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  <c r="S1733" s="39"/>
      <c r="T1733" s="39"/>
      <c r="U1733" s="39"/>
      <c r="V1733" s="39"/>
      <c r="W1733" s="39"/>
      <c r="X1733" s="49">
        <v>5091</v>
      </c>
      <c r="Y1733" s="50">
        <v>280</v>
      </c>
      <c r="Z1733" s="51">
        <v>242</v>
      </c>
      <c r="AA1733" s="52">
        <f t="shared" si="42"/>
        <v>0.864285714285714</v>
      </c>
      <c r="AB1733" s="12">
        <v>242</v>
      </c>
      <c r="AC1733" s="12">
        <v>0</v>
      </c>
      <c r="AD1733" s="43"/>
      <c r="AE1733" s="43"/>
      <c r="AF1733" s="43"/>
      <c r="AG1733" s="43"/>
      <c r="AH1733" s="43"/>
      <c r="AI1733" s="43"/>
      <c r="AJ1733" s="43"/>
      <c r="AK1733" s="43"/>
      <c r="AL1733" s="43"/>
      <c r="AM1733" s="43"/>
      <c r="AN1733" s="43"/>
      <c r="AO1733" s="43"/>
      <c r="AP1733" s="43"/>
      <c r="AQ1733" s="43"/>
      <c r="AR1733" s="43"/>
      <c r="AS1733" s="43"/>
      <c r="AT1733" s="43"/>
      <c r="AU1733" s="43"/>
      <c r="AV1733" s="43"/>
    </row>
    <row r="1734" ht="15.75" spans="1:48">
      <c r="A1734" s="12">
        <v>1730</v>
      </c>
      <c r="B1734" s="44">
        <v>669</v>
      </c>
      <c r="C1734" s="45" t="s">
        <v>94</v>
      </c>
      <c r="D1734" s="46">
        <v>6</v>
      </c>
      <c r="E1734" s="47" t="s">
        <v>113</v>
      </c>
      <c r="F1734" s="48">
        <v>2.67</v>
      </c>
      <c r="G1734" s="38">
        <v>1.5</v>
      </c>
      <c r="H1734" s="39"/>
      <c r="I1734" s="39"/>
      <c r="J1734" s="39"/>
      <c r="K1734" s="39"/>
      <c r="L1734" s="39"/>
      <c r="M1734" s="39"/>
      <c r="N1734" s="39"/>
      <c r="O1734" s="39"/>
      <c r="P1734" s="39"/>
      <c r="Q1734" s="39">
        <v>1.33</v>
      </c>
      <c r="R1734" s="39"/>
      <c r="S1734" s="39"/>
      <c r="T1734" s="39"/>
      <c r="U1734" s="39">
        <v>0.17</v>
      </c>
      <c r="V1734" s="39"/>
      <c r="W1734" s="39"/>
      <c r="X1734" s="49">
        <v>1090</v>
      </c>
      <c r="Y1734" s="50">
        <v>1762.2</v>
      </c>
      <c r="Z1734" s="51">
        <v>1575</v>
      </c>
      <c r="AA1734" s="52">
        <f t="shared" si="42"/>
        <v>0.893769152196118</v>
      </c>
      <c r="AB1734" s="12">
        <v>1575</v>
      </c>
      <c r="AC1734" s="12">
        <v>0</v>
      </c>
      <c r="AD1734" s="43"/>
      <c r="AE1734" s="43"/>
      <c r="AF1734" s="43"/>
      <c r="AG1734" s="43"/>
      <c r="AH1734" s="43"/>
      <c r="AI1734" s="43"/>
      <c r="AJ1734" s="43"/>
      <c r="AK1734" s="43"/>
      <c r="AL1734" s="43"/>
      <c r="AM1734" s="43"/>
      <c r="AN1734" s="43"/>
      <c r="AO1734" s="43"/>
      <c r="AP1734" s="43"/>
      <c r="AQ1734" s="43"/>
      <c r="AR1734" s="43"/>
      <c r="AS1734" s="43"/>
      <c r="AT1734" s="43"/>
      <c r="AU1734" s="43"/>
      <c r="AV1734" s="43"/>
    </row>
    <row r="1735" ht="15.75" spans="1:48">
      <c r="A1735" s="12">
        <v>1731</v>
      </c>
      <c r="B1735" s="44">
        <v>669</v>
      </c>
      <c r="C1735" s="45" t="s">
        <v>94</v>
      </c>
      <c r="D1735" s="46">
        <v>18</v>
      </c>
      <c r="E1735" s="47" t="s">
        <v>113</v>
      </c>
      <c r="F1735" s="48">
        <v>5.17</v>
      </c>
      <c r="G1735" s="38">
        <v>0.33</v>
      </c>
      <c r="H1735" s="39"/>
      <c r="I1735" s="39"/>
      <c r="J1735" s="39"/>
      <c r="K1735" s="39"/>
      <c r="L1735" s="39"/>
      <c r="M1735" s="39"/>
      <c r="N1735" s="39"/>
      <c r="O1735" s="39"/>
      <c r="P1735" s="39"/>
      <c r="Q1735" s="39"/>
      <c r="R1735" s="39"/>
      <c r="S1735" s="39"/>
      <c r="T1735" s="39">
        <v>0.33</v>
      </c>
      <c r="U1735" s="39"/>
      <c r="V1735" s="39"/>
      <c r="W1735" s="39"/>
      <c r="X1735" s="49">
        <v>9477</v>
      </c>
      <c r="Y1735" s="50">
        <v>3127.85</v>
      </c>
      <c r="Z1735" s="51">
        <v>2535</v>
      </c>
      <c r="AA1735" s="52">
        <f t="shared" si="42"/>
        <v>0.810460859695957</v>
      </c>
      <c r="AB1735" s="12">
        <v>2457</v>
      </c>
      <c r="AC1735" s="12">
        <v>78</v>
      </c>
      <c r="AD1735" s="19">
        <v>78</v>
      </c>
      <c r="AE1735" s="43"/>
      <c r="AF1735" s="43"/>
      <c r="AG1735" s="43"/>
      <c r="AH1735" s="43"/>
      <c r="AI1735" s="43"/>
      <c r="AJ1735" s="43"/>
      <c r="AK1735" s="43"/>
      <c r="AL1735" s="43"/>
      <c r="AM1735" s="43"/>
      <c r="AN1735" s="43"/>
      <c r="AO1735" s="43"/>
      <c r="AP1735" s="43"/>
      <c r="AQ1735" s="43"/>
      <c r="AR1735" s="43"/>
      <c r="AS1735" s="43"/>
      <c r="AT1735" s="43"/>
      <c r="AU1735" s="43"/>
      <c r="AV1735" s="43"/>
    </row>
    <row r="1736" ht="15.75" spans="1:48">
      <c r="A1736" s="12">
        <v>1732</v>
      </c>
      <c r="B1736" s="57" t="s">
        <v>275</v>
      </c>
      <c r="C1736" s="45" t="s">
        <v>253</v>
      </c>
      <c r="D1736" s="46">
        <v>2</v>
      </c>
      <c r="E1736" s="47" t="s">
        <v>93</v>
      </c>
      <c r="F1736" s="48">
        <v>7</v>
      </c>
      <c r="G1736" s="38">
        <v>1</v>
      </c>
      <c r="H1736" s="39"/>
      <c r="I1736" s="39"/>
      <c r="J1736" s="39"/>
      <c r="K1736" s="39"/>
      <c r="L1736" s="39"/>
      <c r="M1736" s="39"/>
      <c r="N1736" s="39"/>
      <c r="O1736" s="39"/>
      <c r="P1736" s="39"/>
      <c r="Q1736" s="39">
        <v>1</v>
      </c>
      <c r="R1736" s="39"/>
      <c r="S1736" s="39"/>
      <c r="T1736" s="39"/>
      <c r="U1736" s="39"/>
      <c r="V1736" s="39"/>
      <c r="W1736" s="39"/>
      <c r="X1736" s="49">
        <v>8235</v>
      </c>
      <c r="Y1736" s="50">
        <v>3696</v>
      </c>
      <c r="Z1736" s="51">
        <v>2800</v>
      </c>
      <c r="AA1736" s="52">
        <f t="shared" si="42"/>
        <v>0.757575757575758</v>
      </c>
      <c r="AB1736" s="12">
        <v>2800</v>
      </c>
      <c r="AC1736" s="12">
        <v>0</v>
      </c>
      <c r="AD1736" s="43"/>
      <c r="AE1736" s="43"/>
      <c r="AF1736" s="43"/>
      <c r="AG1736" s="43"/>
      <c r="AH1736" s="43"/>
      <c r="AI1736" s="43"/>
      <c r="AJ1736" s="43"/>
      <c r="AK1736" s="43"/>
      <c r="AL1736" s="43"/>
      <c r="AM1736" s="43"/>
      <c r="AN1736" s="43"/>
      <c r="AO1736" s="43"/>
      <c r="AP1736" s="43"/>
      <c r="AQ1736" s="43"/>
      <c r="AR1736" s="43"/>
      <c r="AS1736" s="43"/>
      <c r="AT1736" s="43"/>
      <c r="AU1736" s="43"/>
      <c r="AV1736" s="43"/>
    </row>
    <row r="1737" ht="15.75" spans="1:48">
      <c r="A1737" s="12">
        <v>1733</v>
      </c>
      <c r="B1737" s="57">
        <v>3277</v>
      </c>
      <c r="C1737" s="45" t="s">
        <v>106</v>
      </c>
      <c r="D1737" s="46">
        <v>16</v>
      </c>
      <c r="E1737" s="47" t="s">
        <v>113</v>
      </c>
      <c r="F1737" s="48">
        <v>1</v>
      </c>
      <c r="G1737" s="38">
        <v>11</v>
      </c>
      <c r="H1737" s="39"/>
      <c r="I1737" s="39"/>
      <c r="J1737" s="39"/>
      <c r="K1737" s="39"/>
      <c r="L1737" s="39"/>
      <c r="M1737" s="39"/>
      <c r="N1737" s="39"/>
      <c r="O1737" s="39"/>
      <c r="P1737" s="39"/>
      <c r="Q1737" s="39">
        <v>1.33</v>
      </c>
      <c r="R1737" s="39"/>
      <c r="S1737" s="39">
        <v>9.67</v>
      </c>
      <c r="T1737" s="39"/>
      <c r="U1737" s="39"/>
      <c r="V1737" s="39"/>
      <c r="W1737" s="39"/>
      <c r="X1737" s="49">
        <v>9565</v>
      </c>
      <c r="Y1737" s="50">
        <v>200</v>
      </c>
      <c r="Z1737" s="51">
        <v>190</v>
      </c>
      <c r="AA1737" s="52">
        <f t="shared" si="42"/>
        <v>0.95</v>
      </c>
      <c r="AB1737" s="12">
        <v>190</v>
      </c>
      <c r="AC1737" s="12">
        <v>0</v>
      </c>
      <c r="AD1737" s="43"/>
      <c r="AE1737" s="43"/>
      <c r="AF1737" s="43"/>
      <c r="AG1737" s="43"/>
      <c r="AH1737" s="43"/>
      <c r="AI1737" s="43"/>
      <c r="AJ1737" s="43"/>
      <c r="AK1737" s="43"/>
      <c r="AL1737" s="43"/>
      <c r="AM1737" s="43"/>
      <c r="AN1737" s="43"/>
      <c r="AO1737" s="43"/>
      <c r="AP1737" s="43"/>
      <c r="AQ1737" s="43"/>
      <c r="AR1737" s="43"/>
      <c r="AS1737" s="43"/>
      <c r="AT1737" s="43"/>
      <c r="AU1737" s="43"/>
      <c r="AV1737" s="43"/>
    </row>
    <row r="1738" ht="15.75" spans="1:48">
      <c r="A1738" s="12">
        <v>1734</v>
      </c>
      <c r="B1738" s="44">
        <v>4310</v>
      </c>
      <c r="C1738" s="45" t="s">
        <v>99</v>
      </c>
      <c r="D1738" s="46">
        <v>5</v>
      </c>
      <c r="E1738" s="47" t="s">
        <v>113</v>
      </c>
      <c r="F1738" s="48">
        <v>10.67</v>
      </c>
      <c r="G1738" s="38">
        <v>1.33</v>
      </c>
      <c r="H1738" s="39"/>
      <c r="I1738" s="39"/>
      <c r="J1738" s="39"/>
      <c r="K1738" s="39"/>
      <c r="L1738" s="39"/>
      <c r="M1738" s="39"/>
      <c r="N1738" s="39"/>
      <c r="O1738" s="39"/>
      <c r="P1738" s="39"/>
      <c r="Q1738" s="39">
        <v>1.33</v>
      </c>
      <c r="R1738" s="39"/>
      <c r="S1738" s="39"/>
      <c r="T1738" s="39"/>
      <c r="U1738" s="39"/>
      <c r="V1738" s="39"/>
      <c r="W1738" s="39"/>
      <c r="X1738" s="49">
        <v>5770</v>
      </c>
      <c r="Y1738" s="50">
        <v>6455.35</v>
      </c>
      <c r="Z1738" s="51">
        <v>6120</v>
      </c>
      <c r="AA1738" s="52">
        <f t="shared" si="42"/>
        <v>0.948050841550032</v>
      </c>
      <c r="AB1738" s="12">
        <v>6120</v>
      </c>
      <c r="AC1738" s="12">
        <v>0</v>
      </c>
      <c r="AD1738" s="43"/>
      <c r="AE1738" s="43"/>
      <c r="AF1738" s="43"/>
      <c r="AG1738" s="43"/>
      <c r="AH1738" s="43"/>
      <c r="AI1738" s="43"/>
      <c r="AJ1738" s="43"/>
      <c r="AK1738" s="43"/>
      <c r="AL1738" s="43"/>
      <c r="AM1738" s="43"/>
      <c r="AN1738" s="43"/>
      <c r="AO1738" s="43"/>
      <c r="AP1738" s="43"/>
      <c r="AQ1738" s="43"/>
      <c r="AR1738" s="43"/>
      <c r="AS1738" s="43"/>
      <c r="AT1738" s="43"/>
      <c r="AU1738" s="43"/>
      <c r="AV1738" s="43"/>
    </row>
    <row r="1739" ht="15.75" spans="1:48">
      <c r="A1739" s="12">
        <v>1735</v>
      </c>
      <c r="B1739" s="44" t="s">
        <v>211</v>
      </c>
      <c r="C1739" s="45" t="s">
        <v>176</v>
      </c>
      <c r="D1739" s="46">
        <v>18</v>
      </c>
      <c r="E1739" s="47" t="s">
        <v>113</v>
      </c>
      <c r="F1739" s="48">
        <v>4</v>
      </c>
      <c r="G1739" s="38">
        <v>0</v>
      </c>
      <c r="H1739" s="39"/>
      <c r="I1739" s="39"/>
      <c r="J1739" s="39"/>
      <c r="K1739" s="39"/>
      <c r="L1739" s="39"/>
      <c r="M1739" s="39"/>
      <c r="N1739" s="39"/>
      <c r="O1739" s="39"/>
      <c r="P1739" s="39"/>
      <c r="Q1739" s="39"/>
      <c r="R1739" s="39"/>
      <c r="S1739" s="39"/>
      <c r="T1739" s="39"/>
      <c r="U1739" s="39"/>
      <c r="V1739" s="39"/>
      <c r="W1739" s="39"/>
      <c r="X1739" s="49">
        <v>9477</v>
      </c>
      <c r="Y1739" s="50">
        <v>2420</v>
      </c>
      <c r="Z1739" s="51">
        <v>2400</v>
      </c>
      <c r="AA1739" s="52">
        <f t="shared" si="42"/>
        <v>0.991735537190083</v>
      </c>
      <c r="AB1739" s="12">
        <v>2400</v>
      </c>
      <c r="AC1739" s="12">
        <v>0</v>
      </c>
      <c r="AD1739" s="43"/>
      <c r="AE1739" s="43"/>
      <c r="AF1739" s="43"/>
      <c r="AG1739" s="43"/>
      <c r="AH1739" s="43"/>
      <c r="AI1739" s="43"/>
      <c r="AJ1739" s="43"/>
      <c r="AK1739" s="43"/>
      <c r="AL1739" s="43"/>
      <c r="AM1739" s="43"/>
      <c r="AN1739" s="43"/>
      <c r="AO1739" s="43"/>
      <c r="AP1739" s="43"/>
      <c r="AQ1739" s="43"/>
      <c r="AR1739" s="43"/>
      <c r="AS1739" s="43"/>
      <c r="AT1739" s="43"/>
      <c r="AU1739" s="43"/>
      <c r="AV1739" s="43"/>
    </row>
    <row r="1740" ht="15.75" spans="1:48">
      <c r="A1740" s="12">
        <v>1736</v>
      </c>
      <c r="B1740" s="44" t="s">
        <v>211</v>
      </c>
      <c r="C1740" s="45" t="s">
        <v>176</v>
      </c>
      <c r="D1740" s="46"/>
      <c r="E1740" s="47" t="s">
        <v>113</v>
      </c>
      <c r="F1740" s="48">
        <v>1</v>
      </c>
      <c r="G1740" s="38">
        <v>0</v>
      </c>
      <c r="H1740" s="39"/>
      <c r="I1740" s="39"/>
      <c r="J1740" s="39"/>
      <c r="K1740" s="39"/>
      <c r="L1740" s="39"/>
      <c r="M1740" s="39"/>
      <c r="N1740" s="39"/>
      <c r="O1740" s="39"/>
      <c r="P1740" s="39"/>
      <c r="Q1740" s="39"/>
      <c r="R1740" s="39"/>
      <c r="S1740" s="39"/>
      <c r="T1740" s="39"/>
      <c r="U1740" s="39"/>
      <c r="V1740" s="39"/>
      <c r="W1740" s="39"/>
      <c r="X1740" s="49" t="s">
        <v>103</v>
      </c>
      <c r="Y1740" s="50">
        <v>840</v>
      </c>
      <c r="Z1740" s="51">
        <v>840</v>
      </c>
      <c r="AA1740" s="52">
        <f t="shared" si="42"/>
        <v>1</v>
      </c>
      <c r="AB1740" s="12">
        <v>840</v>
      </c>
      <c r="AC1740" s="12">
        <v>0</v>
      </c>
      <c r="AD1740" s="43"/>
      <c r="AE1740" s="43"/>
      <c r="AF1740" s="43"/>
      <c r="AG1740" s="43"/>
      <c r="AH1740" s="43"/>
      <c r="AI1740" s="43"/>
      <c r="AJ1740" s="43"/>
      <c r="AK1740" s="43"/>
      <c r="AL1740" s="43"/>
      <c r="AM1740" s="43"/>
      <c r="AN1740" s="43"/>
      <c r="AO1740" s="43"/>
      <c r="AP1740" s="43"/>
      <c r="AQ1740" s="43"/>
      <c r="AR1740" s="43"/>
      <c r="AS1740" s="43"/>
      <c r="AT1740" s="43"/>
      <c r="AU1740" s="43"/>
      <c r="AV1740" s="43"/>
    </row>
    <row r="1741" ht="15.75" spans="1:48">
      <c r="A1741" s="12">
        <v>1737</v>
      </c>
      <c r="B1741" s="57" t="s">
        <v>181</v>
      </c>
      <c r="C1741" s="45" t="s">
        <v>182</v>
      </c>
      <c r="D1741" s="46"/>
      <c r="E1741" s="47"/>
      <c r="F1741" s="48">
        <v>10.67</v>
      </c>
      <c r="G1741" s="38">
        <v>1.33</v>
      </c>
      <c r="H1741" s="39"/>
      <c r="I1741" s="39"/>
      <c r="J1741" s="39"/>
      <c r="K1741" s="39"/>
      <c r="L1741" s="39"/>
      <c r="M1741" s="39"/>
      <c r="N1741" s="39"/>
      <c r="O1741" s="39"/>
      <c r="P1741" s="39"/>
      <c r="Q1741" s="39">
        <v>1.33</v>
      </c>
      <c r="R1741" s="39"/>
      <c r="S1741" s="39"/>
      <c r="T1741" s="39"/>
      <c r="U1741" s="39"/>
      <c r="V1741" s="39"/>
      <c r="W1741" s="39"/>
      <c r="X1741" s="49" t="s">
        <v>103</v>
      </c>
      <c r="Y1741" s="50">
        <v>8962.8</v>
      </c>
      <c r="Z1741" s="51">
        <v>6711</v>
      </c>
      <c r="AA1741" s="52">
        <f t="shared" si="42"/>
        <v>0.74876154773062</v>
      </c>
      <c r="AB1741" s="12">
        <v>6711</v>
      </c>
      <c r="AC1741" s="12">
        <v>0</v>
      </c>
      <c r="AD1741" s="43"/>
      <c r="AE1741" s="43"/>
      <c r="AF1741" s="43"/>
      <c r="AG1741" s="43"/>
      <c r="AH1741" s="43"/>
      <c r="AI1741" s="43"/>
      <c r="AJ1741" s="43"/>
      <c r="AK1741" s="43"/>
      <c r="AL1741" s="43"/>
      <c r="AM1741" s="43"/>
      <c r="AN1741" s="43"/>
      <c r="AO1741" s="43"/>
      <c r="AP1741" s="43"/>
      <c r="AQ1741" s="43"/>
      <c r="AR1741" s="43"/>
      <c r="AS1741" s="43"/>
      <c r="AT1741" s="43"/>
      <c r="AU1741" s="43"/>
      <c r="AV1741" s="43"/>
    </row>
    <row r="1742" ht="15.75" spans="1:48">
      <c r="A1742" s="12">
        <v>1738</v>
      </c>
      <c r="B1742" s="44">
        <v>849</v>
      </c>
      <c r="C1742" s="45" t="s">
        <v>108</v>
      </c>
      <c r="D1742" s="46"/>
      <c r="E1742" s="47"/>
      <c r="F1742" s="48">
        <v>10.67</v>
      </c>
      <c r="G1742" s="38">
        <v>1.33</v>
      </c>
      <c r="H1742" s="39"/>
      <c r="I1742" s="39"/>
      <c r="J1742" s="39"/>
      <c r="K1742" s="39"/>
      <c r="L1742" s="39"/>
      <c r="M1742" s="39"/>
      <c r="N1742" s="39"/>
      <c r="O1742" s="39"/>
      <c r="P1742" s="39"/>
      <c r="Q1742" s="39">
        <v>1.33</v>
      </c>
      <c r="R1742" s="39"/>
      <c r="S1742" s="39"/>
      <c r="T1742" s="39"/>
      <c r="U1742" s="39"/>
      <c r="V1742" s="39"/>
      <c r="W1742" s="39"/>
      <c r="X1742" s="49" t="s">
        <v>103</v>
      </c>
      <c r="Y1742" s="50">
        <v>8962.8</v>
      </c>
      <c r="Z1742" s="51">
        <v>7440</v>
      </c>
      <c r="AA1742" s="52">
        <f t="shared" si="42"/>
        <v>0.830097737314232</v>
      </c>
      <c r="AB1742" s="12">
        <v>7440</v>
      </c>
      <c r="AC1742" s="12">
        <v>0</v>
      </c>
      <c r="AD1742" s="43"/>
      <c r="AE1742" s="43"/>
      <c r="AF1742" s="43"/>
      <c r="AG1742" s="43"/>
      <c r="AH1742" s="43"/>
      <c r="AI1742" s="43"/>
      <c r="AJ1742" s="43"/>
      <c r="AK1742" s="43"/>
      <c r="AL1742" s="43"/>
      <c r="AM1742" s="43"/>
      <c r="AN1742" s="43"/>
      <c r="AO1742" s="43"/>
      <c r="AP1742" s="43"/>
      <c r="AQ1742" s="43"/>
      <c r="AR1742" s="43"/>
      <c r="AS1742" s="43"/>
      <c r="AT1742" s="43"/>
      <c r="AU1742" s="43"/>
      <c r="AV1742" s="43"/>
    </row>
    <row r="1743" ht="15.75" spans="1:48">
      <c r="A1743" s="12">
        <v>1739</v>
      </c>
      <c r="B1743" s="44">
        <v>850</v>
      </c>
      <c r="C1743" s="45" t="s">
        <v>109</v>
      </c>
      <c r="D1743" s="46"/>
      <c r="E1743" s="47"/>
      <c r="F1743" s="48">
        <v>10.67</v>
      </c>
      <c r="G1743" s="38">
        <v>1.33</v>
      </c>
      <c r="H1743" s="39"/>
      <c r="I1743" s="39"/>
      <c r="J1743" s="39"/>
      <c r="K1743" s="39"/>
      <c r="L1743" s="39"/>
      <c r="M1743" s="39"/>
      <c r="N1743" s="39"/>
      <c r="O1743" s="39"/>
      <c r="P1743" s="39"/>
      <c r="Q1743" s="39">
        <v>1.33</v>
      </c>
      <c r="R1743" s="39"/>
      <c r="S1743" s="39"/>
      <c r="T1743" s="39"/>
      <c r="U1743" s="39"/>
      <c r="V1743" s="39"/>
      <c r="W1743" s="39"/>
      <c r="X1743" s="49" t="s">
        <v>103</v>
      </c>
      <c r="Y1743" s="50">
        <v>8962.8</v>
      </c>
      <c r="Z1743" s="51">
        <v>6634</v>
      </c>
      <c r="AA1743" s="52">
        <f t="shared" si="42"/>
        <v>0.740170482438524</v>
      </c>
      <c r="AB1743" s="12">
        <v>6634</v>
      </c>
      <c r="AC1743" s="12">
        <v>0</v>
      </c>
      <c r="AD1743" s="43"/>
      <c r="AE1743" s="43"/>
      <c r="AF1743" s="43"/>
      <c r="AG1743" s="43"/>
      <c r="AH1743" s="43"/>
      <c r="AI1743" s="43"/>
      <c r="AJ1743" s="43"/>
      <c r="AK1743" s="43"/>
      <c r="AL1743" s="43"/>
      <c r="AM1743" s="43"/>
      <c r="AN1743" s="43"/>
      <c r="AO1743" s="43"/>
      <c r="AP1743" s="43"/>
      <c r="AQ1743" s="43"/>
      <c r="AR1743" s="43"/>
      <c r="AS1743" s="43"/>
      <c r="AT1743" s="43"/>
      <c r="AU1743" s="43"/>
      <c r="AV1743" s="43"/>
    </row>
    <row r="1744" ht="15.75" spans="1:48">
      <c r="A1744" s="12">
        <v>1740</v>
      </c>
      <c r="B1744" s="44">
        <v>4344</v>
      </c>
      <c r="C1744" s="45" t="s">
        <v>85</v>
      </c>
      <c r="D1744" s="46"/>
      <c r="E1744" s="47"/>
      <c r="F1744" s="48">
        <v>4</v>
      </c>
      <c r="G1744" s="38">
        <v>0</v>
      </c>
      <c r="H1744" s="39"/>
      <c r="I1744" s="39"/>
      <c r="J1744" s="39"/>
      <c r="K1744" s="39"/>
      <c r="L1744" s="39"/>
      <c r="M1744" s="39"/>
      <c r="N1744" s="39"/>
      <c r="O1744" s="39"/>
      <c r="P1744" s="39"/>
      <c r="Q1744" s="39"/>
      <c r="R1744" s="39"/>
      <c r="S1744" s="39"/>
      <c r="T1744" s="39"/>
      <c r="U1744" s="39"/>
      <c r="V1744" s="39"/>
      <c r="W1744" s="39"/>
      <c r="X1744" s="49" t="s">
        <v>105</v>
      </c>
      <c r="Y1744" s="50">
        <v>2640</v>
      </c>
      <c r="Z1744" s="51">
        <v>2800</v>
      </c>
      <c r="AA1744" s="52">
        <f t="shared" ref="AA1744:AA1775" si="43">IFERROR(Z1744/Y1744,0)</f>
        <v>1.06060606060606</v>
      </c>
      <c r="AB1744" s="12">
        <v>2800</v>
      </c>
      <c r="AC1744" s="12">
        <v>0</v>
      </c>
      <c r="AD1744" s="43"/>
      <c r="AE1744" s="43"/>
      <c r="AF1744" s="43"/>
      <c r="AG1744" s="43"/>
      <c r="AH1744" s="43"/>
      <c r="AI1744" s="43"/>
      <c r="AJ1744" s="43"/>
      <c r="AK1744" s="43"/>
      <c r="AL1744" s="43"/>
      <c r="AM1744" s="43"/>
      <c r="AN1744" s="43"/>
      <c r="AO1744" s="43"/>
      <c r="AP1744" s="43"/>
      <c r="AQ1744" s="43"/>
      <c r="AR1744" s="43"/>
      <c r="AS1744" s="43"/>
      <c r="AT1744" s="43"/>
      <c r="AU1744" s="43"/>
      <c r="AV1744" s="43"/>
    </row>
    <row r="1745" ht="15.75" spans="1:48">
      <c r="A1745" s="12">
        <v>1741</v>
      </c>
      <c r="B1745" s="44">
        <v>761</v>
      </c>
      <c r="C1745" s="45" t="s">
        <v>89</v>
      </c>
      <c r="D1745" s="46"/>
      <c r="E1745" s="47"/>
      <c r="F1745" s="48">
        <v>3.33</v>
      </c>
      <c r="G1745" s="38">
        <v>0</v>
      </c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  <c r="S1745" s="39"/>
      <c r="T1745" s="39"/>
      <c r="U1745" s="39"/>
      <c r="V1745" s="39"/>
      <c r="W1745" s="39"/>
      <c r="X1745" s="49" t="s">
        <v>101</v>
      </c>
      <c r="Y1745" s="50">
        <v>6393.6</v>
      </c>
      <c r="Z1745" s="51">
        <v>5940</v>
      </c>
      <c r="AA1745" s="52">
        <f t="shared" si="43"/>
        <v>0.929054054054054</v>
      </c>
      <c r="AB1745" s="12">
        <v>5940</v>
      </c>
      <c r="AC1745" s="12">
        <v>0</v>
      </c>
      <c r="AD1745" s="43"/>
      <c r="AE1745" s="43"/>
      <c r="AF1745" s="43"/>
      <c r="AG1745" s="43"/>
      <c r="AH1745" s="43"/>
      <c r="AI1745" s="43"/>
      <c r="AJ1745" s="43"/>
      <c r="AK1745" s="43"/>
      <c r="AL1745" s="43"/>
      <c r="AM1745" s="43"/>
      <c r="AN1745" s="43"/>
      <c r="AO1745" s="43"/>
      <c r="AP1745" s="43"/>
      <c r="AQ1745" s="43"/>
      <c r="AR1745" s="43"/>
      <c r="AS1745" s="43"/>
      <c r="AT1745" s="43"/>
      <c r="AU1745" s="43"/>
      <c r="AV1745" s="43"/>
    </row>
    <row r="1746" ht="15.75" spans="1:48">
      <c r="A1746" s="12">
        <v>1742</v>
      </c>
      <c r="B1746" s="44">
        <v>761</v>
      </c>
      <c r="C1746" s="45" t="s">
        <v>89</v>
      </c>
      <c r="D1746" s="46"/>
      <c r="E1746" s="47"/>
      <c r="F1746" s="48">
        <v>0.83</v>
      </c>
      <c r="G1746" s="38">
        <v>1.5</v>
      </c>
      <c r="H1746" s="39"/>
      <c r="I1746" s="39"/>
      <c r="J1746" s="39"/>
      <c r="K1746" s="39"/>
      <c r="L1746" s="39"/>
      <c r="M1746" s="39"/>
      <c r="N1746" s="39"/>
      <c r="O1746" s="39"/>
      <c r="P1746" s="39"/>
      <c r="Q1746" s="39">
        <v>1.33</v>
      </c>
      <c r="R1746" s="39"/>
      <c r="S1746" s="39"/>
      <c r="T1746" s="39"/>
      <c r="U1746" s="39">
        <v>0.17</v>
      </c>
      <c r="V1746" s="39"/>
      <c r="W1746" s="39"/>
      <c r="X1746" s="49" t="s">
        <v>100</v>
      </c>
      <c r="Y1746" s="50">
        <v>1593.6</v>
      </c>
      <c r="Z1746" s="51">
        <v>1620</v>
      </c>
      <c r="AA1746" s="52">
        <f t="shared" si="43"/>
        <v>1.01656626506024</v>
      </c>
      <c r="AB1746" s="12">
        <v>1620</v>
      </c>
      <c r="AC1746" s="12">
        <v>0</v>
      </c>
      <c r="AD1746" s="43"/>
      <c r="AE1746" s="43"/>
      <c r="AF1746" s="43"/>
      <c r="AG1746" s="43"/>
      <c r="AH1746" s="43"/>
      <c r="AI1746" s="43"/>
      <c r="AJ1746" s="43"/>
      <c r="AK1746" s="43"/>
      <c r="AL1746" s="43"/>
      <c r="AM1746" s="43"/>
      <c r="AN1746" s="43"/>
      <c r="AO1746" s="43"/>
      <c r="AP1746" s="43"/>
      <c r="AQ1746" s="43"/>
      <c r="AR1746" s="43"/>
      <c r="AS1746" s="43"/>
      <c r="AT1746" s="43"/>
      <c r="AU1746" s="43"/>
      <c r="AV1746" s="43"/>
    </row>
    <row r="1747" ht="15.75" spans="1:48">
      <c r="A1747" s="12">
        <v>1743</v>
      </c>
      <c r="B1747" s="44">
        <v>761</v>
      </c>
      <c r="C1747" s="45" t="s">
        <v>89</v>
      </c>
      <c r="D1747" s="46"/>
      <c r="E1747" s="47"/>
      <c r="F1747" s="48">
        <v>1.33</v>
      </c>
      <c r="G1747" s="38">
        <v>0</v>
      </c>
      <c r="H1747" s="39"/>
      <c r="I1747" s="39"/>
      <c r="J1747" s="39"/>
      <c r="K1747" s="39"/>
      <c r="L1747" s="39"/>
      <c r="M1747" s="39"/>
      <c r="N1747" s="39"/>
      <c r="O1747" s="39"/>
      <c r="P1747" s="39"/>
      <c r="Q1747" s="39"/>
      <c r="R1747" s="39"/>
      <c r="S1747" s="39"/>
      <c r="T1747" s="39"/>
      <c r="U1747" s="39"/>
      <c r="V1747" s="39"/>
      <c r="W1747" s="39"/>
      <c r="X1747" s="49" t="s">
        <v>102</v>
      </c>
      <c r="Y1747" s="50">
        <v>5985</v>
      </c>
      <c r="Z1747" s="51">
        <v>5500</v>
      </c>
      <c r="AA1747" s="52">
        <f t="shared" si="43"/>
        <v>0.918964076858814</v>
      </c>
      <c r="AB1747" s="12">
        <v>5500</v>
      </c>
      <c r="AC1747" s="12">
        <v>0</v>
      </c>
      <c r="AD1747" s="43"/>
      <c r="AE1747" s="43"/>
      <c r="AF1747" s="43"/>
      <c r="AG1747" s="43"/>
      <c r="AH1747" s="43"/>
      <c r="AI1747" s="43"/>
      <c r="AJ1747" s="43"/>
      <c r="AK1747" s="43"/>
      <c r="AL1747" s="43"/>
      <c r="AM1747" s="43"/>
      <c r="AN1747" s="43"/>
      <c r="AO1747" s="43"/>
      <c r="AP1747" s="43"/>
      <c r="AQ1747" s="43"/>
      <c r="AR1747" s="43"/>
      <c r="AS1747" s="43"/>
      <c r="AT1747" s="43"/>
      <c r="AU1747" s="43"/>
      <c r="AV1747" s="43"/>
    </row>
    <row r="1748" ht="15.75" spans="1:48">
      <c r="A1748" s="12">
        <v>1744</v>
      </c>
      <c r="B1748" s="44">
        <v>761</v>
      </c>
      <c r="C1748" s="45" t="s">
        <v>89</v>
      </c>
      <c r="D1748" s="46"/>
      <c r="E1748" s="47"/>
      <c r="F1748" s="48">
        <v>1.83</v>
      </c>
      <c r="G1748" s="38">
        <v>0</v>
      </c>
      <c r="H1748" s="39"/>
      <c r="I1748" s="39"/>
      <c r="J1748" s="39"/>
      <c r="K1748" s="39"/>
      <c r="L1748" s="39"/>
      <c r="M1748" s="39"/>
      <c r="N1748" s="39"/>
      <c r="O1748" s="39"/>
      <c r="P1748" s="39"/>
      <c r="Q1748" s="39"/>
      <c r="R1748" s="39"/>
      <c r="S1748" s="39"/>
      <c r="T1748" s="39"/>
      <c r="U1748" s="39"/>
      <c r="V1748" s="39"/>
      <c r="W1748" s="39"/>
      <c r="X1748" s="49" t="s">
        <v>221</v>
      </c>
      <c r="Y1748" s="50">
        <v>2013</v>
      </c>
      <c r="Z1748" s="51">
        <v>2000</v>
      </c>
      <c r="AA1748" s="52">
        <f t="shared" si="43"/>
        <v>0.993541977148535</v>
      </c>
      <c r="AB1748" s="12">
        <v>2000</v>
      </c>
      <c r="AC1748" s="12">
        <v>0</v>
      </c>
      <c r="AD1748" s="43"/>
      <c r="AE1748" s="43"/>
      <c r="AF1748" s="43"/>
      <c r="AG1748" s="43"/>
      <c r="AH1748" s="43"/>
      <c r="AI1748" s="43"/>
      <c r="AJ1748" s="43"/>
      <c r="AK1748" s="43"/>
      <c r="AL1748" s="43"/>
      <c r="AM1748" s="43"/>
      <c r="AN1748" s="43"/>
      <c r="AO1748" s="43"/>
      <c r="AP1748" s="43"/>
      <c r="AQ1748" s="43"/>
      <c r="AR1748" s="43"/>
      <c r="AS1748" s="43"/>
      <c r="AT1748" s="43"/>
      <c r="AU1748" s="43"/>
      <c r="AV1748" s="43"/>
    </row>
    <row r="1749" ht="15.75" spans="1:48">
      <c r="A1749" s="12">
        <v>1745</v>
      </c>
      <c r="B1749" s="44" t="s">
        <v>185</v>
      </c>
      <c r="C1749" s="45" t="s">
        <v>179</v>
      </c>
      <c r="D1749" s="46"/>
      <c r="E1749" s="47"/>
      <c r="F1749" s="48">
        <v>0.75</v>
      </c>
      <c r="G1749" s="38">
        <v>0</v>
      </c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  <c r="S1749" s="39"/>
      <c r="T1749" s="39"/>
      <c r="U1749" s="39"/>
      <c r="V1749" s="39"/>
      <c r="W1749" s="39"/>
      <c r="X1749" s="49" t="s">
        <v>391</v>
      </c>
      <c r="Y1749" s="50">
        <v>300</v>
      </c>
      <c r="Z1749" s="51">
        <v>242</v>
      </c>
      <c r="AA1749" s="52">
        <f t="shared" si="43"/>
        <v>0.806666666666667</v>
      </c>
      <c r="AB1749" s="12">
        <v>242</v>
      </c>
      <c r="AC1749" s="12">
        <v>0</v>
      </c>
      <c r="AD1749" s="43"/>
      <c r="AE1749" s="43"/>
      <c r="AF1749" s="43"/>
      <c r="AG1749" s="43"/>
      <c r="AH1749" s="43"/>
      <c r="AI1749" s="43"/>
      <c r="AJ1749" s="43"/>
      <c r="AK1749" s="43"/>
      <c r="AL1749" s="43"/>
      <c r="AM1749" s="43"/>
      <c r="AN1749" s="43"/>
      <c r="AO1749" s="43"/>
      <c r="AP1749" s="43"/>
      <c r="AQ1749" s="43"/>
      <c r="AR1749" s="43"/>
      <c r="AS1749" s="43"/>
      <c r="AT1749" s="43"/>
      <c r="AU1749" s="43"/>
      <c r="AV1749" s="43"/>
    </row>
    <row r="1750" ht="15.75" spans="1:48">
      <c r="A1750" s="12">
        <v>1746</v>
      </c>
      <c r="B1750" s="44" t="s">
        <v>185</v>
      </c>
      <c r="C1750" s="45" t="s">
        <v>179</v>
      </c>
      <c r="D1750" s="46"/>
      <c r="E1750" s="47"/>
      <c r="F1750" s="48">
        <v>1.25</v>
      </c>
      <c r="G1750" s="38">
        <v>0</v>
      </c>
      <c r="H1750" s="39"/>
      <c r="I1750" s="39"/>
      <c r="J1750" s="39"/>
      <c r="K1750" s="39"/>
      <c r="L1750" s="39"/>
      <c r="M1750" s="39"/>
      <c r="N1750" s="39"/>
      <c r="O1750" s="39"/>
      <c r="P1750" s="39"/>
      <c r="Q1750" s="39"/>
      <c r="R1750" s="39"/>
      <c r="S1750" s="39"/>
      <c r="T1750" s="39"/>
      <c r="U1750" s="39"/>
      <c r="V1750" s="39"/>
      <c r="W1750" s="39"/>
      <c r="X1750" s="49" t="s">
        <v>103</v>
      </c>
      <c r="Y1750" s="50">
        <v>1050</v>
      </c>
      <c r="Z1750" s="51">
        <v>840</v>
      </c>
      <c r="AA1750" s="52">
        <f t="shared" si="43"/>
        <v>0.8</v>
      </c>
      <c r="AB1750" s="12">
        <v>840</v>
      </c>
      <c r="AC1750" s="12">
        <v>0</v>
      </c>
      <c r="AD1750" s="43"/>
      <c r="AE1750" s="43"/>
      <c r="AF1750" s="43"/>
      <c r="AG1750" s="43"/>
      <c r="AH1750" s="43"/>
      <c r="AI1750" s="43"/>
      <c r="AJ1750" s="43"/>
      <c r="AK1750" s="43"/>
      <c r="AL1750" s="43"/>
      <c r="AM1750" s="43"/>
      <c r="AN1750" s="43"/>
      <c r="AO1750" s="43"/>
      <c r="AP1750" s="43"/>
      <c r="AQ1750" s="43"/>
      <c r="AR1750" s="43"/>
      <c r="AS1750" s="43"/>
      <c r="AT1750" s="43"/>
      <c r="AU1750" s="43"/>
      <c r="AV1750" s="43"/>
    </row>
    <row r="1751" ht="15.75" spans="1:48">
      <c r="A1751" s="12">
        <v>1747</v>
      </c>
      <c r="B1751" s="53">
        <v>669</v>
      </c>
      <c r="C1751" s="55" t="s">
        <v>94</v>
      </c>
      <c r="D1751" s="56"/>
      <c r="E1751" s="68"/>
      <c r="F1751" s="48">
        <v>2.33</v>
      </c>
      <c r="G1751" s="38">
        <v>0</v>
      </c>
      <c r="H1751" s="39"/>
      <c r="I1751" s="39"/>
      <c r="J1751" s="39"/>
      <c r="K1751" s="39"/>
      <c r="L1751" s="39"/>
      <c r="M1751" s="39"/>
      <c r="N1751" s="39"/>
      <c r="O1751" s="39"/>
      <c r="P1751" s="39"/>
      <c r="Q1751" s="39"/>
      <c r="R1751" s="39"/>
      <c r="S1751" s="39"/>
      <c r="T1751" s="39"/>
      <c r="U1751" s="39"/>
      <c r="V1751" s="39"/>
      <c r="W1751" s="39"/>
      <c r="X1751" s="49" t="s">
        <v>103</v>
      </c>
      <c r="Y1751" s="50">
        <v>1957.2</v>
      </c>
      <c r="Z1751" s="51">
        <v>1695</v>
      </c>
      <c r="AA1751" s="52">
        <f t="shared" si="43"/>
        <v>0.866033108522379</v>
      </c>
      <c r="AB1751" s="12">
        <v>1695</v>
      </c>
      <c r="AC1751" s="12">
        <v>0</v>
      </c>
      <c r="AD1751" s="43"/>
      <c r="AE1751" s="43"/>
      <c r="AF1751" s="43"/>
      <c r="AG1751" s="43"/>
      <c r="AH1751" s="43"/>
      <c r="AI1751" s="43"/>
      <c r="AJ1751" s="43"/>
      <c r="AK1751" s="43"/>
      <c r="AL1751" s="43"/>
      <c r="AM1751" s="43"/>
      <c r="AN1751" s="43"/>
      <c r="AO1751" s="43"/>
      <c r="AP1751" s="43"/>
      <c r="AQ1751" s="43"/>
      <c r="AR1751" s="43"/>
      <c r="AS1751" s="43"/>
      <c r="AT1751" s="43"/>
      <c r="AU1751" s="43"/>
      <c r="AV1751" s="43"/>
    </row>
    <row r="1752" ht="15.75" spans="1:48">
      <c r="A1752" s="12">
        <v>1748</v>
      </c>
      <c r="B1752" s="44">
        <v>4324</v>
      </c>
      <c r="C1752" s="45" t="s">
        <v>331</v>
      </c>
      <c r="D1752" s="46"/>
      <c r="E1752" s="47"/>
      <c r="F1752" s="48">
        <v>6</v>
      </c>
      <c r="G1752" s="38">
        <v>0</v>
      </c>
      <c r="H1752" s="39"/>
      <c r="I1752" s="39"/>
      <c r="J1752" s="39"/>
      <c r="K1752" s="39"/>
      <c r="L1752" s="39"/>
      <c r="M1752" s="39"/>
      <c r="N1752" s="39"/>
      <c r="O1752" s="39"/>
      <c r="P1752" s="39"/>
      <c r="Q1752" s="39"/>
      <c r="R1752" s="39"/>
      <c r="S1752" s="39"/>
      <c r="T1752" s="39"/>
      <c r="U1752" s="39"/>
      <c r="V1752" s="39"/>
      <c r="W1752" s="39"/>
      <c r="X1752" s="49" t="s">
        <v>105</v>
      </c>
      <c r="Y1752" s="50">
        <v>3960</v>
      </c>
      <c r="Z1752" s="51">
        <v>3825</v>
      </c>
      <c r="AA1752" s="52">
        <f t="shared" si="43"/>
        <v>0.965909090909091</v>
      </c>
      <c r="AB1752" s="12">
        <v>3825</v>
      </c>
      <c r="AC1752" s="12">
        <v>0</v>
      </c>
      <c r="AD1752" s="43"/>
      <c r="AE1752" s="43"/>
      <c r="AF1752" s="43"/>
      <c r="AG1752" s="43"/>
      <c r="AH1752" s="43"/>
      <c r="AI1752" s="43"/>
      <c r="AJ1752" s="43"/>
      <c r="AK1752" s="43"/>
      <c r="AL1752" s="43"/>
      <c r="AM1752" s="43"/>
      <c r="AN1752" s="43"/>
      <c r="AO1752" s="43"/>
      <c r="AP1752" s="43"/>
      <c r="AQ1752" s="43"/>
      <c r="AR1752" s="43"/>
      <c r="AS1752" s="43"/>
      <c r="AT1752" s="43"/>
      <c r="AU1752" s="43"/>
      <c r="AV1752" s="43"/>
    </row>
    <row r="1753" ht="15.75" spans="1:48">
      <c r="A1753" s="12">
        <v>1749</v>
      </c>
      <c r="B1753" s="44">
        <v>4110</v>
      </c>
      <c r="C1753" s="45" t="s">
        <v>135</v>
      </c>
      <c r="D1753" s="46">
        <v>18</v>
      </c>
      <c r="E1753" s="47" t="s">
        <v>50</v>
      </c>
      <c r="F1753" s="48">
        <v>0.67</v>
      </c>
      <c r="G1753" s="38">
        <v>0</v>
      </c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  <c r="S1753" s="39"/>
      <c r="T1753" s="39"/>
      <c r="U1753" s="39"/>
      <c r="V1753" s="39"/>
      <c r="W1753" s="39"/>
      <c r="X1753" s="49">
        <v>2801</v>
      </c>
      <c r="Y1753" s="50">
        <v>405.35</v>
      </c>
      <c r="Z1753" s="51">
        <v>480</v>
      </c>
      <c r="AA1753" s="52">
        <f t="shared" si="43"/>
        <v>1.18416183545084</v>
      </c>
      <c r="AB1753" s="12">
        <v>480</v>
      </c>
      <c r="AC1753" s="12">
        <v>0</v>
      </c>
      <c r="AD1753" s="43"/>
      <c r="AE1753" s="43"/>
      <c r="AF1753" s="43"/>
      <c r="AG1753" s="43"/>
      <c r="AH1753" s="43"/>
      <c r="AI1753" s="43"/>
      <c r="AJ1753" s="43"/>
      <c r="AK1753" s="43"/>
      <c r="AL1753" s="43"/>
      <c r="AM1753" s="43"/>
      <c r="AN1753" s="43"/>
      <c r="AO1753" s="43"/>
      <c r="AP1753" s="43"/>
      <c r="AQ1753" s="43"/>
      <c r="AR1753" s="43"/>
      <c r="AS1753" s="43"/>
      <c r="AT1753" s="43"/>
      <c r="AU1753" s="43"/>
      <c r="AV1753" s="43"/>
    </row>
    <row r="1754" ht="15.75" spans="1:48">
      <c r="A1754" s="12">
        <v>1750</v>
      </c>
      <c r="B1754" s="69" t="s">
        <v>308</v>
      </c>
      <c r="C1754" s="45" t="s">
        <v>309</v>
      </c>
      <c r="D1754" s="46"/>
      <c r="E1754" s="47"/>
      <c r="F1754" s="48">
        <v>7.17</v>
      </c>
      <c r="G1754" s="38">
        <v>0.83</v>
      </c>
      <c r="H1754" s="39"/>
      <c r="I1754" s="39"/>
      <c r="J1754" s="39"/>
      <c r="K1754" s="39"/>
      <c r="L1754" s="39"/>
      <c r="M1754" s="39"/>
      <c r="N1754" s="39"/>
      <c r="O1754" s="39"/>
      <c r="P1754" s="39"/>
      <c r="Q1754" s="39">
        <v>0.83</v>
      </c>
      <c r="R1754" s="39"/>
      <c r="S1754" s="39"/>
      <c r="T1754" s="39"/>
      <c r="U1754" s="39"/>
      <c r="V1754" s="39"/>
      <c r="W1754" s="39"/>
      <c r="X1754" s="49" t="s">
        <v>310</v>
      </c>
      <c r="Y1754" s="50">
        <v>0</v>
      </c>
      <c r="Z1754" s="51"/>
      <c r="AA1754" s="52">
        <f t="shared" si="43"/>
        <v>0</v>
      </c>
      <c r="AB1754" s="12">
        <v>0</v>
      </c>
      <c r="AC1754" s="12">
        <v>0</v>
      </c>
      <c r="AD1754" s="43"/>
      <c r="AE1754" s="43"/>
      <c r="AF1754" s="43"/>
      <c r="AG1754" s="43"/>
      <c r="AH1754" s="43"/>
      <c r="AI1754" s="43"/>
      <c r="AJ1754" s="43"/>
      <c r="AK1754" s="43"/>
      <c r="AL1754" s="43"/>
      <c r="AM1754" s="43"/>
      <c r="AN1754" s="43"/>
      <c r="AO1754" s="43"/>
      <c r="AP1754" s="43"/>
      <c r="AQ1754" s="43"/>
      <c r="AR1754" s="43"/>
      <c r="AS1754" s="43"/>
      <c r="AT1754" s="43"/>
      <c r="AU1754" s="43"/>
      <c r="AV1754" s="43"/>
    </row>
    <row r="1755" ht="15.75" spans="1:48">
      <c r="A1755" s="12">
        <v>1751</v>
      </c>
      <c r="B1755" s="44">
        <v>4496</v>
      </c>
      <c r="C1755" s="45" t="s">
        <v>133</v>
      </c>
      <c r="D1755" s="46" t="s">
        <v>138</v>
      </c>
      <c r="E1755" s="47"/>
      <c r="F1755" s="48">
        <v>10.67</v>
      </c>
      <c r="G1755" s="38">
        <v>1.34</v>
      </c>
      <c r="H1755" s="39"/>
      <c r="I1755" s="39"/>
      <c r="J1755" s="39"/>
      <c r="K1755" s="39"/>
      <c r="L1755" s="39"/>
      <c r="M1755" s="39"/>
      <c r="N1755" s="39"/>
      <c r="O1755" s="39"/>
      <c r="P1755" s="39"/>
      <c r="Q1755" s="39">
        <v>1.17</v>
      </c>
      <c r="R1755" s="39"/>
      <c r="S1755" s="39"/>
      <c r="T1755" s="39"/>
      <c r="U1755" s="39">
        <v>0.17</v>
      </c>
      <c r="V1755" s="39"/>
      <c r="W1755" s="39"/>
      <c r="X1755" s="49" t="s">
        <v>82</v>
      </c>
      <c r="Y1755" s="50">
        <v>17338.75</v>
      </c>
      <c r="Z1755" s="51">
        <v>16994</v>
      </c>
      <c r="AA1755" s="52">
        <f t="shared" si="43"/>
        <v>0.980116790426069</v>
      </c>
      <c r="AB1755" s="12">
        <v>16988</v>
      </c>
      <c r="AC1755" s="12">
        <v>6</v>
      </c>
      <c r="AD1755" s="43"/>
      <c r="AE1755" s="43"/>
      <c r="AF1755" s="43"/>
      <c r="AG1755" s="19">
        <v>6</v>
      </c>
      <c r="AH1755" s="43"/>
      <c r="AI1755" s="43"/>
      <c r="AJ1755" s="43"/>
      <c r="AK1755" s="43"/>
      <c r="AL1755" s="43"/>
      <c r="AM1755" s="43"/>
      <c r="AN1755" s="43"/>
      <c r="AO1755" s="43"/>
      <c r="AP1755" s="43"/>
      <c r="AQ1755" s="43"/>
      <c r="AR1755" s="43"/>
      <c r="AS1755" s="43"/>
      <c r="AT1755" s="43"/>
      <c r="AU1755" s="43"/>
      <c r="AV1755" s="43"/>
    </row>
    <row r="1756" ht="15.75" spans="1:48">
      <c r="A1756" s="12">
        <v>1752</v>
      </c>
      <c r="B1756" s="44">
        <v>3919</v>
      </c>
      <c r="C1756" s="45" t="s">
        <v>137</v>
      </c>
      <c r="D1756" s="46"/>
      <c r="E1756" s="47"/>
      <c r="F1756" s="48">
        <v>10.83</v>
      </c>
      <c r="G1756" s="38">
        <v>1.17</v>
      </c>
      <c r="H1756" s="39"/>
      <c r="I1756" s="39"/>
      <c r="J1756" s="39"/>
      <c r="K1756" s="39"/>
      <c r="L1756" s="39"/>
      <c r="M1756" s="39"/>
      <c r="N1756" s="39"/>
      <c r="O1756" s="39"/>
      <c r="P1756" s="39"/>
      <c r="Q1756" s="39">
        <v>1.17</v>
      </c>
      <c r="R1756" s="39"/>
      <c r="S1756" s="39"/>
      <c r="T1756" s="39"/>
      <c r="U1756" s="39"/>
      <c r="V1756" s="39"/>
      <c r="W1756" s="39"/>
      <c r="X1756" s="49" t="s">
        <v>140</v>
      </c>
      <c r="Y1756" s="50">
        <v>0</v>
      </c>
      <c r="Z1756" s="51"/>
      <c r="AA1756" s="52">
        <f t="shared" si="43"/>
        <v>0</v>
      </c>
      <c r="AB1756" s="12">
        <v>0</v>
      </c>
      <c r="AC1756" s="12">
        <v>0</v>
      </c>
      <c r="AD1756" s="43"/>
      <c r="AE1756" s="43"/>
      <c r="AF1756" s="43"/>
      <c r="AG1756" s="43"/>
      <c r="AH1756" s="43"/>
      <c r="AI1756" s="43"/>
      <c r="AJ1756" s="43"/>
      <c r="AK1756" s="43"/>
      <c r="AL1756" s="43"/>
      <c r="AM1756" s="43"/>
      <c r="AN1756" s="43"/>
      <c r="AO1756" s="43"/>
      <c r="AP1756" s="43"/>
      <c r="AQ1756" s="43"/>
      <c r="AR1756" s="43"/>
      <c r="AS1756" s="43"/>
      <c r="AT1756" s="43"/>
      <c r="AU1756" s="43"/>
      <c r="AV1756" s="43"/>
    </row>
    <row r="1757" ht="15.75" spans="1:48">
      <c r="A1757" s="12">
        <v>1753</v>
      </c>
      <c r="B1757" s="44">
        <v>4019</v>
      </c>
      <c r="C1757" s="45" t="s">
        <v>134</v>
      </c>
      <c r="D1757" s="46" t="s">
        <v>83</v>
      </c>
      <c r="E1757" s="47"/>
      <c r="F1757" s="48">
        <v>5.83</v>
      </c>
      <c r="G1757" s="38">
        <v>1.5</v>
      </c>
      <c r="H1757" s="39"/>
      <c r="I1757" s="39"/>
      <c r="J1757" s="39"/>
      <c r="K1757" s="39"/>
      <c r="L1757" s="39"/>
      <c r="M1757" s="39"/>
      <c r="N1757" s="39"/>
      <c r="O1757" s="39"/>
      <c r="P1757" s="39"/>
      <c r="Q1757" s="39">
        <v>1.17</v>
      </c>
      <c r="R1757" s="39"/>
      <c r="S1757" s="39"/>
      <c r="T1757" s="39"/>
      <c r="U1757" s="39">
        <v>0.33</v>
      </c>
      <c r="V1757" s="39"/>
      <c r="W1757" s="39"/>
      <c r="X1757" s="49" t="s">
        <v>342</v>
      </c>
      <c r="Y1757" s="50">
        <v>26235</v>
      </c>
      <c r="Z1757" s="51">
        <v>25152</v>
      </c>
      <c r="AA1757" s="52">
        <f t="shared" si="43"/>
        <v>0.95871926815323</v>
      </c>
      <c r="AB1757" s="12">
        <v>25104</v>
      </c>
      <c r="AC1757" s="12">
        <v>48</v>
      </c>
      <c r="AD1757" s="43"/>
      <c r="AE1757" s="43"/>
      <c r="AF1757" s="43"/>
      <c r="AG1757" s="19">
        <v>24</v>
      </c>
      <c r="AH1757" s="43"/>
      <c r="AI1757" s="43"/>
      <c r="AJ1757" s="43"/>
      <c r="AK1757" s="43"/>
      <c r="AL1757" s="43"/>
      <c r="AM1757" s="43"/>
      <c r="AN1757" s="19">
        <v>24</v>
      </c>
      <c r="AO1757" s="43"/>
      <c r="AP1757" s="43"/>
      <c r="AQ1757" s="43"/>
      <c r="AR1757" s="43"/>
      <c r="AS1757" s="43"/>
      <c r="AT1757" s="43"/>
      <c r="AU1757" s="43"/>
      <c r="AV1757" s="43"/>
    </row>
    <row r="1758" ht="15.75" spans="1:48">
      <c r="A1758" s="12">
        <v>1754</v>
      </c>
      <c r="B1758" s="44">
        <v>4019</v>
      </c>
      <c r="C1758" s="45" t="s">
        <v>134</v>
      </c>
      <c r="D1758" s="46" t="s">
        <v>78</v>
      </c>
      <c r="E1758" s="47"/>
      <c r="F1758" s="48">
        <v>6.67</v>
      </c>
      <c r="G1758" s="38">
        <v>5.33</v>
      </c>
      <c r="H1758" s="39"/>
      <c r="I1758" s="39"/>
      <c r="J1758" s="39"/>
      <c r="K1758" s="39">
        <v>3.83</v>
      </c>
      <c r="L1758" s="39"/>
      <c r="M1758" s="39"/>
      <c r="N1758" s="39"/>
      <c r="O1758" s="39"/>
      <c r="P1758" s="39"/>
      <c r="Q1758" s="39">
        <v>1.17</v>
      </c>
      <c r="R1758" s="39"/>
      <c r="S1758" s="39"/>
      <c r="T1758" s="39"/>
      <c r="U1758" s="39">
        <v>0.33</v>
      </c>
      <c r="V1758" s="39"/>
      <c r="W1758" s="39"/>
      <c r="X1758" s="49" t="s">
        <v>79</v>
      </c>
      <c r="Y1758" s="50">
        <v>44422.2</v>
      </c>
      <c r="Z1758" s="51">
        <v>4120</v>
      </c>
      <c r="AA1758" s="52">
        <f t="shared" si="43"/>
        <v>0.0927464195830013</v>
      </c>
      <c r="AB1758" s="12">
        <v>4040</v>
      </c>
      <c r="AC1758" s="12">
        <v>80</v>
      </c>
      <c r="AD1758" s="43"/>
      <c r="AE1758" s="43"/>
      <c r="AF1758" s="43"/>
      <c r="AG1758" s="19">
        <v>40</v>
      </c>
      <c r="AH1758" s="43"/>
      <c r="AI1758" s="43"/>
      <c r="AJ1758" s="43"/>
      <c r="AK1758" s="43"/>
      <c r="AL1758" s="43"/>
      <c r="AM1758" s="43"/>
      <c r="AN1758" s="19">
        <v>40</v>
      </c>
      <c r="AO1758" s="43"/>
      <c r="AP1758" s="43"/>
      <c r="AQ1758" s="43"/>
      <c r="AR1758" s="43"/>
      <c r="AS1758" s="43"/>
      <c r="AT1758" s="43"/>
      <c r="AU1758" s="43"/>
      <c r="AV1758" s="43"/>
    </row>
    <row r="1759" ht="15.75" spans="1:48">
      <c r="A1759" s="12">
        <v>1755</v>
      </c>
      <c r="B1759" s="44">
        <v>4019</v>
      </c>
      <c r="C1759" s="45" t="s">
        <v>134</v>
      </c>
      <c r="D1759" s="46" t="s">
        <v>207</v>
      </c>
      <c r="E1759" s="47"/>
      <c r="F1759" s="48">
        <v>10</v>
      </c>
      <c r="G1759" s="38">
        <v>2</v>
      </c>
      <c r="H1759" s="39"/>
      <c r="I1759" s="39"/>
      <c r="J1759" s="39"/>
      <c r="K1759" s="39">
        <v>0.5</v>
      </c>
      <c r="L1759" s="39"/>
      <c r="M1759" s="39"/>
      <c r="N1759" s="39"/>
      <c r="O1759" s="39"/>
      <c r="P1759" s="39"/>
      <c r="Q1759" s="39">
        <v>1.17</v>
      </c>
      <c r="R1759" s="39"/>
      <c r="S1759" s="39"/>
      <c r="T1759" s="39"/>
      <c r="U1759" s="39">
        <v>0.33</v>
      </c>
      <c r="V1759" s="39"/>
      <c r="W1759" s="39"/>
      <c r="X1759" s="49" t="s">
        <v>79</v>
      </c>
      <c r="Y1759" s="50">
        <v>66600</v>
      </c>
      <c r="Z1759" s="51">
        <v>59376</v>
      </c>
      <c r="AA1759" s="52">
        <f t="shared" si="43"/>
        <v>0.891531531531532</v>
      </c>
      <c r="AB1759" s="12">
        <v>59232</v>
      </c>
      <c r="AC1759" s="12">
        <v>144</v>
      </c>
      <c r="AD1759" s="43"/>
      <c r="AE1759" s="43"/>
      <c r="AF1759" s="43"/>
      <c r="AG1759" s="19">
        <v>64</v>
      </c>
      <c r="AH1759" s="43"/>
      <c r="AI1759" s="43"/>
      <c r="AJ1759" s="43"/>
      <c r="AK1759" s="43"/>
      <c r="AL1759" s="43"/>
      <c r="AM1759" s="43"/>
      <c r="AN1759" s="19">
        <v>80</v>
      </c>
      <c r="AO1759" s="43"/>
      <c r="AP1759" s="43"/>
      <c r="AQ1759" s="43"/>
      <c r="AR1759" s="43"/>
      <c r="AS1759" s="43"/>
      <c r="AT1759" s="43"/>
      <c r="AU1759" s="43"/>
      <c r="AV1759" s="43"/>
    </row>
    <row r="1760" ht="15.75" spans="1:48">
      <c r="A1760" s="12">
        <v>1756</v>
      </c>
      <c r="B1760" s="44">
        <v>4019</v>
      </c>
      <c r="C1760" s="45" t="s">
        <v>134</v>
      </c>
      <c r="D1760" s="46" t="s">
        <v>76</v>
      </c>
      <c r="E1760" s="47"/>
      <c r="F1760" s="48">
        <v>10.33</v>
      </c>
      <c r="G1760" s="38">
        <v>1.67</v>
      </c>
      <c r="H1760" s="39"/>
      <c r="I1760" s="39"/>
      <c r="J1760" s="39"/>
      <c r="K1760" s="39">
        <v>0.17</v>
      </c>
      <c r="L1760" s="39"/>
      <c r="M1760" s="39"/>
      <c r="N1760" s="39"/>
      <c r="O1760" s="39"/>
      <c r="P1760" s="39"/>
      <c r="Q1760" s="39">
        <v>1.17</v>
      </c>
      <c r="R1760" s="39"/>
      <c r="S1760" s="39"/>
      <c r="T1760" s="39"/>
      <c r="U1760" s="39">
        <v>0.33</v>
      </c>
      <c r="V1760" s="39"/>
      <c r="W1760" s="39"/>
      <c r="X1760" s="49" t="s">
        <v>77</v>
      </c>
      <c r="Y1760" s="50">
        <v>61980</v>
      </c>
      <c r="Z1760" s="51">
        <v>57664</v>
      </c>
      <c r="AA1760" s="52">
        <f t="shared" si="43"/>
        <v>0.930364633752824</v>
      </c>
      <c r="AB1760" s="12">
        <v>57552</v>
      </c>
      <c r="AC1760" s="12">
        <v>112</v>
      </c>
      <c r="AD1760" s="43"/>
      <c r="AE1760" s="43"/>
      <c r="AF1760" s="43"/>
      <c r="AG1760" s="19">
        <v>64</v>
      </c>
      <c r="AH1760" s="43"/>
      <c r="AI1760" s="43"/>
      <c r="AJ1760" s="43"/>
      <c r="AK1760" s="43"/>
      <c r="AL1760" s="43"/>
      <c r="AM1760" s="43"/>
      <c r="AN1760" s="19">
        <v>48</v>
      </c>
      <c r="AO1760" s="43"/>
      <c r="AP1760" s="43"/>
      <c r="AQ1760" s="43"/>
      <c r="AR1760" s="43"/>
      <c r="AS1760" s="43"/>
      <c r="AT1760" s="43"/>
      <c r="AU1760" s="43"/>
      <c r="AV1760" s="43"/>
    </row>
    <row r="1761" ht="15.75" spans="1:48">
      <c r="A1761" s="12">
        <v>1757</v>
      </c>
      <c r="B1761" s="44">
        <v>4384</v>
      </c>
      <c r="C1761" s="45" t="s">
        <v>145</v>
      </c>
      <c r="D1761" s="46" t="s">
        <v>81</v>
      </c>
      <c r="E1761" s="47"/>
      <c r="F1761" s="48">
        <v>9.33</v>
      </c>
      <c r="G1761" s="38">
        <v>1.51</v>
      </c>
      <c r="H1761" s="39"/>
      <c r="I1761" s="39"/>
      <c r="J1761" s="39"/>
      <c r="K1761" s="39">
        <v>0.17</v>
      </c>
      <c r="L1761" s="39"/>
      <c r="M1761" s="39"/>
      <c r="N1761" s="39"/>
      <c r="O1761" s="39"/>
      <c r="P1761" s="39"/>
      <c r="Q1761" s="39">
        <v>1.17</v>
      </c>
      <c r="R1761" s="39"/>
      <c r="S1761" s="39"/>
      <c r="T1761" s="39"/>
      <c r="U1761" s="39">
        <v>0.17</v>
      </c>
      <c r="V1761" s="39"/>
      <c r="W1761" s="39"/>
      <c r="X1761" s="49" t="s">
        <v>208</v>
      </c>
      <c r="Y1761" s="50">
        <v>14228.25</v>
      </c>
      <c r="Z1761" s="51">
        <v>13992</v>
      </c>
      <c r="AA1761" s="52">
        <f t="shared" si="43"/>
        <v>0.98339570924042</v>
      </c>
      <c r="AB1761" s="12">
        <v>13984</v>
      </c>
      <c r="AC1761" s="12">
        <v>8</v>
      </c>
      <c r="AD1761" s="43"/>
      <c r="AE1761" s="43"/>
      <c r="AF1761" s="43"/>
      <c r="AG1761" s="19">
        <v>8</v>
      </c>
      <c r="AH1761" s="43"/>
      <c r="AI1761" s="43"/>
      <c r="AJ1761" s="43"/>
      <c r="AK1761" s="43"/>
      <c r="AL1761" s="43"/>
      <c r="AM1761" s="43"/>
      <c r="AN1761" s="43"/>
      <c r="AO1761" s="43"/>
      <c r="AP1761" s="43"/>
      <c r="AQ1761" s="43"/>
      <c r="AR1761" s="43"/>
      <c r="AS1761" s="43"/>
      <c r="AT1761" s="43"/>
      <c r="AU1761" s="43"/>
      <c r="AV1761" s="43"/>
    </row>
    <row r="1762" ht="15.75" spans="1:48">
      <c r="A1762" s="12">
        <v>1758</v>
      </c>
      <c r="B1762" s="44">
        <v>4352</v>
      </c>
      <c r="C1762" s="45" t="s">
        <v>132</v>
      </c>
      <c r="D1762" s="46" t="s">
        <v>129</v>
      </c>
      <c r="E1762" s="47"/>
      <c r="F1762" s="48">
        <v>5.33</v>
      </c>
      <c r="G1762" s="38">
        <v>1</v>
      </c>
      <c r="H1762" s="39"/>
      <c r="I1762" s="39"/>
      <c r="J1762" s="39"/>
      <c r="K1762" s="39"/>
      <c r="L1762" s="39"/>
      <c r="M1762" s="39"/>
      <c r="N1762" s="39"/>
      <c r="O1762" s="39"/>
      <c r="P1762" s="39"/>
      <c r="Q1762" s="39">
        <v>0.83</v>
      </c>
      <c r="R1762" s="39"/>
      <c r="S1762" s="39"/>
      <c r="T1762" s="39"/>
      <c r="U1762" s="39">
        <v>0.17</v>
      </c>
      <c r="V1762" s="39"/>
      <c r="W1762" s="39"/>
      <c r="X1762" s="49" t="s">
        <v>386</v>
      </c>
      <c r="Y1762" s="50">
        <v>7781.8</v>
      </c>
      <c r="Z1762" s="51">
        <v>6884</v>
      </c>
      <c r="AA1762" s="52">
        <f t="shared" si="43"/>
        <v>0.884628235112699</v>
      </c>
      <c r="AB1762" s="12">
        <v>6864</v>
      </c>
      <c r="AC1762" s="12">
        <v>20</v>
      </c>
      <c r="AD1762" s="43"/>
      <c r="AE1762" s="43"/>
      <c r="AF1762" s="43"/>
      <c r="AG1762" s="19">
        <v>20</v>
      </c>
      <c r="AH1762" s="43"/>
      <c r="AI1762" s="43"/>
      <c r="AJ1762" s="43"/>
      <c r="AK1762" s="43"/>
      <c r="AL1762" s="43"/>
      <c r="AM1762" s="43"/>
      <c r="AN1762" s="43"/>
      <c r="AO1762" s="43"/>
      <c r="AP1762" s="43"/>
      <c r="AQ1762" s="43"/>
      <c r="AR1762" s="43"/>
      <c r="AS1762" s="43"/>
      <c r="AT1762" s="43"/>
      <c r="AU1762" s="43"/>
      <c r="AV1762" s="43"/>
    </row>
    <row r="1763" ht="15.75" spans="1:48">
      <c r="A1763" s="12">
        <v>1759</v>
      </c>
      <c r="B1763" s="44">
        <v>4352</v>
      </c>
      <c r="C1763" s="45" t="s">
        <v>132</v>
      </c>
      <c r="D1763" s="46" t="s">
        <v>129</v>
      </c>
      <c r="E1763" s="47"/>
      <c r="F1763" s="48">
        <v>1.33</v>
      </c>
      <c r="G1763" s="38">
        <v>0.33</v>
      </c>
      <c r="H1763" s="39"/>
      <c r="I1763" s="39"/>
      <c r="J1763" s="39">
        <v>0.33</v>
      </c>
      <c r="K1763" s="39"/>
      <c r="L1763" s="39"/>
      <c r="M1763" s="39"/>
      <c r="N1763" s="39"/>
      <c r="O1763" s="39"/>
      <c r="P1763" s="39"/>
      <c r="Q1763" s="39"/>
      <c r="R1763" s="39"/>
      <c r="S1763" s="39"/>
      <c r="T1763" s="39"/>
      <c r="U1763" s="39"/>
      <c r="V1763" s="39"/>
      <c r="W1763" s="39"/>
      <c r="X1763" s="49" t="s">
        <v>220</v>
      </c>
      <c r="Y1763" s="50">
        <v>2394</v>
      </c>
      <c r="Z1763" s="51">
        <v>2160</v>
      </c>
      <c r="AA1763" s="52">
        <f t="shared" si="43"/>
        <v>0.902255639097744</v>
      </c>
      <c r="AB1763" s="12">
        <v>2160</v>
      </c>
      <c r="AC1763" s="12">
        <v>0</v>
      </c>
      <c r="AD1763" s="43"/>
      <c r="AE1763" s="43"/>
      <c r="AF1763" s="43"/>
      <c r="AG1763" s="43"/>
      <c r="AH1763" s="43"/>
      <c r="AI1763" s="43"/>
      <c r="AJ1763" s="43"/>
      <c r="AK1763" s="43"/>
      <c r="AL1763" s="43"/>
      <c r="AM1763" s="43"/>
      <c r="AN1763" s="43"/>
      <c r="AO1763" s="43"/>
      <c r="AP1763" s="43"/>
      <c r="AQ1763" s="43"/>
      <c r="AR1763" s="43"/>
      <c r="AS1763" s="43"/>
      <c r="AT1763" s="43"/>
      <c r="AU1763" s="43"/>
      <c r="AV1763" s="43"/>
    </row>
    <row r="1764" ht="15.75" spans="1:48">
      <c r="A1764" s="12">
        <v>1760</v>
      </c>
      <c r="B1764" s="70" t="s">
        <v>317</v>
      </c>
      <c r="C1764" s="45" t="s">
        <v>318</v>
      </c>
      <c r="D1764" s="46">
        <v>5</v>
      </c>
      <c r="E1764" s="47"/>
      <c r="F1764" s="48">
        <v>7.17</v>
      </c>
      <c r="G1764" s="38">
        <v>0.83</v>
      </c>
      <c r="H1764" s="39"/>
      <c r="I1764" s="39"/>
      <c r="J1764" s="39"/>
      <c r="K1764" s="39"/>
      <c r="L1764" s="39"/>
      <c r="M1764" s="39"/>
      <c r="N1764" s="39"/>
      <c r="O1764" s="39"/>
      <c r="P1764" s="39"/>
      <c r="Q1764" s="39">
        <v>0.83</v>
      </c>
      <c r="R1764" s="39"/>
      <c r="S1764" s="39"/>
      <c r="T1764" s="39"/>
      <c r="U1764" s="39"/>
      <c r="V1764" s="39"/>
      <c r="W1764" s="39"/>
      <c r="X1764" s="49">
        <v>5770</v>
      </c>
      <c r="Y1764" s="50">
        <v>4337.85</v>
      </c>
      <c r="Z1764" s="51">
        <v>1800</v>
      </c>
      <c r="AA1764" s="52">
        <f t="shared" si="43"/>
        <v>0.414952107610913</v>
      </c>
      <c r="AB1764" s="12">
        <v>1628</v>
      </c>
      <c r="AC1764" s="12">
        <v>172</v>
      </c>
      <c r="AD1764" s="19">
        <v>172</v>
      </c>
      <c r="AE1764" s="43"/>
      <c r="AF1764" s="43"/>
      <c r="AG1764" s="43"/>
      <c r="AH1764" s="43"/>
      <c r="AI1764" s="43"/>
      <c r="AJ1764" s="43"/>
      <c r="AK1764" s="43"/>
      <c r="AL1764" s="43"/>
      <c r="AM1764" s="43"/>
      <c r="AN1764" s="43"/>
      <c r="AO1764" s="43"/>
      <c r="AP1764" s="43"/>
      <c r="AQ1764" s="43"/>
      <c r="AR1764" s="43"/>
      <c r="AS1764" s="43"/>
      <c r="AT1764" s="43"/>
      <c r="AU1764" s="43"/>
      <c r="AV1764" s="43"/>
    </row>
    <row r="1765" ht="15.75" spans="1:48">
      <c r="A1765" s="12">
        <v>1761</v>
      </c>
      <c r="B1765" s="69" t="s">
        <v>333</v>
      </c>
      <c r="C1765" s="45" t="s">
        <v>334</v>
      </c>
      <c r="D1765" s="46">
        <v>21</v>
      </c>
      <c r="E1765" s="47"/>
      <c r="F1765" s="48">
        <v>7.17</v>
      </c>
      <c r="G1765" s="38">
        <v>0.83</v>
      </c>
      <c r="H1765" s="39"/>
      <c r="I1765" s="39"/>
      <c r="J1765" s="39"/>
      <c r="K1765" s="39"/>
      <c r="L1765" s="39"/>
      <c r="M1765" s="39"/>
      <c r="N1765" s="39"/>
      <c r="O1765" s="39"/>
      <c r="P1765" s="39"/>
      <c r="Q1765" s="39">
        <v>0.83</v>
      </c>
      <c r="R1765" s="39"/>
      <c r="S1765" s="39"/>
      <c r="T1765" s="39"/>
      <c r="U1765" s="39"/>
      <c r="V1765" s="39"/>
      <c r="W1765" s="39"/>
      <c r="X1765" s="49" t="s">
        <v>96</v>
      </c>
      <c r="Y1765" s="50">
        <v>10396.5</v>
      </c>
      <c r="Z1765" s="51">
        <v>6500</v>
      </c>
      <c r="AA1765" s="52">
        <f t="shared" si="43"/>
        <v>0.625210407348627</v>
      </c>
      <c r="AB1765" s="12">
        <v>6500</v>
      </c>
      <c r="AC1765" s="12">
        <v>0</v>
      </c>
      <c r="AD1765" s="43"/>
      <c r="AE1765" s="43"/>
      <c r="AF1765" s="43"/>
      <c r="AG1765" s="43"/>
      <c r="AH1765" s="43"/>
      <c r="AI1765" s="43"/>
      <c r="AJ1765" s="43"/>
      <c r="AK1765" s="43"/>
      <c r="AL1765" s="43"/>
      <c r="AM1765" s="43"/>
      <c r="AN1765" s="43"/>
      <c r="AO1765" s="43"/>
      <c r="AP1765" s="43"/>
      <c r="AQ1765" s="43"/>
      <c r="AR1765" s="43"/>
      <c r="AS1765" s="43"/>
      <c r="AT1765" s="43"/>
      <c r="AU1765" s="43"/>
      <c r="AV1765" s="43"/>
    </row>
    <row r="1766" ht="15.75" spans="1:48">
      <c r="A1766" s="12">
        <v>1762</v>
      </c>
      <c r="B1766" s="69" t="s">
        <v>315</v>
      </c>
      <c r="C1766" s="45" t="s">
        <v>316</v>
      </c>
      <c r="D1766" s="46">
        <v>6</v>
      </c>
      <c r="E1766" s="47"/>
      <c r="F1766" s="48">
        <v>7.17</v>
      </c>
      <c r="G1766" s="38">
        <v>0.83</v>
      </c>
      <c r="H1766" s="39"/>
      <c r="I1766" s="39"/>
      <c r="J1766" s="39"/>
      <c r="K1766" s="39"/>
      <c r="L1766" s="39"/>
      <c r="M1766" s="39"/>
      <c r="N1766" s="39"/>
      <c r="O1766" s="39"/>
      <c r="P1766" s="39"/>
      <c r="Q1766" s="39">
        <v>0.83</v>
      </c>
      <c r="R1766" s="39"/>
      <c r="S1766" s="39"/>
      <c r="T1766" s="39"/>
      <c r="U1766" s="39"/>
      <c r="V1766" s="39"/>
      <c r="W1766" s="39"/>
      <c r="X1766" s="49">
        <v>1090</v>
      </c>
      <c r="Y1766" s="50">
        <v>4732.2</v>
      </c>
      <c r="Z1766" s="51">
        <v>1889</v>
      </c>
      <c r="AA1766" s="52">
        <f t="shared" si="43"/>
        <v>0.399180085372554</v>
      </c>
      <c r="AB1766" s="12">
        <v>1750</v>
      </c>
      <c r="AC1766" s="12">
        <v>139</v>
      </c>
      <c r="AD1766" s="19">
        <v>139</v>
      </c>
      <c r="AE1766" s="43"/>
      <c r="AF1766" s="43"/>
      <c r="AG1766" s="43"/>
      <c r="AH1766" s="43"/>
      <c r="AI1766" s="43"/>
      <c r="AJ1766" s="43"/>
      <c r="AK1766" s="43"/>
      <c r="AL1766" s="43"/>
      <c r="AM1766" s="43"/>
      <c r="AN1766" s="43"/>
      <c r="AO1766" s="43"/>
      <c r="AP1766" s="43"/>
      <c r="AQ1766" s="43"/>
      <c r="AR1766" s="43"/>
      <c r="AS1766" s="43"/>
      <c r="AT1766" s="43"/>
      <c r="AU1766" s="43"/>
      <c r="AV1766" s="43"/>
    </row>
    <row r="1767" ht="15.75" spans="1:48">
      <c r="A1767" s="12">
        <v>1763</v>
      </c>
      <c r="B1767" s="69" t="s">
        <v>320</v>
      </c>
      <c r="C1767" s="45" t="s">
        <v>321</v>
      </c>
      <c r="D1767" s="46">
        <v>18</v>
      </c>
      <c r="E1767" s="47"/>
      <c r="F1767" s="48">
        <v>7.17</v>
      </c>
      <c r="G1767" s="38">
        <v>0.83</v>
      </c>
      <c r="H1767" s="39"/>
      <c r="I1767" s="39"/>
      <c r="J1767" s="39"/>
      <c r="K1767" s="39"/>
      <c r="L1767" s="39"/>
      <c r="M1767" s="39"/>
      <c r="N1767" s="39"/>
      <c r="O1767" s="39"/>
      <c r="P1767" s="39"/>
      <c r="Q1767" s="39">
        <v>0.83</v>
      </c>
      <c r="R1767" s="39"/>
      <c r="S1767" s="39"/>
      <c r="T1767" s="39"/>
      <c r="U1767" s="39"/>
      <c r="V1767" s="39"/>
      <c r="W1767" s="39"/>
      <c r="X1767" s="49">
        <v>2801</v>
      </c>
      <c r="Y1767" s="50">
        <v>4337.85</v>
      </c>
      <c r="Z1767" s="51">
        <v>1531</v>
      </c>
      <c r="AA1767" s="52">
        <f t="shared" si="43"/>
        <v>0.352939820417949</v>
      </c>
      <c r="AB1767" s="12">
        <v>1531</v>
      </c>
      <c r="AC1767" s="12">
        <v>0</v>
      </c>
      <c r="AD1767" s="43"/>
      <c r="AE1767" s="43"/>
      <c r="AF1767" s="43"/>
      <c r="AG1767" s="43"/>
      <c r="AH1767" s="43"/>
      <c r="AI1767" s="43"/>
      <c r="AJ1767" s="43"/>
      <c r="AK1767" s="43"/>
      <c r="AL1767" s="43"/>
      <c r="AM1767" s="43"/>
      <c r="AN1767" s="43"/>
      <c r="AO1767" s="43"/>
      <c r="AP1767" s="43"/>
      <c r="AQ1767" s="43"/>
      <c r="AR1767" s="43"/>
      <c r="AS1767" s="43"/>
      <c r="AT1767" s="43"/>
      <c r="AU1767" s="43"/>
      <c r="AV1767" s="43"/>
    </row>
    <row r="1768" ht="15.75" spans="1:48">
      <c r="A1768" s="12">
        <v>1764</v>
      </c>
      <c r="B1768" s="44">
        <v>4335</v>
      </c>
      <c r="C1768" s="45" t="s">
        <v>154</v>
      </c>
      <c r="D1768" s="46"/>
      <c r="E1768" s="47"/>
      <c r="F1768" s="48">
        <v>10.83</v>
      </c>
      <c r="G1768" s="38">
        <v>1.17</v>
      </c>
      <c r="H1768" s="39"/>
      <c r="I1768" s="39"/>
      <c r="J1768" s="39"/>
      <c r="K1768" s="39"/>
      <c r="L1768" s="39"/>
      <c r="M1768" s="39"/>
      <c r="N1768" s="39"/>
      <c r="O1768" s="39"/>
      <c r="P1768" s="39"/>
      <c r="Q1768" s="39">
        <v>1.17</v>
      </c>
      <c r="R1768" s="39"/>
      <c r="S1768" s="39"/>
      <c r="T1768" s="39"/>
      <c r="U1768" s="39"/>
      <c r="V1768" s="39"/>
      <c r="W1768" s="39"/>
      <c r="X1768" s="49" t="s">
        <v>155</v>
      </c>
      <c r="Y1768" s="50">
        <v>0</v>
      </c>
      <c r="Z1768" s="51"/>
      <c r="AA1768" s="52">
        <f t="shared" si="43"/>
        <v>0</v>
      </c>
      <c r="AB1768" s="12">
        <v>0</v>
      </c>
      <c r="AC1768" s="12">
        <v>0</v>
      </c>
      <c r="AD1768" s="43"/>
      <c r="AE1768" s="43"/>
      <c r="AF1768" s="43"/>
      <c r="AG1768" s="43"/>
      <c r="AH1768" s="43"/>
      <c r="AI1768" s="43"/>
      <c r="AJ1768" s="43"/>
      <c r="AK1768" s="43"/>
      <c r="AL1768" s="43"/>
      <c r="AM1768" s="43"/>
      <c r="AN1768" s="43"/>
      <c r="AO1768" s="43"/>
      <c r="AP1768" s="43"/>
      <c r="AQ1768" s="43"/>
      <c r="AR1768" s="43"/>
      <c r="AS1768" s="43"/>
      <c r="AT1768" s="43"/>
      <c r="AU1768" s="43"/>
      <c r="AV1768" s="43"/>
    </row>
    <row r="1769" ht="15.75" spans="1:48">
      <c r="A1769" s="12">
        <v>1765</v>
      </c>
      <c r="B1769" s="44">
        <v>4110</v>
      </c>
      <c r="C1769" s="45" t="s">
        <v>135</v>
      </c>
      <c r="D1769" s="46">
        <v>7</v>
      </c>
      <c r="E1769" s="47"/>
      <c r="F1769" s="48">
        <v>3.67</v>
      </c>
      <c r="G1769" s="38">
        <v>2.34</v>
      </c>
      <c r="H1769" s="39"/>
      <c r="I1769" s="39"/>
      <c r="J1769" s="39"/>
      <c r="K1769" s="39"/>
      <c r="L1769" s="39"/>
      <c r="M1769" s="39"/>
      <c r="N1769" s="39"/>
      <c r="O1769" s="39"/>
      <c r="P1769" s="39"/>
      <c r="Q1769" s="39">
        <v>1.17</v>
      </c>
      <c r="R1769" s="39"/>
      <c r="S1769" s="39"/>
      <c r="T1769" s="39">
        <v>0.5</v>
      </c>
      <c r="U1769" s="39">
        <v>0.67</v>
      </c>
      <c r="V1769" s="39"/>
      <c r="W1769" s="39"/>
      <c r="X1769" s="49">
        <v>5091</v>
      </c>
      <c r="Y1769" s="50">
        <v>1468</v>
      </c>
      <c r="Z1769" s="51">
        <v>1440</v>
      </c>
      <c r="AA1769" s="52">
        <f t="shared" si="43"/>
        <v>0.980926430517711</v>
      </c>
      <c r="AB1769" s="12">
        <v>1342</v>
      </c>
      <c r="AC1769" s="12">
        <v>98</v>
      </c>
      <c r="AD1769" s="19">
        <v>98</v>
      </c>
      <c r="AE1769" s="43"/>
      <c r="AF1769" s="43"/>
      <c r="AG1769" s="43"/>
      <c r="AH1769" s="43"/>
      <c r="AI1769" s="43"/>
      <c r="AJ1769" s="43"/>
      <c r="AK1769" s="43"/>
      <c r="AL1769" s="43"/>
      <c r="AM1769" s="43"/>
      <c r="AN1769" s="43"/>
      <c r="AO1769" s="43"/>
      <c r="AP1769" s="43"/>
      <c r="AQ1769" s="43"/>
      <c r="AR1769" s="43"/>
      <c r="AS1769" s="43"/>
      <c r="AT1769" s="43"/>
      <c r="AU1769" s="43"/>
      <c r="AV1769" s="43"/>
    </row>
    <row r="1770" ht="15.75" spans="1:48">
      <c r="A1770" s="12">
        <v>1766</v>
      </c>
      <c r="B1770" s="44">
        <v>551</v>
      </c>
      <c r="C1770" s="45" t="s">
        <v>146</v>
      </c>
      <c r="D1770" s="46">
        <v>3</v>
      </c>
      <c r="E1770" s="47"/>
      <c r="F1770" s="48">
        <v>9.5</v>
      </c>
      <c r="G1770" s="38">
        <v>1.67</v>
      </c>
      <c r="H1770" s="39"/>
      <c r="I1770" s="39"/>
      <c r="J1770" s="39"/>
      <c r="K1770" s="39"/>
      <c r="L1770" s="39"/>
      <c r="M1770" s="39"/>
      <c r="N1770" s="39"/>
      <c r="O1770" s="39"/>
      <c r="P1770" s="39"/>
      <c r="Q1770" s="39">
        <v>1.17</v>
      </c>
      <c r="R1770" s="39"/>
      <c r="S1770" s="39"/>
      <c r="T1770" s="39">
        <v>0.33</v>
      </c>
      <c r="U1770" s="39">
        <v>0.17</v>
      </c>
      <c r="V1770" s="39"/>
      <c r="W1770" s="39"/>
      <c r="X1770" s="49">
        <v>9740</v>
      </c>
      <c r="Y1770" s="50">
        <v>3990</v>
      </c>
      <c r="Z1770" s="51">
        <v>3180</v>
      </c>
      <c r="AA1770" s="52">
        <f t="shared" si="43"/>
        <v>0.796992481203007</v>
      </c>
      <c r="AB1770" s="12">
        <v>3131</v>
      </c>
      <c r="AC1770" s="12">
        <v>49</v>
      </c>
      <c r="AD1770" s="19">
        <v>49</v>
      </c>
      <c r="AE1770" s="43"/>
      <c r="AF1770" s="43"/>
      <c r="AG1770" s="43"/>
      <c r="AH1770" s="43"/>
      <c r="AI1770" s="43"/>
      <c r="AJ1770" s="43"/>
      <c r="AK1770" s="43"/>
      <c r="AL1770" s="43"/>
      <c r="AM1770" s="43"/>
      <c r="AN1770" s="43"/>
      <c r="AO1770" s="43"/>
      <c r="AP1770" s="43"/>
      <c r="AQ1770" s="43"/>
      <c r="AR1770" s="43"/>
      <c r="AS1770" s="43"/>
      <c r="AT1770" s="43"/>
      <c r="AU1770" s="43"/>
      <c r="AV1770" s="43"/>
    </row>
    <row r="1771" ht="15.75" spans="1:48">
      <c r="A1771" s="12">
        <v>1767</v>
      </c>
      <c r="B1771" s="44">
        <v>4017</v>
      </c>
      <c r="C1771" s="45" t="s">
        <v>148</v>
      </c>
      <c r="D1771" s="46">
        <v>17</v>
      </c>
      <c r="E1771" s="47"/>
      <c r="F1771" s="48">
        <v>9.83</v>
      </c>
      <c r="G1771" s="38">
        <v>2.17</v>
      </c>
      <c r="H1771" s="39"/>
      <c r="I1771" s="39"/>
      <c r="J1771" s="39"/>
      <c r="K1771" s="39"/>
      <c r="L1771" s="39"/>
      <c r="M1771" s="39"/>
      <c r="N1771" s="39"/>
      <c r="O1771" s="39"/>
      <c r="P1771" s="39"/>
      <c r="Q1771" s="39">
        <v>1.17</v>
      </c>
      <c r="R1771" s="39"/>
      <c r="S1771" s="39"/>
      <c r="T1771" s="39">
        <v>0.83</v>
      </c>
      <c r="U1771" s="39">
        <v>0.17</v>
      </c>
      <c r="V1771" s="39"/>
      <c r="W1771" s="39"/>
      <c r="X1771" s="49">
        <v>977</v>
      </c>
      <c r="Y1771" s="50">
        <v>2949</v>
      </c>
      <c r="Z1771" s="51">
        <v>1650</v>
      </c>
      <c r="AA1771" s="52">
        <f t="shared" si="43"/>
        <v>0.559511698880977</v>
      </c>
      <c r="AB1771" s="12">
        <v>1409</v>
      </c>
      <c r="AC1771" s="12">
        <v>241</v>
      </c>
      <c r="AD1771" s="19">
        <v>241</v>
      </c>
      <c r="AE1771" s="43"/>
      <c r="AF1771" s="43"/>
      <c r="AG1771" s="43"/>
      <c r="AH1771" s="43"/>
      <c r="AI1771" s="43"/>
      <c r="AJ1771" s="43"/>
      <c r="AK1771" s="43"/>
      <c r="AL1771" s="43"/>
      <c r="AM1771" s="43"/>
      <c r="AN1771" s="43"/>
      <c r="AO1771" s="43"/>
      <c r="AP1771" s="43"/>
      <c r="AQ1771" s="43"/>
      <c r="AR1771" s="43"/>
      <c r="AS1771" s="43"/>
      <c r="AT1771" s="43"/>
      <c r="AU1771" s="43"/>
      <c r="AV1771" s="43"/>
    </row>
    <row r="1772" ht="15.75" spans="1:48">
      <c r="A1772" s="12">
        <v>1768</v>
      </c>
      <c r="B1772" s="44">
        <v>4384</v>
      </c>
      <c r="C1772" s="45" t="s">
        <v>145</v>
      </c>
      <c r="D1772" s="46">
        <v>5</v>
      </c>
      <c r="E1772" s="47"/>
      <c r="F1772" s="48">
        <v>1.17</v>
      </c>
      <c r="G1772" s="38">
        <v>0</v>
      </c>
      <c r="H1772" s="39"/>
      <c r="I1772" s="39"/>
      <c r="J1772" s="39"/>
      <c r="K1772" s="39"/>
      <c r="L1772" s="39"/>
      <c r="M1772" s="39"/>
      <c r="N1772" s="39"/>
      <c r="O1772" s="39"/>
      <c r="P1772" s="39"/>
      <c r="Q1772" s="39"/>
      <c r="R1772" s="39"/>
      <c r="S1772" s="39"/>
      <c r="T1772" s="39"/>
      <c r="U1772" s="39"/>
      <c r="V1772" s="39"/>
      <c r="W1772" s="39"/>
      <c r="X1772" s="49">
        <v>5770</v>
      </c>
      <c r="Y1772" s="50">
        <v>707.85</v>
      </c>
      <c r="Z1772" s="51">
        <v>720</v>
      </c>
      <c r="AA1772" s="52">
        <f t="shared" si="43"/>
        <v>1.01716465352829</v>
      </c>
      <c r="AB1772" s="12">
        <v>720</v>
      </c>
      <c r="AC1772" s="12">
        <v>0</v>
      </c>
      <c r="AD1772" s="43"/>
      <c r="AE1772" s="43"/>
      <c r="AF1772" s="43"/>
      <c r="AG1772" s="43"/>
      <c r="AH1772" s="43"/>
      <c r="AI1772" s="43"/>
      <c r="AJ1772" s="43"/>
      <c r="AK1772" s="43"/>
      <c r="AL1772" s="43"/>
      <c r="AM1772" s="43"/>
      <c r="AN1772" s="43"/>
      <c r="AO1772" s="43"/>
      <c r="AP1772" s="43"/>
      <c r="AQ1772" s="43"/>
      <c r="AR1772" s="43"/>
      <c r="AS1772" s="43"/>
      <c r="AT1772" s="43"/>
      <c r="AU1772" s="43"/>
      <c r="AV1772" s="43"/>
    </row>
    <row r="1773" ht="15.75" spans="1:48">
      <c r="A1773" s="12">
        <v>1769</v>
      </c>
      <c r="B1773" s="69" t="s">
        <v>322</v>
      </c>
      <c r="C1773" s="45" t="s">
        <v>323</v>
      </c>
      <c r="D1773" s="46">
        <v>2</v>
      </c>
      <c r="E1773" s="47"/>
      <c r="F1773" s="48">
        <v>4</v>
      </c>
      <c r="G1773" s="38">
        <v>1.84</v>
      </c>
      <c r="H1773" s="39"/>
      <c r="I1773" s="39"/>
      <c r="J1773" s="39"/>
      <c r="K1773" s="39"/>
      <c r="L1773" s="39"/>
      <c r="M1773" s="39"/>
      <c r="N1773" s="39"/>
      <c r="O1773" s="39"/>
      <c r="P1773" s="39"/>
      <c r="Q1773" s="39">
        <v>0.83</v>
      </c>
      <c r="R1773" s="39"/>
      <c r="S1773" s="39">
        <v>0.67</v>
      </c>
      <c r="T1773" s="39">
        <v>0.17</v>
      </c>
      <c r="U1773" s="39">
        <v>0.17</v>
      </c>
      <c r="V1773" s="39"/>
      <c r="W1773" s="39"/>
      <c r="X1773" s="49">
        <v>8234</v>
      </c>
      <c r="Y1773" s="50">
        <v>2640</v>
      </c>
      <c r="Z1773" s="51">
        <v>700</v>
      </c>
      <c r="AA1773" s="52">
        <f t="shared" si="43"/>
        <v>0.265151515151515</v>
      </c>
      <c r="AB1773" s="12">
        <v>700</v>
      </c>
      <c r="AC1773" s="12">
        <v>0</v>
      </c>
      <c r="AD1773" s="43"/>
      <c r="AE1773" s="43"/>
      <c r="AF1773" s="43"/>
      <c r="AG1773" s="43"/>
      <c r="AH1773" s="43"/>
      <c r="AI1773" s="43"/>
      <c r="AJ1773" s="43"/>
      <c r="AK1773" s="43"/>
      <c r="AL1773" s="43"/>
      <c r="AM1773" s="43"/>
      <c r="AN1773" s="43"/>
      <c r="AO1773" s="43"/>
      <c r="AP1773" s="43"/>
      <c r="AQ1773" s="43"/>
      <c r="AR1773" s="43"/>
      <c r="AS1773" s="43"/>
      <c r="AT1773" s="43"/>
      <c r="AU1773" s="43"/>
      <c r="AV1773" s="43"/>
    </row>
    <row r="1774" ht="15.75" spans="1:48">
      <c r="A1774" s="12">
        <v>1770</v>
      </c>
      <c r="B1774" s="69" t="s">
        <v>322</v>
      </c>
      <c r="C1774" s="45" t="s">
        <v>323</v>
      </c>
      <c r="D1774" s="46"/>
      <c r="E1774" s="47"/>
      <c r="F1774" s="48">
        <v>2</v>
      </c>
      <c r="G1774" s="38">
        <v>0.17</v>
      </c>
      <c r="H1774" s="39"/>
      <c r="I1774" s="39"/>
      <c r="J1774" s="39"/>
      <c r="K1774" s="39"/>
      <c r="L1774" s="39"/>
      <c r="M1774" s="39"/>
      <c r="N1774" s="39"/>
      <c r="O1774" s="39"/>
      <c r="P1774" s="39"/>
      <c r="Q1774" s="39"/>
      <c r="R1774" s="39"/>
      <c r="S1774" s="39"/>
      <c r="T1774" s="39">
        <v>0.17</v>
      </c>
      <c r="U1774" s="39"/>
      <c r="V1774" s="39"/>
      <c r="W1774" s="39"/>
      <c r="X1774" s="49">
        <v>8235</v>
      </c>
      <c r="Y1774" s="50">
        <v>1320</v>
      </c>
      <c r="Z1774" s="51">
        <v>459</v>
      </c>
      <c r="AA1774" s="52">
        <f t="shared" si="43"/>
        <v>0.347727272727273</v>
      </c>
      <c r="AB1774" s="12">
        <v>459</v>
      </c>
      <c r="AC1774" s="12">
        <v>0</v>
      </c>
      <c r="AD1774" s="43"/>
      <c r="AE1774" s="43"/>
      <c r="AF1774" s="43"/>
      <c r="AG1774" s="43"/>
      <c r="AH1774" s="43"/>
      <c r="AI1774" s="43"/>
      <c r="AJ1774" s="43"/>
      <c r="AK1774" s="43"/>
      <c r="AL1774" s="43"/>
      <c r="AM1774" s="43"/>
      <c r="AN1774" s="43"/>
      <c r="AO1774" s="43"/>
      <c r="AP1774" s="43"/>
      <c r="AQ1774" s="43"/>
      <c r="AR1774" s="43"/>
      <c r="AS1774" s="43"/>
      <c r="AT1774" s="43"/>
      <c r="AU1774" s="43"/>
      <c r="AV1774" s="43"/>
    </row>
    <row r="1775" ht="15.75" spans="1:48">
      <c r="A1775" s="12">
        <v>1771</v>
      </c>
      <c r="B1775" s="44">
        <v>947</v>
      </c>
      <c r="C1775" s="45" t="s">
        <v>143</v>
      </c>
      <c r="D1775" s="46">
        <v>8</v>
      </c>
      <c r="E1775" s="47"/>
      <c r="F1775" s="48">
        <v>8.83</v>
      </c>
      <c r="G1775" s="38">
        <v>2.18</v>
      </c>
      <c r="H1775" s="39"/>
      <c r="I1775" s="39"/>
      <c r="J1775" s="39">
        <v>0.17</v>
      </c>
      <c r="K1775" s="39"/>
      <c r="L1775" s="39"/>
      <c r="M1775" s="39"/>
      <c r="N1775" s="39"/>
      <c r="O1775" s="39"/>
      <c r="P1775" s="39"/>
      <c r="Q1775" s="39">
        <v>1.17</v>
      </c>
      <c r="R1775" s="39"/>
      <c r="S1775" s="39"/>
      <c r="T1775" s="39">
        <v>0.67</v>
      </c>
      <c r="U1775" s="39">
        <v>0.17</v>
      </c>
      <c r="V1775" s="39"/>
      <c r="W1775" s="39"/>
      <c r="X1775" s="49">
        <v>9968</v>
      </c>
      <c r="Y1775" s="50">
        <v>5342.15</v>
      </c>
      <c r="Z1775" s="51">
        <v>5045</v>
      </c>
      <c r="AA1775" s="52">
        <f t="shared" si="43"/>
        <v>0.944376327882969</v>
      </c>
      <c r="AB1775" s="12">
        <v>4914</v>
      </c>
      <c r="AC1775" s="12">
        <v>131</v>
      </c>
      <c r="AD1775" s="19">
        <v>131</v>
      </c>
      <c r="AE1775" s="43"/>
      <c r="AF1775" s="43"/>
      <c r="AG1775" s="43"/>
      <c r="AH1775" s="43"/>
      <c r="AI1775" s="43"/>
      <c r="AJ1775" s="43"/>
      <c r="AK1775" s="43"/>
      <c r="AL1775" s="43"/>
      <c r="AM1775" s="43"/>
      <c r="AN1775" s="43"/>
      <c r="AO1775" s="43"/>
      <c r="AP1775" s="43"/>
      <c r="AQ1775" s="43"/>
      <c r="AR1775" s="43"/>
      <c r="AS1775" s="43"/>
      <c r="AT1775" s="43"/>
      <c r="AU1775" s="43"/>
      <c r="AV1775" s="43"/>
    </row>
    <row r="1776" ht="15.75" spans="1:48">
      <c r="A1776" s="12">
        <v>1772</v>
      </c>
      <c r="B1776" s="44">
        <v>666</v>
      </c>
      <c r="C1776" s="45" t="s">
        <v>151</v>
      </c>
      <c r="D1776" s="46"/>
      <c r="E1776" s="47"/>
      <c r="F1776" s="48">
        <v>2.33</v>
      </c>
      <c r="G1776" s="38">
        <v>0.17</v>
      </c>
      <c r="H1776" s="39"/>
      <c r="I1776" s="39"/>
      <c r="J1776" s="39"/>
      <c r="K1776" s="39"/>
      <c r="L1776" s="39"/>
      <c r="M1776" s="39"/>
      <c r="N1776" s="39"/>
      <c r="O1776" s="39"/>
      <c r="P1776" s="39"/>
      <c r="Q1776" s="39">
        <v>0.17</v>
      </c>
      <c r="R1776" s="39"/>
      <c r="S1776" s="39"/>
      <c r="T1776" s="39"/>
      <c r="U1776" s="39"/>
      <c r="V1776" s="39"/>
      <c r="W1776" s="39"/>
      <c r="X1776" s="49" t="s">
        <v>98</v>
      </c>
      <c r="Y1776" s="50">
        <v>1095.1</v>
      </c>
      <c r="Z1776" s="51">
        <v>1080</v>
      </c>
      <c r="AA1776" s="52">
        <f>IFERROR(Z1776/Y1776,0)</f>
        <v>0.986211304903662</v>
      </c>
      <c r="AB1776" s="12">
        <v>1080</v>
      </c>
      <c r="AC1776" s="12">
        <v>0</v>
      </c>
      <c r="AD1776" s="43"/>
      <c r="AE1776" s="43"/>
      <c r="AF1776" s="43"/>
      <c r="AG1776" s="43"/>
      <c r="AH1776" s="43"/>
      <c r="AI1776" s="43"/>
      <c r="AJ1776" s="43"/>
      <c r="AK1776" s="43"/>
      <c r="AL1776" s="43"/>
      <c r="AM1776" s="43"/>
      <c r="AN1776" s="43"/>
      <c r="AO1776" s="43"/>
      <c r="AP1776" s="43"/>
      <c r="AQ1776" s="43"/>
      <c r="AR1776" s="43"/>
      <c r="AS1776" s="43"/>
      <c r="AT1776" s="43"/>
      <c r="AU1776" s="43"/>
      <c r="AV1776" s="43"/>
    </row>
    <row r="1777" ht="15.75" spans="1:48">
      <c r="A1777" s="12">
        <v>1773</v>
      </c>
      <c r="B1777" s="44">
        <v>666</v>
      </c>
      <c r="C1777" s="45" t="s">
        <v>151</v>
      </c>
      <c r="D1777" s="46"/>
      <c r="E1777" s="47"/>
      <c r="F1777" s="48">
        <v>2.33</v>
      </c>
      <c r="G1777" s="38">
        <v>0.17</v>
      </c>
      <c r="H1777" s="39"/>
      <c r="I1777" s="39"/>
      <c r="J1777" s="39"/>
      <c r="K1777" s="39"/>
      <c r="L1777" s="39"/>
      <c r="M1777" s="39"/>
      <c r="N1777" s="39"/>
      <c r="O1777" s="39"/>
      <c r="P1777" s="39"/>
      <c r="Q1777" s="39">
        <v>0.17</v>
      </c>
      <c r="R1777" s="39"/>
      <c r="S1777" s="39"/>
      <c r="T1777" s="39"/>
      <c r="U1777" s="39"/>
      <c r="V1777" s="39"/>
      <c r="W1777" s="39"/>
      <c r="X1777" s="49" t="s">
        <v>90</v>
      </c>
      <c r="Y1777" s="50">
        <v>1095.1</v>
      </c>
      <c r="Z1777" s="51">
        <v>1080</v>
      </c>
      <c r="AA1777" s="52">
        <f>IFERROR(Z1777/Y1777,0)</f>
        <v>0.986211304903662</v>
      </c>
      <c r="AB1777" s="12">
        <v>1080</v>
      </c>
      <c r="AC1777" s="12">
        <v>0</v>
      </c>
      <c r="AD1777" s="43"/>
      <c r="AE1777" s="43"/>
      <c r="AF1777" s="43"/>
      <c r="AG1777" s="43"/>
      <c r="AH1777" s="43"/>
      <c r="AI1777" s="43"/>
      <c r="AJ1777" s="43"/>
      <c r="AK1777" s="43"/>
      <c r="AL1777" s="43"/>
      <c r="AM1777" s="43"/>
      <c r="AN1777" s="43"/>
      <c r="AO1777" s="43"/>
      <c r="AP1777" s="43"/>
      <c r="AQ1777" s="43"/>
      <c r="AR1777" s="43"/>
      <c r="AS1777" s="43"/>
      <c r="AT1777" s="43"/>
      <c r="AU1777" s="43"/>
      <c r="AV1777" s="43"/>
    </row>
    <row r="1778" ht="15.75" spans="1:48">
      <c r="A1778" s="12">
        <v>1774</v>
      </c>
      <c r="B1778" s="44">
        <v>4342</v>
      </c>
      <c r="C1778" s="45" t="s">
        <v>147</v>
      </c>
      <c r="D1778" s="46"/>
      <c r="E1778" s="47"/>
      <c r="F1778" s="48">
        <v>4</v>
      </c>
      <c r="G1778" s="38">
        <v>2.01</v>
      </c>
      <c r="H1778" s="39"/>
      <c r="I1778" s="39"/>
      <c r="J1778" s="39"/>
      <c r="K1778" s="39"/>
      <c r="L1778" s="39"/>
      <c r="M1778" s="39"/>
      <c r="N1778" s="39"/>
      <c r="O1778" s="39"/>
      <c r="P1778" s="39"/>
      <c r="Q1778" s="39">
        <v>1.17</v>
      </c>
      <c r="R1778" s="39"/>
      <c r="S1778" s="39">
        <v>0.67</v>
      </c>
      <c r="T1778" s="39"/>
      <c r="U1778" s="39">
        <v>0.17</v>
      </c>
      <c r="V1778" s="39"/>
      <c r="W1778" s="39"/>
      <c r="X1778" s="49" t="s">
        <v>98</v>
      </c>
      <c r="Y1778" s="50">
        <v>1880</v>
      </c>
      <c r="Z1778" s="51">
        <v>2160</v>
      </c>
      <c r="AA1778" s="52">
        <f>IFERROR(Z1778/Y1778,0)</f>
        <v>1.14893617021277</v>
      </c>
      <c r="AB1778" s="12">
        <v>2160</v>
      </c>
      <c r="AC1778" s="12">
        <v>0</v>
      </c>
      <c r="AD1778" s="43"/>
      <c r="AE1778" s="43"/>
      <c r="AF1778" s="43"/>
      <c r="AG1778" s="43"/>
      <c r="AH1778" s="43"/>
      <c r="AI1778" s="43"/>
      <c r="AJ1778" s="43"/>
      <c r="AK1778" s="43"/>
      <c r="AL1778" s="43"/>
      <c r="AM1778" s="43"/>
      <c r="AN1778" s="43"/>
      <c r="AO1778" s="43"/>
      <c r="AP1778" s="43"/>
      <c r="AQ1778" s="43"/>
      <c r="AR1778" s="43"/>
      <c r="AS1778" s="43"/>
      <c r="AT1778" s="43"/>
      <c r="AU1778" s="43"/>
      <c r="AV1778" s="43"/>
    </row>
    <row r="1779" ht="15.75" spans="1:48">
      <c r="A1779" s="12">
        <v>1775</v>
      </c>
      <c r="B1779" s="44">
        <v>4342</v>
      </c>
      <c r="C1779" s="45" t="s">
        <v>147</v>
      </c>
      <c r="D1779" s="46"/>
      <c r="E1779" s="47"/>
      <c r="F1779" s="48">
        <v>4.33</v>
      </c>
      <c r="G1779" s="38">
        <v>0</v>
      </c>
      <c r="H1779" s="39"/>
      <c r="I1779" s="39"/>
      <c r="J1779" s="39"/>
      <c r="K1779" s="39"/>
      <c r="L1779" s="39"/>
      <c r="M1779" s="39"/>
      <c r="N1779" s="39"/>
      <c r="O1779" s="39"/>
      <c r="P1779" s="39"/>
      <c r="Q1779" s="39"/>
      <c r="R1779" s="39"/>
      <c r="S1779" s="39"/>
      <c r="T1779" s="39"/>
      <c r="U1779" s="39"/>
      <c r="V1779" s="39"/>
      <c r="W1779" s="39"/>
      <c r="X1779" s="49" t="s">
        <v>90</v>
      </c>
      <c r="Y1779" s="50">
        <v>2035.1</v>
      </c>
      <c r="Z1779" s="51">
        <v>1980</v>
      </c>
      <c r="AA1779" s="52">
        <f>IFERROR(Z1779/Y1779,0)</f>
        <v>0.972925163382635</v>
      </c>
      <c r="AB1779" s="12">
        <v>1980</v>
      </c>
      <c r="AC1779" s="12">
        <v>0</v>
      </c>
      <c r="AD1779" s="43"/>
      <c r="AE1779" s="43"/>
      <c r="AF1779" s="43"/>
      <c r="AG1779" s="43"/>
      <c r="AH1779" s="43"/>
      <c r="AI1779" s="43"/>
      <c r="AJ1779" s="43"/>
      <c r="AK1779" s="43"/>
      <c r="AL1779" s="43"/>
      <c r="AM1779" s="43"/>
      <c r="AN1779" s="43"/>
      <c r="AO1779" s="43"/>
      <c r="AP1779" s="43"/>
      <c r="AQ1779" s="43"/>
      <c r="AR1779" s="43"/>
      <c r="AS1779" s="43"/>
      <c r="AT1779" s="43"/>
      <c r="AU1779" s="43"/>
      <c r="AV1779" s="43"/>
    </row>
    <row r="1780" ht="15.75" spans="1:48">
      <c r="A1780" s="12">
        <v>1776</v>
      </c>
      <c r="B1780" s="44">
        <v>2865</v>
      </c>
      <c r="C1780" s="45" t="s">
        <v>149</v>
      </c>
      <c r="D1780" s="46">
        <v>15</v>
      </c>
      <c r="E1780" s="47"/>
      <c r="F1780" s="48">
        <v>6.17</v>
      </c>
      <c r="G1780" s="38">
        <v>1.5</v>
      </c>
      <c r="H1780" s="39"/>
      <c r="I1780" s="39"/>
      <c r="J1780" s="39"/>
      <c r="K1780" s="39">
        <v>0.17</v>
      </c>
      <c r="L1780" s="39"/>
      <c r="M1780" s="39"/>
      <c r="N1780" s="39"/>
      <c r="O1780" s="39"/>
      <c r="P1780" s="39"/>
      <c r="Q1780" s="39">
        <v>0.83</v>
      </c>
      <c r="R1780" s="39"/>
      <c r="S1780" s="39"/>
      <c r="T1780" s="39">
        <v>0.33</v>
      </c>
      <c r="U1780" s="39">
        <v>0.17</v>
      </c>
      <c r="V1780" s="39"/>
      <c r="W1780" s="39"/>
      <c r="X1780" s="49">
        <v>4563</v>
      </c>
      <c r="Y1780" s="50">
        <v>3702</v>
      </c>
      <c r="Z1780" s="51">
        <v>2474</v>
      </c>
      <c r="AA1780" s="52">
        <f>IFERROR(Z1780/Y1780,0)</f>
        <v>0.668287412209616</v>
      </c>
      <c r="AB1780" s="12">
        <v>2376</v>
      </c>
      <c r="AC1780" s="12">
        <v>98</v>
      </c>
      <c r="AD1780" s="19">
        <v>98</v>
      </c>
      <c r="AE1780" s="43"/>
      <c r="AF1780" s="43"/>
      <c r="AG1780" s="43"/>
      <c r="AH1780" s="43"/>
      <c r="AI1780" s="43"/>
      <c r="AJ1780" s="43"/>
      <c r="AK1780" s="43"/>
      <c r="AL1780" s="43"/>
      <c r="AM1780" s="43"/>
      <c r="AN1780" s="43"/>
      <c r="AO1780" s="43"/>
      <c r="AP1780" s="43"/>
      <c r="AQ1780" s="43"/>
      <c r="AR1780" s="43"/>
      <c r="AS1780" s="43"/>
      <c r="AT1780" s="43"/>
      <c r="AU1780" s="43"/>
      <c r="AV1780" s="43"/>
    </row>
    <row r="1781" ht="15.75" spans="1:48">
      <c r="A1781" s="12">
        <v>1777</v>
      </c>
      <c r="B1781" s="53">
        <v>2865</v>
      </c>
      <c r="C1781" s="55" t="s">
        <v>149</v>
      </c>
      <c r="D1781" s="56"/>
      <c r="E1781" s="68"/>
      <c r="F1781" s="48">
        <v>0.33</v>
      </c>
      <c r="G1781" s="38">
        <v>0</v>
      </c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  <c r="S1781" s="39"/>
      <c r="T1781" s="39"/>
      <c r="U1781" s="39"/>
      <c r="V1781" s="39"/>
      <c r="W1781" s="39"/>
      <c r="X1781" s="49" t="s">
        <v>103</v>
      </c>
      <c r="Y1781" s="50">
        <v>277.2</v>
      </c>
      <c r="Z1781" s="51">
        <v>240</v>
      </c>
      <c r="AA1781" s="52">
        <f>IFERROR(Z1781/Y1781,0)</f>
        <v>0.865800865800866</v>
      </c>
      <c r="AB1781" s="12">
        <v>240</v>
      </c>
      <c r="AC1781" s="12">
        <v>0</v>
      </c>
      <c r="AD1781" s="43"/>
      <c r="AE1781" s="43"/>
      <c r="AF1781" s="43"/>
      <c r="AG1781" s="43"/>
      <c r="AH1781" s="43"/>
      <c r="AI1781" s="43"/>
      <c r="AJ1781" s="43"/>
      <c r="AK1781" s="43"/>
      <c r="AL1781" s="43"/>
      <c r="AM1781" s="43"/>
      <c r="AN1781" s="43"/>
      <c r="AO1781" s="43"/>
      <c r="AP1781" s="43"/>
      <c r="AQ1781" s="43"/>
      <c r="AR1781" s="43"/>
      <c r="AS1781" s="43"/>
      <c r="AT1781" s="43"/>
      <c r="AU1781" s="43"/>
      <c r="AV1781" s="43"/>
    </row>
    <row r="1782" ht="15.75" spans="1:48">
      <c r="A1782" s="12">
        <v>1778</v>
      </c>
      <c r="B1782" s="69" t="s">
        <v>335</v>
      </c>
      <c r="C1782" s="45" t="s">
        <v>336</v>
      </c>
      <c r="D1782" s="46"/>
      <c r="E1782" s="47"/>
      <c r="F1782" s="48">
        <v>7.17</v>
      </c>
      <c r="G1782" s="38">
        <v>0.83</v>
      </c>
      <c r="H1782" s="39"/>
      <c r="I1782" s="39"/>
      <c r="J1782" s="39"/>
      <c r="K1782" s="39"/>
      <c r="L1782" s="39"/>
      <c r="M1782" s="39"/>
      <c r="N1782" s="39"/>
      <c r="O1782" s="39"/>
      <c r="P1782" s="39"/>
      <c r="Q1782" s="39">
        <v>0.83</v>
      </c>
      <c r="R1782" s="39"/>
      <c r="S1782" s="39"/>
      <c r="T1782" s="39"/>
      <c r="U1782" s="39"/>
      <c r="V1782" s="39"/>
      <c r="W1782" s="39"/>
      <c r="X1782" s="49" t="s">
        <v>105</v>
      </c>
      <c r="Y1782" s="50">
        <v>4732.2</v>
      </c>
      <c r="Z1782" s="51">
        <v>1139</v>
      </c>
      <c r="AA1782" s="52">
        <f t="shared" ref="AA1782:AA1813" si="44">IFERROR(Z1782/Y1782,0)</f>
        <v>0.240691433160052</v>
      </c>
      <c r="AB1782" s="12">
        <v>1139</v>
      </c>
      <c r="AC1782" s="12">
        <v>0</v>
      </c>
      <c r="AD1782" s="43"/>
      <c r="AE1782" s="43"/>
      <c r="AF1782" s="43"/>
      <c r="AG1782" s="43"/>
      <c r="AH1782" s="43"/>
      <c r="AI1782" s="43"/>
      <c r="AJ1782" s="43"/>
      <c r="AK1782" s="43"/>
      <c r="AL1782" s="43"/>
      <c r="AM1782" s="43"/>
      <c r="AN1782" s="43"/>
      <c r="AO1782" s="43"/>
      <c r="AP1782" s="43"/>
      <c r="AQ1782" s="43"/>
      <c r="AR1782" s="43"/>
      <c r="AS1782" s="43"/>
      <c r="AT1782" s="43"/>
      <c r="AU1782" s="43"/>
      <c r="AV1782" s="43"/>
    </row>
    <row r="1783" ht="15.75" spans="1:48">
      <c r="A1783" s="12">
        <v>1779</v>
      </c>
      <c r="B1783" s="69" t="s">
        <v>325</v>
      </c>
      <c r="C1783" s="45" t="s">
        <v>326</v>
      </c>
      <c r="D1783" s="46"/>
      <c r="E1783" s="47"/>
      <c r="F1783" s="48">
        <v>7.17</v>
      </c>
      <c r="G1783" s="38">
        <v>0.83</v>
      </c>
      <c r="H1783" s="39"/>
      <c r="I1783" s="39"/>
      <c r="J1783" s="39"/>
      <c r="K1783" s="39"/>
      <c r="L1783" s="39"/>
      <c r="M1783" s="39"/>
      <c r="N1783" s="39"/>
      <c r="O1783" s="39"/>
      <c r="P1783" s="39"/>
      <c r="Q1783" s="39">
        <v>0.83</v>
      </c>
      <c r="R1783" s="39"/>
      <c r="S1783" s="39"/>
      <c r="T1783" s="39"/>
      <c r="U1783" s="39"/>
      <c r="V1783" s="39"/>
      <c r="W1783" s="39"/>
      <c r="X1783" s="49" t="s">
        <v>105</v>
      </c>
      <c r="Y1783" s="50">
        <v>4732.2</v>
      </c>
      <c r="Z1783" s="51">
        <v>1750</v>
      </c>
      <c r="AA1783" s="52">
        <f t="shared" si="44"/>
        <v>0.369806855162504</v>
      </c>
      <c r="AB1783" s="12">
        <v>1750</v>
      </c>
      <c r="AC1783" s="12">
        <v>0</v>
      </c>
      <c r="AD1783" s="43"/>
      <c r="AE1783" s="43"/>
      <c r="AF1783" s="43"/>
      <c r="AG1783" s="43"/>
      <c r="AH1783" s="43"/>
      <c r="AI1783" s="43"/>
      <c r="AJ1783" s="43"/>
      <c r="AK1783" s="43"/>
      <c r="AL1783" s="43"/>
      <c r="AM1783" s="43"/>
      <c r="AN1783" s="43"/>
      <c r="AO1783" s="43"/>
      <c r="AP1783" s="43"/>
      <c r="AQ1783" s="43"/>
      <c r="AR1783" s="43"/>
      <c r="AS1783" s="43"/>
      <c r="AT1783" s="43"/>
      <c r="AU1783" s="43"/>
      <c r="AV1783" s="43"/>
    </row>
    <row r="1784" ht="15.75" spans="1:48">
      <c r="A1784" s="12">
        <v>1780</v>
      </c>
      <c r="B1784" s="69" t="s">
        <v>312</v>
      </c>
      <c r="C1784" s="45" t="s">
        <v>313</v>
      </c>
      <c r="D1784" s="46"/>
      <c r="E1784" s="47"/>
      <c r="F1784" s="48">
        <v>7.17</v>
      </c>
      <c r="G1784" s="38">
        <v>0.83</v>
      </c>
      <c r="H1784" s="39"/>
      <c r="I1784" s="39"/>
      <c r="J1784" s="39"/>
      <c r="K1784" s="39"/>
      <c r="L1784" s="39"/>
      <c r="M1784" s="39"/>
      <c r="N1784" s="39"/>
      <c r="O1784" s="39"/>
      <c r="P1784" s="39"/>
      <c r="Q1784" s="39">
        <v>0.83</v>
      </c>
      <c r="R1784" s="39"/>
      <c r="S1784" s="39"/>
      <c r="T1784" s="39"/>
      <c r="U1784" s="39"/>
      <c r="V1784" s="39"/>
      <c r="W1784" s="39"/>
      <c r="X1784" s="49" t="s">
        <v>103</v>
      </c>
      <c r="Y1784" s="50">
        <v>6022.8</v>
      </c>
      <c r="Z1784" s="51">
        <v>1920</v>
      </c>
      <c r="AA1784" s="52">
        <f t="shared" si="44"/>
        <v>0.318788603307432</v>
      </c>
      <c r="AB1784" s="12">
        <v>1920</v>
      </c>
      <c r="AC1784" s="12">
        <v>0</v>
      </c>
      <c r="AD1784" s="43"/>
      <c r="AE1784" s="43"/>
      <c r="AF1784" s="43"/>
      <c r="AG1784" s="43"/>
      <c r="AH1784" s="43"/>
      <c r="AI1784" s="43"/>
      <c r="AJ1784" s="43"/>
      <c r="AK1784" s="43"/>
      <c r="AL1784" s="43"/>
      <c r="AM1784" s="43"/>
      <c r="AN1784" s="43"/>
      <c r="AO1784" s="43"/>
      <c r="AP1784" s="43"/>
      <c r="AQ1784" s="43"/>
      <c r="AR1784" s="43"/>
      <c r="AS1784" s="43"/>
      <c r="AT1784" s="43"/>
      <c r="AU1784" s="43"/>
      <c r="AV1784" s="43"/>
    </row>
    <row r="1785" ht="15.75" spans="1:48">
      <c r="A1785" s="12">
        <v>1781</v>
      </c>
      <c r="B1785" s="69" t="s">
        <v>328</v>
      </c>
      <c r="C1785" s="45" t="s">
        <v>329</v>
      </c>
      <c r="D1785" s="46"/>
      <c r="E1785" s="47"/>
      <c r="F1785" s="48">
        <v>7.17</v>
      </c>
      <c r="G1785" s="38">
        <v>0.83</v>
      </c>
      <c r="H1785" s="39"/>
      <c r="I1785" s="39"/>
      <c r="J1785" s="39"/>
      <c r="K1785" s="39"/>
      <c r="L1785" s="39"/>
      <c r="M1785" s="39"/>
      <c r="N1785" s="39"/>
      <c r="O1785" s="39"/>
      <c r="P1785" s="39"/>
      <c r="Q1785" s="39">
        <v>0.83</v>
      </c>
      <c r="R1785" s="39"/>
      <c r="S1785" s="39"/>
      <c r="T1785" s="39"/>
      <c r="U1785" s="39"/>
      <c r="V1785" s="39"/>
      <c r="W1785" s="39"/>
      <c r="X1785" s="49" t="s">
        <v>103</v>
      </c>
      <c r="Y1785" s="50">
        <v>6022.8</v>
      </c>
      <c r="Z1785" s="51">
        <v>1771</v>
      </c>
      <c r="AA1785" s="52">
        <f t="shared" si="44"/>
        <v>0.294049279404928</v>
      </c>
      <c r="AB1785" s="12">
        <v>1771</v>
      </c>
      <c r="AC1785" s="12">
        <v>0</v>
      </c>
      <c r="AD1785" s="43"/>
      <c r="AE1785" s="43"/>
      <c r="AF1785" s="43"/>
      <c r="AG1785" s="43"/>
      <c r="AH1785" s="43"/>
      <c r="AI1785" s="43"/>
      <c r="AJ1785" s="43"/>
      <c r="AK1785" s="43"/>
      <c r="AL1785" s="43"/>
      <c r="AM1785" s="43"/>
      <c r="AN1785" s="43"/>
      <c r="AO1785" s="43"/>
      <c r="AP1785" s="43"/>
      <c r="AQ1785" s="43"/>
      <c r="AR1785" s="43"/>
      <c r="AS1785" s="43"/>
      <c r="AT1785" s="43"/>
      <c r="AU1785" s="43"/>
      <c r="AV1785" s="43"/>
    </row>
    <row r="1786" ht="15.75" spans="1:48">
      <c r="A1786" s="12">
        <v>1782</v>
      </c>
      <c r="B1786" s="69" t="s">
        <v>337</v>
      </c>
      <c r="C1786" s="45" t="s">
        <v>338</v>
      </c>
      <c r="D1786" s="46"/>
      <c r="E1786" s="47"/>
      <c r="F1786" s="48">
        <v>7.17</v>
      </c>
      <c r="G1786" s="38">
        <v>0.83</v>
      </c>
      <c r="H1786" s="39"/>
      <c r="I1786" s="39"/>
      <c r="J1786" s="39"/>
      <c r="K1786" s="39"/>
      <c r="L1786" s="39"/>
      <c r="M1786" s="39"/>
      <c r="N1786" s="39"/>
      <c r="O1786" s="39"/>
      <c r="P1786" s="39"/>
      <c r="Q1786" s="39">
        <v>0.83</v>
      </c>
      <c r="R1786" s="39"/>
      <c r="S1786" s="39"/>
      <c r="T1786" s="39"/>
      <c r="U1786" s="39"/>
      <c r="V1786" s="39"/>
      <c r="W1786" s="39"/>
      <c r="X1786" s="49" t="s">
        <v>103</v>
      </c>
      <c r="Y1786" s="50">
        <v>6022.8</v>
      </c>
      <c r="Z1786" s="51">
        <v>2119</v>
      </c>
      <c r="AA1786" s="52">
        <f t="shared" si="44"/>
        <v>0.3518297137544</v>
      </c>
      <c r="AB1786" s="12">
        <v>2119</v>
      </c>
      <c r="AC1786" s="12">
        <v>0</v>
      </c>
      <c r="AD1786" s="43"/>
      <c r="AE1786" s="43"/>
      <c r="AF1786" s="43"/>
      <c r="AG1786" s="43"/>
      <c r="AH1786" s="43"/>
      <c r="AI1786" s="43"/>
      <c r="AJ1786" s="43"/>
      <c r="AK1786" s="43"/>
      <c r="AL1786" s="43"/>
      <c r="AM1786" s="43"/>
      <c r="AN1786" s="43"/>
      <c r="AO1786" s="43"/>
      <c r="AP1786" s="43"/>
      <c r="AQ1786" s="43"/>
      <c r="AR1786" s="43"/>
      <c r="AS1786" s="43"/>
      <c r="AT1786" s="43"/>
      <c r="AU1786" s="43"/>
      <c r="AV1786" s="43"/>
    </row>
    <row r="1787" ht="15.75" spans="1:48">
      <c r="A1787" s="12">
        <v>1783</v>
      </c>
      <c r="B1787" s="44">
        <v>947</v>
      </c>
      <c r="C1787" s="45" t="s">
        <v>143</v>
      </c>
      <c r="D1787" s="46"/>
      <c r="E1787" s="47"/>
      <c r="F1787" s="48">
        <v>1</v>
      </c>
      <c r="G1787" s="38">
        <v>0</v>
      </c>
      <c r="H1787" s="39"/>
      <c r="I1787" s="39"/>
      <c r="J1787" s="39"/>
      <c r="K1787" s="39"/>
      <c r="L1787" s="39"/>
      <c r="M1787" s="39"/>
      <c r="N1787" s="39"/>
      <c r="O1787" s="39"/>
      <c r="P1787" s="39"/>
      <c r="Q1787" s="39"/>
      <c r="R1787" s="39"/>
      <c r="S1787" s="39"/>
      <c r="T1787" s="39"/>
      <c r="U1787" s="39"/>
      <c r="V1787" s="39"/>
      <c r="W1787" s="39"/>
      <c r="X1787" s="49" t="s">
        <v>103</v>
      </c>
      <c r="Y1787" s="50">
        <v>840</v>
      </c>
      <c r="Z1787" s="51">
        <v>965</v>
      </c>
      <c r="AA1787" s="52">
        <f t="shared" si="44"/>
        <v>1.14880952380952</v>
      </c>
      <c r="AB1787" s="12">
        <v>965</v>
      </c>
      <c r="AC1787" s="12">
        <v>0</v>
      </c>
      <c r="AD1787" s="43"/>
      <c r="AE1787" s="43"/>
      <c r="AF1787" s="43"/>
      <c r="AG1787" s="43"/>
      <c r="AH1787" s="43"/>
      <c r="AI1787" s="43"/>
      <c r="AJ1787" s="43"/>
      <c r="AK1787" s="43"/>
      <c r="AL1787" s="43"/>
      <c r="AM1787" s="43"/>
      <c r="AN1787" s="43"/>
      <c r="AO1787" s="43"/>
      <c r="AP1787" s="43"/>
      <c r="AQ1787" s="43"/>
      <c r="AR1787" s="43"/>
      <c r="AS1787" s="43"/>
      <c r="AT1787" s="43"/>
      <c r="AU1787" s="43"/>
      <c r="AV1787" s="43"/>
    </row>
    <row r="1788" ht="15.75" spans="1:48">
      <c r="A1788" s="12">
        <v>1784</v>
      </c>
      <c r="B1788" s="44">
        <v>551</v>
      </c>
      <c r="C1788" s="45" t="s">
        <v>146</v>
      </c>
      <c r="D1788" s="46"/>
      <c r="E1788" s="47"/>
      <c r="F1788" s="48">
        <v>0.83</v>
      </c>
      <c r="G1788" s="38">
        <v>0</v>
      </c>
      <c r="H1788" s="39"/>
      <c r="I1788" s="39"/>
      <c r="J1788" s="39"/>
      <c r="K1788" s="39"/>
      <c r="L1788" s="39"/>
      <c r="M1788" s="39"/>
      <c r="N1788" s="39"/>
      <c r="O1788" s="39"/>
      <c r="P1788" s="39"/>
      <c r="Q1788" s="39"/>
      <c r="R1788" s="39"/>
      <c r="S1788" s="39"/>
      <c r="T1788" s="39"/>
      <c r="U1788" s="39"/>
      <c r="V1788" s="39"/>
      <c r="W1788" s="39"/>
      <c r="X1788" s="49" t="s">
        <v>103</v>
      </c>
      <c r="Y1788" s="50">
        <v>697.2</v>
      </c>
      <c r="Z1788" s="51">
        <v>660</v>
      </c>
      <c r="AA1788" s="52">
        <f t="shared" si="44"/>
        <v>0.946643717728055</v>
      </c>
      <c r="AB1788" s="12">
        <v>660</v>
      </c>
      <c r="AC1788" s="12">
        <v>0</v>
      </c>
      <c r="AD1788" s="43"/>
      <c r="AE1788" s="43"/>
      <c r="AF1788" s="43"/>
      <c r="AG1788" s="43"/>
      <c r="AH1788" s="43"/>
      <c r="AI1788" s="43"/>
      <c r="AJ1788" s="43"/>
      <c r="AK1788" s="43"/>
      <c r="AL1788" s="43"/>
      <c r="AM1788" s="43"/>
      <c r="AN1788" s="43"/>
      <c r="AO1788" s="43"/>
      <c r="AP1788" s="43"/>
      <c r="AQ1788" s="43"/>
      <c r="AR1788" s="43"/>
      <c r="AS1788" s="43"/>
      <c r="AT1788" s="43"/>
      <c r="AU1788" s="43"/>
      <c r="AV1788" s="43"/>
    </row>
    <row r="1789" ht="15.75" spans="1:48">
      <c r="A1789" s="12">
        <v>1785</v>
      </c>
      <c r="B1789" s="44">
        <v>4110</v>
      </c>
      <c r="C1789" s="45" t="s">
        <v>135</v>
      </c>
      <c r="D1789" s="46"/>
      <c r="E1789" s="47"/>
      <c r="F1789" s="48">
        <v>2.33</v>
      </c>
      <c r="G1789" s="38">
        <v>0</v>
      </c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  <c r="S1789" s="39"/>
      <c r="T1789" s="39"/>
      <c r="U1789" s="39"/>
      <c r="V1789" s="39"/>
      <c r="W1789" s="39"/>
      <c r="X1789" s="49" t="s">
        <v>104</v>
      </c>
      <c r="Y1789" s="50">
        <v>34950</v>
      </c>
      <c r="Z1789" s="51">
        <v>40000</v>
      </c>
      <c r="AA1789" s="52">
        <f t="shared" si="44"/>
        <v>1.1444921316166</v>
      </c>
      <c r="AB1789" s="12">
        <v>40000</v>
      </c>
      <c r="AC1789" s="12">
        <v>0</v>
      </c>
      <c r="AD1789" s="43"/>
      <c r="AE1789" s="43"/>
      <c r="AF1789" s="43"/>
      <c r="AG1789" s="43"/>
      <c r="AH1789" s="43"/>
      <c r="AI1789" s="43"/>
      <c r="AJ1789" s="43"/>
      <c r="AK1789" s="43"/>
      <c r="AL1789" s="43"/>
      <c r="AM1789" s="43"/>
      <c r="AN1789" s="43"/>
      <c r="AO1789" s="43"/>
      <c r="AP1789" s="43"/>
      <c r="AQ1789" s="43"/>
      <c r="AR1789" s="43"/>
      <c r="AS1789" s="43"/>
      <c r="AT1789" s="43"/>
      <c r="AU1789" s="43"/>
      <c r="AV1789" s="43"/>
    </row>
    <row r="1790" ht="15.75" spans="1:48">
      <c r="A1790" s="12">
        <v>1786</v>
      </c>
      <c r="B1790" s="44">
        <v>4110</v>
      </c>
      <c r="C1790" s="45" t="s">
        <v>135</v>
      </c>
      <c r="D1790" s="46"/>
      <c r="E1790" s="47"/>
      <c r="F1790" s="48">
        <v>3</v>
      </c>
      <c r="G1790" s="38">
        <v>0</v>
      </c>
      <c r="H1790" s="39"/>
      <c r="I1790" s="39"/>
      <c r="J1790" s="39"/>
      <c r="K1790" s="39"/>
      <c r="L1790" s="39"/>
      <c r="M1790" s="39"/>
      <c r="N1790" s="39"/>
      <c r="O1790" s="39"/>
      <c r="P1790" s="39"/>
      <c r="Q1790" s="39"/>
      <c r="R1790" s="39"/>
      <c r="S1790" s="39"/>
      <c r="T1790" s="39"/>
      <c r="U1790" s="39"/>
      <c r="V1790" s="39"/>
      <c r="W1790" s="39"/>
      <c r="X1790" s="49" t="s">
        <v>391</v>
      </c>
      <c r="Y1790" s="50">
        <v>1200</v>
      </c>
      <c r="Z1790" s="51">
        <v>1440</v>
      </c>
      <c r="AA1790" s="52">
        <f t="shared" si="44"/>
        <v>1.2</v>
      </c>
      <c r="AB1790" s="12">
        <v>1440</v>
      </c>
      <c r="AC1790" s="12">
        <v>0</v>
      </c>
      <c r="AD1790" s="43"/>
      <c r="AE1790" s="43"/>
      <c r="AF1790" s="43"/>
      <c r="AG1790" s="43"/>
      <c r="AH1790" s="43"/>
      <c r="AI1790" s="43"/>
      <c r="AJ1790" s="43"/>
      <c r="AK1790" s="43"/>
      <c r="AL1790" s="43"/>
      <c r="AM1790" s="43"/>
      <c r="AN1790" s="43"/>
      <c r="AO1790" s="43"/>
      <c r="AP1790" s="43"/>
      <c r="AQ1790" s="43"/>
      <c r="AR1790" s="43"/>
      <c r="AS1790" s="43"/>
      <c r="AT1790" s="43"/>
      <c r="AU1790" s="43"/>
      <c r="AV1790" s="43"/>
    </row>
    <row r="1791" ht="15.75" spans="1:48">
      <c r="A1791" s="12">
        <v>1787</v>
      </c>
      <c r="B1791" s="44" t="s">
        <v>392</v>
      </c>
      <c r="C1791" s="45" t="e">
        <v>#N/A</v>
      </c>
      <c r="D1791" s="46"/>
      <c r="E1791" s="47"/>
      <c r="F1791" s="48">
        <v>7.17</v>
      </c>
      <c r="G1791" s="38">
        <v>0.83</v>
      </c>
      <c r="H1791" s="39"/>
      <c r="I1791" s="39"/>
      <c r="J1791" s="39"/>
      <c r="K1791" s="39"/>
      <c r="L1791" s="39"/>
      <c r="M1791" s="39"/>
      <c r="N1791" s="39"/>
      <c r="O1791" s="39"/>
      <c r="P1791" s="39"/>
      <c r="Q1791" s="39">
        <v>0.83</v>
      </c>
      <c r="R1791" s="39"/>
      <c r="S1791" s="39"/>
      <c r="T1791" s="39"/>
      <c r="U1791" s="39"/>
      <c r="V1791" s="39"/>
      <c r="W1791" s="39"/>
      <c r="X1791" s="49" t="s">
        <v>103</v>
      </c>
      <c r="Y1791" s="50">
        <v>6022.8</v>
      </c>
      <c r="Z1791" s="51">
        <v>2760</v>
      </c>
      <c r="AA1791" s="52">
        <f t="shared" si="44"/>
        <v>0.458258617254433</v>
      </c>
      <c r="AB1791" s="12">
        <v>2760</v>
      </c>
      <c r="AC1791" s="12">
        <v>0</v>
      </c>
      <c r="AD1791" s="43"/>
      <c r="AE1791" s="43"/>
      <c r="AF1791" s="43"/>
      <c r="AG1791" s="43"/>
      <c r="AH1791" s="43"/>
      <c r="AI1791" s="43"/>
      <c r="AJ1791" s="43"/>
      <c r="AK1791" s="43"/>
      <c r="AL1791" s="43"/>
      <c r="AM1791" s="43"/>
      <c r="AN1791" s="43"/>
      <c r="AO1791" s="43"/>
      <c r="AP1791" s="43"/>
      <c r="AQ1791" s="43"/>
      <c r="AR1791" s="43"/>
      <c r="AS1791" s="43"/>
      <c r="AT1791" s="43"/>
      <c r="AU1791" s="43"/>
      <c r="AV1791" s="43"/>
    </row>
    <row r="1792" ht="15.75" spans="1:48">
      <c r="A1792" s="12">
        <v>1788</v>
      </c>
      <c r="B1792" s="44">
        <v>692</v>
      </c>
      <c r="C1792" s="45" t="s">
        <v>142</v>
      </c>
      <c r="D1792" s="46"/>
      <c r="E1792" s="47"/>
      <c r="F1792" s="48">
        <v>0.83</v>
      </c>
      <c r="G1792" s="38">
        <v>0.17</v>
      </c>
      <c r="H1792" s="39"/>
      <c r="I1792" s="39"/>
      <c r="J1792" s="39"/>
      <c r="K1792" s="39"/>
      <c r="L1792" s="39"/>
      <c r="M1792" s="39"/>
      <c r="N1792" s="39"/>
      <c r="O1792" s="39"/>
      <c r="P1792" s="39"/>
      <c r="Q1792" s="39">
        <v>0.17</v>
      </c>
      <c r="R1792" s="39"/>
      <c r="S1792" s="39"/>
      <c r="T1792" s="39"/>
      <c r="U1792" s="39"/>
      <c r="V1792" s="39"/>
      <c r="W1792" s="39"/>
      <c r="X1792" s="49" t="s">
        <v>102</v>
      </c>
      <c r="Y1792" s="50">
        <v>3735</v>
      </c>
      <c r="Z1792" s="51">
        <v>1500</v>
      </c>
      <c r="AA1792" s="52">
        <f t="shared" si="44"/>
        <v>0.401606425702811</v>
      </c>
      <c r="AB1792" s="12">
        <v>1500</v>
      </c>
      <c r="AC1792" s="12">
        <v>0</v>
      </c>
      <c r="AD1792" s="43"/>
      <c r="AE1792" s="43"/>
      <c r="AF1792" s="43"/>
      <c r="AG1792" s="43"/>
      <c r="AH1792" s="43"/>
      <c r="AI1792" s="43"/>
      <c r="AJ1792" s="43"/>
      <c r="AK1792" s="43"/>
      <c r="AL1792" s="43"/>
      <c r="AM1792" s="43"/>
      <c r="AN1792" s="43"/>
      <c r="AO1792" s="43"/>
      <c r="AP1792" s="43"/>
      <c r="AQ1792" s="43"/>
      <c r="AR1792" s="43"/>
      <c r="AS1792" s="43"/>
      <c r="AT1792" s="43"/>
      <c r="AU1792" s="43"/>
      <c r="AV1792" s="43"/>
    </row>
    <row r="1793" ht="15.75" spans="1:48">
      <c r="A1793" s="12">
        <v>1789</v>
      </c>
      <c r="B1793" s="44">
        <v>692</v>
      </c>
      <c r="C1793" s="45" t="s">
        <v>142</v>
      </c>
      <c r="D1793" s="46"/>
      <c r="E1793" s="47"/>
      <c r="F1793" s="48">
        <v>2.17</v>
      </c>
      <c r="G1793" s="38">
        <v>0</v>
      </c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  <c r="S1793" s="39"/>
      <c r="T1793" s="39"/>
      <c r="U1793" s="39"/>
      <c r="V1793" s="39"/>
      <c r="W1793" s="39"/>
      <c r="X1793" s="49" t="s">
        <v>103</v>
      </c>
      <c r="Y1793" s="50">
        <v>1822.8</v>
      </c>
      <c r="Z1793" s="51">
        <v>840</v>
      </c>
      <c r="AA1793" s="52">
        <f t="shared" si="44"/>
        <v>0.460829493087558</v>
      </c>
      <c r="AB1793" s="12">
        <v>840</v>
      </c>
      <c r="AC1793" s="12">
        <v>0</v>
      </c>
      <c r="AD1793" s="43"/>
      <c r="AE1793" s="43"/>
      <c r="AF1793" s="43"/>
      <c r="AG1793" s="43"/>
      <c r="AH1793" s="43"/>
      <c r="AI1793" s="43"/>
      <c r="AJ1793" s="43"/>
      <c r="AK1793" s="43"/>
      <c r="AL1793" s="43"/>
      <c r="AM1793" s="43"/>
      <c r="AN1793" s="43"/>
      <c r="AO1793" s="43"/>
      <c r="AP1793" s="43"/>
      <c r="AQ1793" s="43"/>
      <c r="AR1793" s="43"/>
      <c r="AS1793" s="43"/>
      <c r="AT1793" s="43"/>
      <c r="AU1793" s="43"/>
      <c r="AV1793" s="43"/>
    </row>
    <row r="1794" ht="15.75" spans="1:48">
      <c r="A1794" s="12">
        <v>1790</v>
      </c>
      <c r="B1794" s="44">
        <v>692</v>
      </c>
      <c r="C1794" s="45" t="s">
        <v>142</v>
      </c>
      <c r="D1794" s="46"/>
      <c r="E1794" s="47"/>
      <c r="F1794" s="48">
        <v>0.83</v>
      </c>
      <c r="G1794" s="38">
        <v>0</v>
      </c>
      <c r="H1794" s="39"/>
      <c r="I1794" s="39"/>
      <c r="J1794" s="39"/>
      <c r="K1794" s="39"/>
      <c r="L1794" s="39"/>
      <c r="M1794" s="39"/>
      <c r="N1794" s="39"/>
      <c r="O1794" s="39"/>
      <c r="P1794" s="39"/>
      <c r="Q1794" s="39"/>
      <c r="R1794" s="39"/>
      <c r="S1794" s="39"/>
      <c r="T1794" s="39"/>
      <c r="U1794" s="39"/>
      <c r="V1794" s="39"/>
      <c r="W1794" s="39"/>
      <c r="X1794" s="49" t="s">
        <v>100</v>
      </c>
      <c r="Y1794" s="50">
        <v>1593.6</v>
      </c>
      <c r="Z1794" s="51">
        <v>540</v>
      </c>
      <c r="AA1794" s="52">
        <f t="shared" si="44"/>
        <v>0.338855421686747</v>
      </c>
      <c r="AB1794" s="12">
        <v>540</v>
      </c>
      <c r="AC1794" s="12">
        <v>0</v>
      </c>
      <c r="AD1794" s="43"/>
      <c r="AE1794" s="43"/>
      <c r="AF1794" s="43"/>
      <c r="AG1794" s="43"/>
      <c r="AH1794" s="43"/>
      <c r="AI1794" s="43"/>
      <c r="AJ1794" s="43"/>
      <c r="AK1794" s="43"/>
      <c r="AL1794" s="43"/>
      <c r="AM1794" s="43"/>
      <c r="AN1794" s="43"/>
      <c r="AO1794" s="43"/>
      <c r="AP1794" s="43"/>
      <c r="AQ1794" s="43"/>
      <c r="AR1794" s="43"/>
      <c r="AS1794" s="43"/>
      <c r="AT1794" s="43"/>
      <c r="AU1794" s="43"/>
      <c r="AV1794" s="43"/>
    </row>
    <row r="1795" ht="15.75" spans="1:48">
      <c r="A1795" s="12">
        <v>1791</v>
      </c>
      <c r="B1795" s="44">
        <v>666</v>
      </c>
      <c r="C1795" s="45" t="s">
        <v>151</v>
      </c>
      <c r="D1795" s="46"/>
      <c r="E1795" s="47"/>
      <c r="F1795" s="48">
        <v>1.83</v>
      </c>
      <c r="G1795" s="38">
        <v>2.83</v>
      </c>
      <c r="H1795" s="39"/>
      <c r="I1795" s="39"/>
      <c r="J1795" s="39"/>
      <c r="K1795" s="39"/>
      <c r="L1795" s="39"/>
      <c r="M1795" s="39"/>
      <c r="N1795" s="39"/>
      <c r="O1795" s="39"/>
      <c r="P1795" s="39"/>
      <c r="Q1795" s="39">
        <v>0.83</v>
      </c>
      <c r="R1795" s="39"/>
      <c r="S1795" s="39">
        <v>1.83</v>
      </c>
      <c r="T1795" s="39"/>
      <c r="U1795" s="39">
        <v>0.17</v>
      </c>
      <c r="V1795" s="39"/>
      <c r="W1795" s="39"/>
      <c r="X1795" s="49" t="s">
        <v>100</v>
      </c>
      <c r="Y1795" s="50">
        <v>3513.6</v>
      </c>
      <c r="Z1795" s="51">
        <v>3240</v>
      </c>
      <c r="AA1795" s="52">
        <f t="shared" si="44"/>
        <v>0.922131147540984</v>
      </c>
      <c r="AB1795" s="12">
        <v>3240</v>
      </c>
      <c r="AC1795" s="12">
        <v>0</v>
      </c>
      <c r="AD1795" s="43"/>
      <c r="AE1795" s="43"/>
      <c r="AF1795" s="43"/>
      <c r="AG1795" s="43"/>
      <c r="AH1795" s="43"/>
      <c r="AI1795" s="43"/>
      <c r="AJ1795" s="43"/>
      <c r="AK1795" s="43"/>
      <c r="AL1795" s="43"/>
      <c r="AM1795" s="43"/>
      <c r="AN1795" s="43"/>
      <c r="AO1795" s="43"/>
      <c r="AP1795" s="43"/>
      <c r="AQ1795" s="43"/>
      <c r="AR1795" s="43"/>
      <c r="AS1795" s="43"/>
      <c r="AT1795" s="43"/>
      <c r="AU1795" s="43"/>
      <c r="AV1795" s="43"/>
    </row>
    <row r="1796" ht="15.75" spans="1:48">
      <c r="A1796" s="12">
        <v>1792</v>
      </c>
      <c r="B1796" s="44">
        <v>666</v>
      </c>
      <c r="C1796" s="45" t="s">
        <v>151</v>
      </c>
      <c r="D1796" s="46"/>
      <c r="E1796" s="47"/>
      <c r="F1796" s="48">
        <v>0.67</v>
      </c>
      <c r="G1796" s="38">
        <v>0</v>
      </c>
      <c r="H1796" s="39"/>
      <c r="I1796" s="39"/>
      <c r="J1796" s="39"/>
      <c r="K1796" s="39"/>
      <c r="L1796" s="39"/>
      <c r="M1796" s="39"/>
      <c r="N1796" s="39"/>
      <c r="O1796" s="39"/>
      <c r="P1796" s="39"/>
      <c r="Q1796" s="39"/>
      <c r="R1796" s="39"/>
      <c r="S1796" s="39"/>
      <c r="T1796" s="39"/>
      <c r="U1796" s="39"/>
      <c r="V1796" s="39"/>
      <c r="W1796" s="39"/>
      <c r="X1796" s="49" t="s">
        <v>101</v>
      </c>
      <c r="Y1796" s="50">
        <v>1286.4</v>
      </c>
      <c r="Z1796" s="51">
        <v>1080</v>
      </c>
      <c r="AA1796" s="52">
        <f t="shared" si="44"/>
        <v>0.83955223880597</v>
      </c>
      <c r="AB1796" s="12">
        <v>1080</v>
      </c>
      <c r="AC1796" s="12">
        <v>0</v>
      </c>
      <c r="AD1796" s="43"/>
      <c r="AE1796" s="43"/>
      <c r="AF1796" s="43"/>
      <c r="AG1796" s="43"/>
      <c r="AH1796" s="43"/>
      <c r="AI1796" s="43"/>
      <c r="AJ1796" s="43"/>
      <c r="AK1796" s="43"/>
      <c r="AL1796" s="43"/>
      <c r="AM1796" s="43"/>
      <c r="AN1796" s="43"/>
      <c r="AO1796" s="43"/>
      <c r="AP1796" s="43"/>
      <c r="AQ1796" s="43"/>
      <c r="AR1796" s="43"/>
      <c r="AS1796" s="43"/>
      <c r="AT1796" s="43"/>
      <c r="AU1796" s="43"/>
      <c r="AV1796" s="43"/>
    </row>
    <row r="1797" ht="15.75" spans="1:48">
      <c r="A1797" s="12">
        <v>1793</v>
      </c>
      <c r="B1797" s="44">
        <v>666</v>
      </c>
      <c r="C1797" s="45" t="s">
        <v>151</v>
      </c>
      <c r="D1797" s="46"/>
      <c r="E1797" s="47"/>
      <c r="F1797" s="48">
        <v>1.67</v>
      </c>
      <c r="G1797" s="38">
        <v>0</v>
      </c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  <c r="S1797" s="39"/>
      <c r="T1797" s="39"/>
      <c r="U1797" s="39"/>
      <c r="V1797" s="39"/>
      <c r="W1797" s="39"/>
      <c r="X1797" s="49" t="s">
        <v>235</v>
      </c>
      <c r="Y1797" s="50">
        <v>0</v>
      </c>
      <c r="Z1797" s="51">
        <v>227</v>
      </c>
      <c r="AA1797" s="52">
        <f t="shared" si="44"/>
        <v>0</v>
      </c>
      <c r="AB1797" s="12">
        <v>227</v>
      </c>
      <c r="AC1797" s="12">
        <v>0</v>
      </c>
      <c r="AD1797" s="43"/>
      <c r="AE1797" s="43"/>
      <c r="AF1797" s="43"/>
      <c r="AG1797" s="43"/>
      <c r="AH1797" s="43"/>
      <c r="AI1797" s="43"/>
      <c r="AJ1797" s="43"/>
      <c r="AK1797" s="43"/>
      <c r="AL1797" s="43"/>
      <c r="AM1797" s="43"/>
      <c r="AN1797" s="43"/>
      <c r="AO1797" s="43"/>
      <c r="AP1797" s="43"/>
      <c r="AQ1797" s="43"/>
      <c r="AR1797" s="43"/>
      <c r="AS1797" s="43"/>
      <c r="AT1797" s="43"/>
      <c r="AU1797" s="43"/>
      <c r="AV1797" s="43"/>
    </row>
    <row r="1798" ht="15.75" spans="1:48">
      <c r="A1798" s="12">
        <v>1794</v>
      </c>
      <c r="B1798" s="44">
        <v>4342</v>
      </c>
      <c r="C1798" s="45" t="s">
        <v>147</v>
      </c>
      <c r="D1798" s="46"/>
      <c r="E1798" s="47"/>
      <c r="F1798" s="48">
        <v>1.67</v>
      </c>
      <c r="G1798" s="38">
        <v>0</v>
      </c>
      <c r="H1798" s="39"/>
      <c r="I1798" s="39"/>
      <c r="J1798" s="39"/>
      <c r="K1798" s="39"/>
      <c r="L1798" s="39"/>
      <c r="M1798" s="39"/>
      <c r="N1798" s="39"/>
      <c r="O1798" s="39"/>
      <c r="P1798" s="39"/>
      <c r="Q1798" s="39"/>
      <c r="R1798" s="39"/>
      <c r="S1798" s="39"/>
      <c r="T1798" s="39"/>
      <c r="U1798" s="39"/>
      <c r="V1798" s="39"/>
      <c r="W1798" s="39"/>
      <c r="X1798" s="49" t="s">
        <v>235</v>
      </c>
      <c r="Y1798" s="50">
        <v>0</v>
      </c>
      <c r="Z1798" s="51">
        <v>220</v>
      </c>
      <c r="AA1798" s="52">
        <f t="shared" si="44"/>
        <v>0</v>
      </c>
      <c r="AB1798" s="12">
        <v>220</v>
      </c>
      <c r="AC1798" s="12">
        <v>0</v>
      </c>
      <c r="AD1798" s="43"/>
      <c r="AE1798" s="43"/>
      <c r="AF1798" s="43"/>
      <c r="AG1798" s="43"/>
      <c r="AH1798" s="43"/>
      <c r="AI1798" s="43"/>
      <c r="AJ1798" s="43"/>
      <c r="AK1798" s="43"/>
      <c r="AL1798" s="43"/>
      <c r="AM1798" s="43"/>
      <c r="AN1798" s="43"/>
      <c r="AO1798" s="43"/>
      <c r="AP1798" s="43"/>
      <c r="AQ1798" s="43"/>
      <c r="AR1798" s="43"/>
      <c r="AS1798" s="43"/>
      <c r="AT1798" s="43"/>
      <c r="AU1798" s="43"/>
      <c r="AV1798" s="43"/>
    </row>
    <row r="1799" ht="15.75" spans="1:48">
      <c r="A1799" s="12">
        <v>1795</v>
      </c>
      <c r="B1799" s="44" t="s">
        <v>339</v>
      </c>
      <c r="C1799" s="45" t="s">
        <v>340</v>
      </c>
      <c r="D1799" s="46"/>
      <c r="E1799" s="47"/>
      <c r="F1799" s="48">
        <v>7</v>
      </c>
      <c r="G1799" s="38">
        <v>1</v>
      </c>
      <c r="H1799" s="39"/>
      <c r="I1799" s="39"/>
      <c r="J1799" s="39"/>
      <c r="K1799" s="39"/>
      <c r="L1799" s="39"/>
      <c r="M1799" s="39"/>
      <c r="N1799" s="39"/>
      <c r="O1799" s="39"/>
      <c r="P1799" s="39"/>
      <c r="Q1799" s="39">
        <v>0.83</v>
      </c>
      <c r="R1799" s="39"/>
      <c r="S1799" s="39"/>
      <c r="T1799" s="39"/>
      <c r="U1799" s="39">
        <v>0.17</v>
      </c>
      <c r="V1799" s="39"/>
      <c r="W1799" s="39"/>
      <c r="X1799" s="49" t="s">
        <v>103</v>
      </c>
      <c r="Y1799" s="50">
        <v>4410</v>
      </c>
      <c r="Z1799" s="51">
        <v>4080</v>
      </c>
      <c r="AA1799" s="52">
        <f t="shared" si="44"/>
        <v>0.925170068027211</v>
      </c>
      <c r="AB1799" s="12">
        <v>4080</v>
      </c>
      <c r="AC1799" s="12">
        <v>0</v>
      </c>
      <c r="AD1799" s="43"/>
      <c r="AE1799" s="43"/>
      <c r="AF1799" s="43"/>
      <c r="AG1799" s="43"/>
      <c r="AH1799" s="43"/>
      <c r="AI1799" s="43"/>
      <c r="AJ1799" s="43"/>
      <c r="AK1799" s="43"/>
      <c r="AL1799" s="43"/>
      <c r="AM1799" s="43"/>
      <c r="AN1799" s="43"/>
      <c r="AO1799" s="43"/>
      <c r="AP1799" s="43"/>
      <c r="AQ1799" s="43"/>
      <c r="AR1799" s="43"/>
      <c r="AS1799" s="43"/>
      <c r="AT1799" s="43"/>
      <c r="AU1799" s="43"/>
      <c r="AV1799" s="43"/>
    </row>
    <row r="1800" ht="15.75" spans="1:48">
      <c r="A1800" s="12">
        <v>1796</v>
      </c>
      <c r="B1800" s="44">
        <v>1733</v>
      </c>
      <c r="C1800" s="45" t="s">
        <v>153</v>
      </c>
      <c r="D1800" s="46"/>
      <c r="E1800" s="47"/>
      <c r="F1800" s="48">
        <v>6.34</v>
      </c>
      <c r="G1800" s="38">
        <v>0.83</v>
      </c>
      <c r="H1800" s="39"/>
      <c r="I1800" s="39"/>
      <c r="J1800" s="39"/>
      <c r="K1800" s="39"/>
      <c r="L1800" s="39"/>
      <c r="M1800" s="39"/>
      <c r="N1800" s="39"/>
      <c r="O1800" s="39"/>
      <c r="P1800" s="39"/>
      <c r="Q1800" s="39">
        <v>0.83</v>
      </c>
      <c r="R1800" s="39"/>
      <c r="S1800" s="39"/>
      <c r="T1800" s="39"/>
      <c r="U1800" s="39"/>
      <c r="V1800" s="39"/>
      <c r="W1800" s="39"/>
      <c r="X1800" s="49" t="s">
        <v>103</v>
      </c>
      <c r="Y1800" s="50">
        <v>5325.6</v>
      </c>
      <c r="Z1800" s="51">
        <v>2760</v>
      </c>
      <c r="AA1800" s="52">
        <f t="shared" si="44"/>
        <v>0.518251464623704</v>
      </c>
      <c r="AB1800" s="12">
        <v>2760</v>
      </c>
      <c r="AC1800" s="12">
        <v>0</v>
      </c>
      <c r="AD1800" s="43"/>
      <c r="AE1800" s="43"/>
      <c r="AF1800" s="43"/>
      <c r="AG1800" s="43"/>
      <c r="AH1800" s="43"/>
      <c r="AI1800" s="43"/>
      <c r="AJ1800" s="43"/>
      <c r="AK1800" s="43"/>
      <c r="AL1800" s="43"/>
      <c r="AM1800" s="43"/>
      <c r="AN1800" s="43"/>
      <c r="AO1800" s="43"/>
      <c r="AP1800" s="43"/>
      <c r="AQ1800" s="43"/>
      <c r="AR1800" s="43"/>
      <c r="AS1800" s="43"/>
      <c r="AT1800" s="43"/>
      <c r="AU1800" s="43"/>
      <c r="AV1800" s="43"/>
    </row>
    <row r="1801" ht="15.75" spans="1:48">
      <c r="A1801" s="12">
        <v>1797</v>
      </c>
      <c r="B1801" s="44">
        <v>1733</v>
      </c>
      <c r="C1801" s="45" t="s">
        <v>153</v>
      </c>
      <c r="D1801" s="46"/>
      <c r="E1801" s="47"/>
      <c r="F1801" s="48">
        <v>0.83</v>
      </c>
      <c r="G1801" s="38">
        <v>0</v>
      </c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  <c r="S1801" s="39"/>
      <c r="T1801" s="39"/>
      <c r="U1801" s="39"/>
      <c r="V1801" s="39"/>
      <c r="W1801" s="39"/>
      <c r="X1801" s="49" t="s">
        <v>391</v>
      </c>
      <c r="Y1801" s="50">
        <v>332</v>
      </c>
      <c r="Z1801" s="51">
        <v>160</v>
      </c>
      <c r="AA1801" s="52">
        <f t="shared" si="44"/>
        <v>0.481927710843373</v>
      </c>
      <c r="AB1801" s="12">
        <v>160</v>
      </c>
      <c r="AC1801" s="12">
        <v>0</v>
      </c>
      <c r="AD1801" s="43"/>
      <c r="AE1801" s="43"/>
      <c r="AF1801" s="43"/>
      <c r="AG1801" s="43"/>
      <c r="AH1801" s="43"/>
      <c r="AI1801" s="43"/>
      <c r="AJ1801" s="43"/>
      <c r="AK1801" s="43"/>
      <c r="AL1801" s="43"/>
      <c r="AM1801" s="43"/>
      <c r="AN1801" s="43"/>
      <c r="AO1801" s="43"/>
      <c r="AP1801" s="43"/>
      <c r="AQ1801" s="43"/>
      <c r="AR1801" s="43"/>
      <c r="AS1801" s="43"/>
      <c r="AT1801" s="43"/>
      <c r="AU1801" s="43"/>
      <c r="AV1801" s="43"/>
    </row>
    <row r="1802" ht="15.75" spans="1:48">
      <c r="A1802" s="12">
        <v>1798</v>
      </c>
      <c r="B1802" s="44">
        <v>3187</v>
      </c>
      <c r="C1802" s="45" t="s">
        <v>52</v>
      </c>
      <c r="D1802" s="46" t="s">
        <v>202</v>
      </c>
      <c r="E1802" s="47" t="s">
        <v>50</v>
      </c>
      <c r="F1802" s="48">
        <v>10.33</v>
      </c>
      <c r="G1802" s="38">
        <v>1.67</v>
      </c>
      <c r="H1802" s="39"/>
      <c r="I1802" s="39"/>
      <c r="J1802" s="39"/>
      <c r="K1802" s="39"/>
      <c r="L1802" s="39"/>
      <c r="M1802" s="39"/>
      <c r="N1802" s="39"/>
      <c r="O1802" s="39"/>
      <c r="P1802" s="39"/>
      <c r="Q1802" s="39">
        <v>1.17</v>
      </c>
      <c r="R1802" s="39"/>
      <c r="S1802" s="39"/>
      <c r="T1802" s="39"/>
      <c r="U1802" s="39">
        <v>0.5</v>
      </c>
      <c r="V1802" s="39"/>
      <c r="W1802" s="39"/>
      <c r="X1802" s="49" t="s">
        <v>51</v>
      </c>
      <c r="Y1802" s="50">
        <v>32074.65</v>
      </c>
      <c r="Z1802" s="51">
        <v>32700</v>
      </c>
      <c r="AA1802" s="52">
        <f t="shared" si="44"/>
        <v>1.01949670534207</v>
      </c>
      <c r="AB1802" s="12">
        <v>32700</v>
      </c>
      <c r="AC1802" s="12">
        <v>0</v>
      </c>
      <c r="AD1802" s="43"/>
      <c r="AE1802" s="43"/>
      <c r="AF1802" s="43"/>
      <c r="AG1802" s="43"/>
      <c r="AH1802" s="43"/>
      <c r="AI1802" s="43"/>
      <c r="AJ1802" s="43"/>
      <c r="AK1802" s="43"/>
      <c r="AL1802" s="43"/>
      <c r="AM1802" s="43"/>
      <c r="AN1802" s="43"/>
      <c r="AO1802" s="43"/>
      <c r="AP1802" s="43"/>
      <c r="AQ1802" s="43"/>
      <c r="AR1802" s="43"/>
      <c r="AS1802" s="43"/>
      <c r="AT1802" s="43"/>
      <c r="AU1802" s="43"/>
      <c r="AV1802" s="43"/>
    </row>
    <row r="1803" ht="15.75" spans="1:48">
      <c r="A1803" s="12">
        <v>1799</v>
      </c>
      <c r="B1803" s="53" t="s">
        <v>393</v>
      </c>
      <c r="C1803" s="45" t="e">
        <v>#N/A</v>
      </c>
      <c r="D1803" s="46" t="s">
        <v>49</v>
      </c>
      <c r="E1803" s="47" t="s">
        <v>394</v>
      </c>
      <c r="F1803" s="48">
        <v>7</v>
      </c>
      <c r="G1803" s="38">
        <v>1</v>
      </c>
      <c r="H1803" s="39"/>
      <c r="I1803" s="39"/>
      <c r="J1803" s="39"/>
      <c r="K1803" s="39"/>
      <c r="L1803" s="39"/>
      <c r="M1803" s="39"/>
      <c r="N1803" s="39"/>
      <c r="O1803" s="39"/>
      <c r="P1803" s="39"/>
      <c r="Q1803" s="39">
        <v>0.83</v>
      </c>
      <c r="R1803" s="39"/>
      <c r="S1803" s="39"/>
      <c r="T1803" s="39"/>
      <c r="U1803" s="39">
        <v>0.17</v>
      </c>
      <c r="V1803" s="39"/>
      <c r="W1803" s="39"/>
      <c r="X1803" s="49" t="s">
        <v>395</v>
      </c>
      <c r="Y1803" s="50">
        <v>28616</v>
      </c>
      <c r="Z1803" s="51">
        <v>18400</v>
      </c>
      <c r="AA1803" s="52">
        <f t="shared" si="44"/>
        <v>0.642996924797316</v>
      </c>
      <c r="AB1803" s="12">
        <v>18400</v>
      </c>
      <c r="AC1803" s="12">
        <v>0</v>
      </c>
      <c r="AD1803" s="43"/>
      <c r="AE1803" s="43"/>
      <c r="AF1803" s="43"/>
      <c r="AG1803" s="43"/>
      <c r="AH1803" s="43"/>
      <c r="AI1803" s="43"/>
      <c r="AJ1803" s="43"/>
      <c r="AK1803" s="43"/>
      <c r="AL1803" s="43"/>
      <c r="AM1803" s="43"/>
      <c r="AN1803" s="43"/>
      <c r="AO1803" s="43"/>
      <c r="AP1803" s="43"/>
      <c r="AQ1803" s="43"/>
      <c r="AR1803" s="43"/>
      <c r="AS1803" s="43"/>
      <c r="AT1803" s="43"/>
      <c r="AU1803" s="43"/>
      <c r="AV1803" s="43"/>
    </row>
    <row r="1804" ht="15.75" spans="1:48">
      <c r="A1804" s="12">
        <v>1800</v>
      </c>
      <c r="B1804" s="44">
        <v>3111</v>
      </c>
      <c r="C1804" s="45" t="s">
        <v>124</v>
      </c>
      <c r="D1804" s="46" t="s">
        <v>53</v>
      </c>
      <c r="E1804" s="47" t="s">
        <v>50</v>
      </c>
      <c r="F1804" s="48">
        <v>7.33</v>
      </c>
      <c r="G1804" s="38">
        <v>1.84</v>
      </c>
      <c r="H1804" s="39"/>
      <c r="I1804" s="39"/>
      <c r="J1804" s="39"/>
      <c r="K1804" s="39"/>
      <c r="L1804" s="39"/>
      <c r="M1804" s="39"/>
      <c r="N1804" s="39"/>
      <c r="O1804" s="39"/>
      <c r="P1804" s="39"/>
      <c r="Q1804" s="39">
        <v>1.17</v>
      </c>
      <c r="R1804" s="39"/>
      <c r="S1804" s="39"/>
      <c r="T1804" s="39"/>
      <c r="U1804" s="39">
        <v>0.17</v>
      </c>
      <c r="V1804" s="39">
        <v>0.5</v>
      </c>
      <c r="W1804" s="39"/>
      <c r="X1804" s="49" t="s">
        <v>55</v>
      </c>
      <c r="Y1804" s="50">
        <v>17701.95</v>
      </c>
      <c r="Z1804" s="51">
        <v>18000</v>
      </c>
      <c r="AA1804" s="52">
        <f t="shared" si="44"/>
        <v>1.016837128113</v>
      </c>
      <c r="AB1804" s="12">
        <v>18000</v>
      </c>
      <c r="AC1804" s="12">
        <v>0</v>
      </c>
      <c r="AD1804" s="43"/>
      <c r="AE1804" s="43"/>
      <c r="AF1804" s="43"/>
      <c r="AG1804" s="43"/>
      <c r="AH1804" s="43"/>
      <c r="AI1804" s="43"/>
      <c r="AJ1804" s="43"/>
      <c r="AK1804" s="43"/>
      <c r="AL1804" s="43"/>
      <c r="AM1804" s="43"/>
      <c r="AN1804" s="43"/>
      <c r="AO1804" s="43"/>
      <c r="AP1804" s="43"/>
      <c r="AQ1804" s="43"/>
      <c r="AR1804" s="43"/>
      <c r="AS1804" s="43"/>
      <c r="AT1804" s="43"/>
      <c r="AU1804" s="43"/>
      <c r="AV1804" s="43"/>
    </row>
    <row r="1805" ht="15.75" spans="1:48">
      <c r="A1805" s="12">
        <v>1801</v>
      </c>
      <c r="B1805" s="71" t="s">
        <v>299</v>
      </c>
      <c r="C1805" s="45" t="s">
        <v>300</v>
      </c>
      <c r="D1805" s="46">
        <v>12</v>
      </c>
      <c r="E1805" s="47" t="s">
        <v>50</v>
      </c>
      <c r="F1805" s="48">
        <v>7.67</v>
      </c>
      <c r="G1805" s="38">
        <v>1</v>
      </c>
      <c r="H1805" s="39"/>
      <c r="I1805" s="39"/>
      <c r="J1805" s="39"/>
      <c r="K1805" s="39"/>
      <c r="L1805" s="39"/>
      <c r="M1805" s="39"/>
      <c r="N1805" s="39"/>
      <c r="O1805" s="39"/>
      <c r="P1805" s="39"/>
      <c r="Q1805" s="39">
        <v>1</v>
      </c>
      <c r="R1805" s="39"/>
      <c r="S1805" s="39"/>
      <c r="T1805" s="39"/>
      <c r="U1805" s="39"/>
      <c r="V1805" s="39"/>
      <c r="W1805" s="39"/>
      <c r="X1805" s="49" t="s">
        <v>194</v>
      </c>
      <c r="Y1805" s="50">
        <v>2569.45</v>
      </c>
      <c r="Z1805" s="51">
        <v>1800</v>
      </c>
      <c r="AA1805" s="52">
        <f t="shared" si="44"/>
        <v>0.700539025861566</v>
      </c>
      <c r="AB1805" s="12">
        <v>1698</v>
      </c>
      <c r="AC1805" s="12">
        <v>102</v>
      </c>
      <c r="AD1805" s="19">
        <v>102</v>
      </c>
      <c r="AE1805" s="43"/>
      <c r="AF1805" s="43"/>
      <c r="AG1805" s="43"/>
      <c r="AH1805" s="43"/>
      <c r="AI1805" s="43"/>
      <c r="AJ1805" s="43"/>
      <c r="AK1805" s="43"/>
      <c r="AL1805" s="43"/>
      <c r="AM1805" s="43"/>
      <c r="AN1805" s="43"/>
      <c r="AO1805" s="43"/>
      <c r="AP1805" s="43"/>
      <c r="AQ1805" s="43"/>
      <c r="AR1805" s="43"/>
      <c r="AS1805" s="43"/>
      <c r="AT1805" s="43"/>
      <c r="AU1805" s="43"/>
      <c r="AV1805" s="43"/>
    </row>
    <row r="1806" ht="15.75" spans="1:48">
      <c r="A1806" s="12">
        <v>1802</v>
      </c>
      <c r="B1806" s="69" t="s">
        <v>302</v>
      </c>
      <c r="C1806" s="45" t="s">
        <v>303</v>
      </c>
      <c r="D1806" s="46">
        <v>12</v>
      </c>
      <c r="E1806" s="47" t="s">
        <v>50</v>
      </c>
      <c r="F1806" s="48">
        <v>7.67</v>
      </c>
      <c r="G1806" s="38">
        <v>1.33</v>
      </c>
      <c r="H1806" s="39"/>
      <c r="I1806" s="39"/>
      <c r="J1806" s="39"/>
      <c r="K1806" s="39"/>
      <c r="L1806" s="39"/>
      <c r="M1806" s="39"/>
      <c r="N1806" s="39"/>
      <c r="O1806" s="39"/>
      <c r="P1806" s="39"/>
      <c r="Q1806" s="39">
        <v>1</v>
      </c>
      <c r="R1806" s="39"/>
      <c r="S1806" s="39"/>
      <c r="T1806" s="39">
        <v>0.33</v>
      </c>
      <c r="U1806" s="39"/>
      <c r="V1806" s="39"/>
      <c r="W1806" s="39"/>
      <c r="X1806" s="49" t="s">
        <v>194</v>
      </c>
      <c r="Y1806" s="50">
        <v>2569.45</v>
      </c>
      <c r="Z1806" s="51">
        <v>1800</v>
      </c>
      <c r="AA1806" s="52">
        <f t="shared" si="44"/>
        <v>0.700539025861566</v>
      </c>
      <c r="AB1806" s="12">
        <v>1800</v>
      </c>
      <c r="AC1806" s="12">
        <v>0</v>
      </c>
      <c r="AD1806" s="43"/>
      <c r="AE1806" s="43"/>
      <c r="AF1806" s="43"/>
      <c r="AG1806" s="43"/>
      <c r="AH1806" s="43"/>
      <c r="AI1806" s="43"/>
      <c r="AJ1806" s="43"/>
      <c r="AK1806" s="43"/>
      <c r="AL1806" s="43"/>
      <c r="AM1806" s="43"/>
      <c r="AN1806" s="43"/>
      <c r="AO1806" s="43"/>
      <c r="AP1806" s="43"/>
      <c r="AQ1806" s="43"/>
      <c r="AR1806" s="43"/>
      <c r="AS1806" s="43"/>
      <c r="AT1806" s="43"/>
      <c r="AU1806" s="43"/>
      <c r="AV1806" s="43"/>
    </row>
    <row r="1807" ht="15.75" spans="1:48">
      <c r="A1807" s="12">
        <v>1803</v>
      </c>
      <c r="B1807" s="44">
        <v>655</v>
      </c>
      <c r="C1807" s="45" t="s">
        <v>198</v>
      </c>
      <c r="D1807" s="46">
        <v>10</v>
      </c>
      <c r="E1807" s="47" t="s">
        <v>50</v>
      </c>
      <c r="F1807" s="48">
        <v>10.67</v>
      </c>
      <c r="G1807" s="38">
        <v>1.34</v>
      </c>
      <c r="H1807" s="39"/>
      <c r="I1807" s="39"/>
      <c r="J1807" s="39"/>
      <c r="K1807" s="39"/>
      <c r="L1807" s="39"/>
      <c r="M1807" s="39"/>
      <c r="N1807" s="39"/>
      <c r="O1807" s="39"/>
      <c r="P1807" s="39"/>
      <c r="Q1807" s="39">
        <v>1.17</v>
      </c>
      <c r="R1807" s="39"/>
      <c r="S1807" s="39"/>
      <c r="T1807" s="39"/>
      <c r="U1807" s="39">
        <v>0.17</v>
      </c>
      <c r="V1807" s="39"/>
      <c r="W1807" s="39"/>
      <c r="X1807" s="49">
        <v>127</v>
      </c>
      <c r="Y1807" s="50">
        <v>5335</v>
      </c>
      <c r="Z1807" s="51">
        <v>5400</v>
      </c>
      <c r="AA1807" s="52">
        <f t="shared" si="44"/>
        <v>1.01218369259606</v>
      </c>
      <c r="AB1807" s="12">
        <v>5400</v>
      </c>
      <c r="AC1807" s="12">
        <v>0</v>
      </c>
      <c r="AD1807" s="43"/>
      <c r="AE1807" s="43"/>
      <c r="AF1807" s="43"/>
      <c r="AG1807" s="43"/>
      <c r="AH1807" s="43"/>
      <c r="AI1807" s="43"/>
      <c r="AJ1807" s="43"/>
      <c r="AK1807" s="43"/>
      <c r="AL1807" s="43"/>
      <c r="AM1807" s="43"/>
      <c r="AN1807" s="43"/>
      <c r="AO1807" s="43"/>
      <c r="AP1807" s="43"/>
      <c r="AQ1807" s="43"/>
      <c r="AR1807" s="43"/>
      <c r="AS1807" s="43"/>
      <c r="AT1807" s="43"/>
      <c r="AU1807" s="43"/>
      <c r="AV1807" s="43"/>
    </row>
    <row r="1808" ht="15.75" spans="1:48">
      <c r="A1808" s="12">
        <v>1804</v>
      </c>
      <c r="B1808" s="44">
        <v>3959</v>
      </c>
      <c r="C1808" s="45" t="s">
        <v>123</v>
      </c>
      <c r="D1808" s="46"/>
      <c r="E1808" s="47" t="s">
        <v>50</v>
      </c>
      <c r="F1808" s="48">
        <v>10.83</v>
      </c>
      <c r="G1808" s="38">
        <v>1.17</v>
      </c>
      <c r="H1808" s="39"/>
      <c r="I1808" s="39"/>
      <c r="J1808" s="39"/>
      <c r="K1808" s="39"/>
      <c r="L1808" s="39"/>
      <c r="M1808" s="39"/>
      <c r="N1808" s="39"/>
      <c r="O1808" s="39"/>
      <c r="P1808" s="39"/>
      <c r="Q1808" s="39">
        <v>1.17</v>
      </c>
      <c r="R1808" s="39"/>
      <c r="S1808" s="39"/>
      <c r="T1808" s="39"/>
      <c r="U1808" s="39"/>
      <c r="V1808" s="39"/>
      <c r="W1808" s="39"/>
      <c r="X1808" s="49" t="s">
        <v>67</v>
      </c>
      <c r="Y1808" s="50">
        <v>2707.5</v>
      </c>
      <c r="Z1808" s="51">
        <v>2700</v>
      </c>
      <c r="AA1808" s="52">
        <f t="shared" si="44"/>
        <v>0.997229916897507</v>
      </c>
      <c r="AB1808" s="12">
        <v>2700</v>
      </c>
      <c r="AC1808" s="12">
        <v>0</v>
      </c>
      <c r="AD1808" s="43"/>
      <c r="AE1808" s="43"/>
      <c r="AF1808" s="43"/>
      <c r="AG1808" s="43"/>
      <c r="AH1808" s="43"/>
      <c r="AI1808" s="43"/>
      <c r="AJ1808" s="43"/>
      <c r="AK1808" s="43"/>
      <c r="AL1808" s="43"/>
      <c r="AM1808" s="43"/>
      <c r="AN1808" s="43"/>
      <c r="AO1808" s="43"/>
      <c r="AP1808" s="43"/>
      <c r="AQ1808" s="43"/>
      <c r="AR1808" s="43"/>
      <c r="AS1808" s="43"/>
      <c r="AT1808" s="43"/>
      <c r="AU1808" s="43"/>
      <c r="AV1808" s="43"/>
    </row>
    <row r="1809" ht="15.75" spans="1:48">
      <c r="A1809" s="12">
        <v>1805</v>
      </c>
      <c r="B1809" s="44">
        <v>656</v>
      </c>
      <c r="C1809" s="45" t="s">
        <v>195</v>
      </c>
      <c r="D1809" s="46"/>
      <c r="E1809" s="47" t="s">
        <v>50</v>
      </c>
      <c r="F1809" s="48">
        <v>10.33</v>
      </c>
      <c r="G1809" s="38">
        <v>1.17</v>
      </c>
      <c r="H1809" s="39"/>
      <c r="I1809" s="39"/>
      <c r="J1809" s="39"/>
      <c r="K1809" s="39"/>
      <c r="L1809" s="39"/>
      <c r="M1809" s="39"/>
      <c r="N1809" s="39"/>
      <c r="O1809" s="39"/>
      <c r="P1809" s="39"/>
      <c r="Q1809" s="39">
        <v>1.17</v>
      </c>
      <c r="R1809" s="39"/>
      <c r="S1809" s="39"/>
      <c r="T1809" s="39"/>
      <c r="U1809" s="39"/>
      <c r="V1809" s="39"/>
      <c r="W1809" s="39"/>
      <c r="X1809" s="49">
        <v>9276</v>
      </c>
      <c r="Y1809" s="50">
        <v>5165</v>
      </c>
      <c r="Z1809" s="51">
        <v>5200</v>
      </c>
      <c r="AA1809" s="52">
        <f t="shared" si="44"/>
        <v>1.00677637947725</v>
      </c>
      <c r="AB1809" s="12">
        <v>5200</v>
      </c>
      <c r="AC1809" s="12">
        <v>0</v>
      </c>
      <c r="AD1809" s="43"/>
      <c r="AE1809" s="43"/>
      <c r="AF1809" s="43"/>
      <c r="AG1809" s="43"/>
      <c r="AH1809" s="43"/>
      <c r="AI1809" s="43"/>
      <c r="AJ1809" s="43"/>
      <c r="AK1809" s="43"/>
      <c r="AL1809" s="43"/>
      <c r="AM1809" s="43"/>
      <c r="AN1809" s="43"/>
      <c r="AO1809" s="43"/>
      <c r="AP1809" s="43"/>
      <c r="AQ1809" s="43"/>
      <c r="AR1809" s="43"/>
      <c r="AS1809" s="43"/>
      <c r="AT1809" s="43"/>
      <c r="AU1809" s="43"/>
      <c r="AV1809" s="43"/>
    </row>
    <row r="1810" ht="15.75" spans="1:48">
      <c r="A1810" s="12">
        <v>1806</v>
      </c>
      <c r="B1810" s="44">
        <v>4504</v>
      </c>
      <c r="C1810" s="45" t="s">
        <v>304</v>
      </c>
      <c r="D1810" s="46"/>
      <c r="E1810" s="47" t="s">
        <v>50</v>
      </c>
      <c r="F1810" s="48">
        <v>4.665</v>
      </c>
      <c r="G1810" s="38">
        <v>2.67</v>
      </c>
      <c r="H1810" s="39"/>
      <c r="I1810" s="39"/>
      <c r="J1810" s="39"/>
      <c r="K1810" s="39"/>
      <c r="L1810" s="39"/>
      <c r="M1810" s="39"/>
      <c r="N1810" s="39"/>
      <c r="O1810" s="39"/>
      <c r="P1810" s="39"/>
      <c r="Q1810" s="39">
        <v>1.17</v>
      </c>
      <c r="R1810" s="39"/>
      <c r="S1810" s="39">
        <v>1.5</v>
      </c>
      <c r="T1810" s="39"/>
      <c r="U1810" s="39"/>
      <c r="V1810" s="39"/>
      <c r="W1810" s="39"/>
      <c r="X1810" s="49" t="s">
        <v>63</v>
      </c>
      <c r="Y1810" s="50">
        <v>839.7</v>
      </c>
      <c r="Z1810" s="51">
        <v>850</v>
      </c>
      <c r="AA1810" s="52">
        <f t="shared" si="44"/>
        <v>1.01226628557818</v>
      </c>
      <c r="AB1810" s="12">
        <v>850</v>
      </c>
      <c r="AC1810" s="12">
        <v>0</v>
      </c>
      <c r="AD1810" s="43"/>
      <c r="AE1810" s="43"/>
      <c r="AF1810" s="43"/>
      <c r="AG1810" s="43"/>
      <c r="AH1810" s="43"/>
      <c r="AI1810" s="43"/>
      <c r="AJ1810" s="43"/>
      <c r="AK1810" s="43"/>
      <c r="AL1810" s="43"/>
      <c r="AM1810" s="43"/>
      <c r="AN1810" s="43"/>
      <c r="AO1810" s="43"/>
      <c r="AP1810" s="43"/>
      <c r="AQ1810" s="43"/>
      <c r="AR1810" s="43"/>
      <c r="AS1810" s="43"/>
      <c r="AT1810" s="43"/>
      <c r="AU1810" s="43"/>
      <c r="AV1810" s="43"/>
    </row>
    <row r="1811" ht="15.75" spans="1:48">
      <c r="A1811" s="12">
        <v>1807</v>
      </c>
      <c r="B1811" s="44">
        <v>4504</v>
      </c>
      <c r="C1811" s="45" t="s">
        <v>304</v>
      </c>
      <c r="D1811" s="46"/>
      <c r="E1811" s="47" t="s">
        <v>50</v>
      </c>
      <c r="F1811" s="48">
        <v>4.665</v>
      </c>
      <c r="G1811" s="38">
        <v>0</v>
      </c>
      <c r="H1811" s="39"/>
      <c r="I1811" s="39"/>
      <c r="J1811" s="39"/>
      <c r="K1811" s="39"/>
      <c r="L1811" s="39"/>
      <c r="M1811" s="39"/>
      <c r="N1811" s="39"/>
      <c r="O1811" s="39"/>
      <c r="P1811" s="39"/>
      <c r="Q1811" s="39"/>
      <c r="R1811" s="39"/>
      <c r="S1811" s="39"/>
      <c r="T1811" s="39"/>
      <c r="U1811" s="39"/>
      <c r="V1811" s="39"/>
      <c r="W1811" s="39"/>
      <c r="X1811" s="49" t="s">
        <v>62</v>
      </c>
      <c r="Y1811" s="50">
        <v>839.7</v>
      </c>
      <c r="Z1811" s="51">
        <v>850</v>
      </c>
      <c r="AA1811" s="52">
        <f t="shared" si="44"/>
        <v>1.01226628557818</v>
      </c>
      <c r="AB1811" s="12">
        <v>850</v>
      </c>
      <c r="AC1811" s="12">
        <v>0</v>
      </c>
      <c r="AD1811" s="43"/>
      <c r="AE1811" s="43"/>
      <c r="AF1811" s="43"/>
      <c r="AG1811" s="43"/>
      <c r="AH1811" s="43"/>
      <c r="AI1811" s="43"/>
      <c r="AJ1811" s="43"/>
      <c r="AK1811" s="43"/>
      <c r="AL1811" s="43"/>
      <c r="AM1811" s="43"/>
      <c r="AN1811" s="43"/>
      <c r="AO1811" s="43"/>
      <c r="AP1811" s="43"/>
      <c r="AQ1811" s="43"/>
      <c r="AR1811" s="43"/>
      <c r="AS1811" s="43"/>
      <c r="AT1811" s="43"/>
      <c r="AU1811" s="43"/>
      <c r="AV1811" s="43"/>
    </row>
    <row r="1812" ht="15.75" spans="1:48">
      <c r="A1812" s="12">
        <v>1808</v>
      </c>
      <c r="B1812" s="44" t="s">
        <v>396</v>
      </c>
      <c r="C1812" s="45" t="s">
        <v>397</v>
      </c>
      <c r="D1812" s="46"/>
      <c r="E1812" s="47" t="s">
        <v>50</v>
      </c>
      <c r="F1812" s="48">
        <v>9.33</v>
      </c>
      <c r="G1812" s="38">
        <v>1.17</v>
      </c>
      <c r="H1812" s="39"/>
      <c r="I1812" s="39"/>
      <c r="J1812" s="39"/>
      <c r="K1812" s="39"/>
      <c r="L1812" s="39"/>
      <c r="M1812" s="39"/>
      <c r="N1812" s="39"/>
      <c r="O1812" s="39"/>
      <c r="P1812" s="39"/>
      <c r="Q1812" s="39">
        <v>1.17</v>
      </c>
      <c r="R1812" s="39"/>
      <c r="S1812" s="39"/>
      <c r="T1812" s="39"/>
      <c r="U1812" s="39"/>
      <c r="V1812" s="39"/>
      <c r="W1812" s="39"/>
      <c r="X1812" s="49">
        <v>9276</v>
      </c>
      <c r="Y1812" s="50">
        <v>4665</v>
      </c>
      <c r="Z1812" s="51">
        <v>4590</v>
      </c>
      <c r="AA1812" s="52">
        <f t="shared" si="44"/>
        <v>0.983922829581994</v>
      </c>
      <c r="AB1812" s="12">
        <v>4590</v>
      </c>
      <c r="AC1812" s="12">
        <v>0</v>
      </c>
      <c r="AD1812" s="43"/>
      <c r="AE1812" s="43"/>
      <c r="AF1812" s="43"/>
      <c r="AG1812" s="43"/>
      <c r="AH1812" s="43"/>
      <c r="AI1812" s="43"/>
      <c r="AJ1812" s="43"/>
      <c r="AK1812" s="43"/>
      <c r="AL1812" s="43"/>
      <c r="AM1812" s="43"/>
      <c r="AN1812" s="43"/>
      <c r="AO1812" s="43"/>
      <c r="AP1812" s="43"/>
      <c r="AQ1812" s="43"/>
      <c r="AR1812" s="43"/>
      <c r="AS1812" s="43"/>
      <c r="AT1812" s="43"/>
      <c r="AU1812" s="43"/>
      <c r="AV1812" s="43"/>
    </row>
    <row r="1813" ht="15.75" spans="1:48">
      <c r="A1813" s="12">
        <v>1809</v>
      </c>
      <c r="B1813" s="44">
        <v>3111</v>
      </c>
      <c r="C1813" s="45" t="s">
        <v>124</v>
      </c>
      <c r="D1813" s="46">
        <v>11</v>
      </c>
      <c r="E1813" s="47" t="s">
        <v>50</v>
      </c>
      <c r="F1813" s="48">
        <v>2.67</v>
      </c>
      <c r="G1813" s="38">
        <v>0.17</v>
      </c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  <c r="S1813" s="39"/>
      <c r="T1813" s="39"/>
      <c r="U1813" s="39">
        <v>0.17</v>
      </c>
      <c r="V1813" s="39"/>
      <c r="W1813" s="39"/>
      <c r="X1813" s="49" t="s">
        <v>69</v>
      </c>
      <c r="Y1813" s="50">
        <v>1361.7</v>
      </c>
      <c r="Z1813" s="51">
        <v>1350</v>
      </c>
      <c r="AA1813" s="52">
        <f t="shared" si="44"/>
        <v>0.991407799074686</v>
      </c>
      <c r="AB1813" s="12">
        <v>1350</v>
      </c>
      <c r="AC1813" s="12">
        <v>0</v>
      </c>
      <c r="AD1813" s="43"/>
      <c r="AE1813" s="43"/>
      <c r="AF1813" s="43"/>
      <c r="AG1813" s="43"/>
      <c r="AH1813" s="43"/>
      <c r="AI1813" s="43"/>
      <c r="AJ1813" s="43"/>
      <c r="AK1813" s="43"/>
      <c r="AL1813" s="43"/>
      <c r="AM1813" s="43"/>
      <c r="AN1813" s="43"/>
      <c r="AO1813" s="43"/>
      <c r="AP1813" s="43"/>
      <c r="AQ1813" s="43"/>
      <c r="AR1813" s="43"/>
      <c r="AS1813" s="43"/>
      <c r="AT1813" s="43"/>
      <c r="AU1813" s="43"/>
      <c r="AV1813" s="43"/>
    </row>
    <row r="1814" ht="15.75" spans="1:48">
      <c r="A1814" s="12">
        <v>1810</v>
      </c>
      <c r="B1814" s="44">
        <v>2649</v>
      </c>
      <c r="C1814" s="45" t="s">
        <v>121</v>
      </c>
      <c r="D1814" s="46">
        <v>4</v>
      </c>
      <c r="E1814" s="47" t="s">
        <v>50</v>
      </c>
      <c r="F1814" s="48">
        <v>0.33</v>
      </c>
      <c r="G1814" s="38">
        <v>1.17</v>
      </c>
      <c r="H1814" s="39"/>
      <c r="I1814" s="39"/>
      <c r="J1814" s="39"/>
      <c r="K1814" s="39"/>
      <c r="L1814" s="39"/>
      <c r="M1814" s="39"/>
      <c r="N1814" s="39"/>
      <c r="O1814" s="39"/>
      <c r="P1814" s="39"/>
      <c r="Q1814" s="39">
        <v>1.17</v>
      </c>
      <c r="R1814" s="39"/>
      <c r="S1814" s="39"/>
      <c r="T1814" s="39"/>
      <c r="U1814" s="39"/>
      <c r="V1814" s="39"/>
      <c r="W1814" s="39"/>
      <c r="X1814" s="49">
        <v>8014</v>
      </c>
      <c r="Y1814" s="50">
        <v>181.5</v>
      </c>
      <c r="Z1814" s="51">
        <v>195</v>
      </c>
      <c r="AA1814" s="52">
        <f t="shared" ref="AA1814:AA1845" si="45">IFERROR(Z1814/Y1814,0)</f>
        <v>1.07438016528926</v>
      </c>
      <c r="AB1814" s="12">
        <v>195</v>
      </c>
      <c r="AC1814" s="12">
        <v>0</v>
      </c>
      <c r="AD1814" s="43"/>
      <c r="AE1814" s="43"/>
      <c r="AF1814" s="43"/>
      <c r="AG1814" s="43"/>
      <c r="AH1814" s="43"/>
      <c r="AI1814" s="43"/>
      <c r="AJ1814" s="43"/>
      <c r="AK1814" s="43"/>
      <c r="AL1814" s="43"/>
      <c r="AM1814" s="43"/>
      <c r="AN1814" s="43"/>
      <c r="AO1814" s="43"/>
      <c r="AP1814" s="43"/>
      <c r="AQ1814" s="43"/>
      <c r="AR1814" s="43"/>
      <c r="AS1814" s="43"/>
      <c r="AT1814" s="43"/>
      <c r="AU1814" s="43"/>
      <c r="AV1814" s="43"/>
    </row>
    <row r="1815" ht="15.75" spans="1:48">
      <c r="A1815" s="12">
        <v>1811</v>
      </c>
      <c r="B1815" s="44">
        <v>2649</v>
      </c>
      <c r="C1815" s="45" t="s">
        <v>121</v>
      </c>
      <c r="D1815" s="46"/>
      <c r="E1815" s="47" t="s">
        <v>50</v>
      </c>
      <c r="F1815" s="48">
        <v>2</v>
      </c>
      <c r="G1815" s="38">
        <v>0</v>
      </c>
      <c r="H1815" s="39"/>
      <c r="I1815" s="39"/>
      <c r="J1815" s="39"/>
      <c r="K1815" s="39"/>
      <c r="L1815" s="39"/>
      <c r="M1815" s="39"/>
      <c r="N1815" s="39"/>
      <c r="O1815" s="39"/>
      <c r="P1815" s="39"/>
      <c r="Q1815" s="39"/>
      <c r="R1815" s="39"/>
      <c r="S1815" s="39"/>
      <c r="T1815" s="39"/>
      <c r="U1815" s="39"/>
      <c r="V1815" s="39"/>
      <c r="W1815" s="39"/>
      <c r="X1815" s="49" t="s">
        <v>67</v>
      </c>
      <c r="Y1815" s="50">
        <v>500</v>
      </c>
      <c r="Z1815" s="51">
        <v>500</v>
      </c>
      <c r="AA1815" s="52">
        <f t="shared" si="45"/>
        <v>1</v>
      </c>
      <c r="AB1815" s="12">
        <v>500</v>
      </c>
      <c r="AC1815" s="12">
        <v>0</v>
      </c>
      <c r="AD1815" s="43"/>
      <c r="AE1815" s="43"/>
      <c r="AF1815" s="43"/>
      <c r="AG1815" s="43"/>
      <c r="AH1815" s="43"/>
      <c r="AI1815" s="43"/>
      <c r="AJ1815" s="43"/>
      <c r="AK1815" s="43"/>
      <c r="AL1815" s="43"/>
      <c r="AM1815" s="43"/>
      <c r="AN1815" s="43"/>
      <c r="AO1815" s="43"/>
      <c r="AP1815" s="43"/>
      <c r="AQ1815" s="43"/>
      <c r="AR1815" s="43"/>
      <c r="AS1815" s="43"/>
      <c r="AT1815" s="43"/>
      <c r="AU1815" s="43"/>
      <c r="AV1815" s="43"/>
    </row>
    <row r="1816" ht="15.75" spans="1:48">
      <c r="A1816" s="12">
        <v>1812</v>
      </c>
      <c r="B1816" s="44">
        <v>2649</v>
      </c>
      <c r="C1816" s="45" t="s">
        <v>121</v>
      </c>
      <c r="D1816" s="46"/>
      <c r="E1816" s="47" t="s">
        <v>50</v>
      </c>
      <c r="F1816" s="48">
        <v>8.5</v>
      </c>
      <c r="G1816" s="38">
        <v>0</v>
      </c>
      <c r="H1816" s="39"/>
      <c r="I1816" s="39"/>
      <c r="J1816" s="39"/>
      <c r="K1816" s="39"/>
      <c r="L1816" s="39"/>
      <c r="M1816" s="39"/>
      <c r="N1816" s="39"/>
      <c r="O1816" s="39"/>
      <c r="P1816" s="39"/>
      <c r="Q1816" s="39"/>
      <c r="R1816" s="39"/>
      <c r="S1816" s="39"/>
      <c r="T1816" s="39"/>
      <c r="U1816" s="39"/>
      <c r="V1816" s="39"/>
      <c r="W1816" s="39"/>
      <c r="X1816" s="49" t="s">
        <v>155</v>
      </c>
      <c r="Y1816" s="50">
        <v>0</v>
      </c>
      <c r="Z1816" s="51"/>
      <c r="AA1816" s="52">
        <f t="shared" si="45"/>
        <v>0</v>
      </c>
      <c r="AB1816" s="12">
        <v>0</v>
      </c>
      <c r="AC1816" s="12">
        <v>0</v>
      </c>
      <c r="AD1816" s="43"/>
      <c r="AE1816" s="43"/>
      <c r="AF1816" s="43"/>
      <c r="AG1816" s="43"/>
      <c r="AH1816" s="43"/>
      <c r="AI1816" s="43"/>
      <c r="AJ1816" s="43"/>
      <c r="AK1816" s="43"/>
      <c r="AL1816" s="43"/>
      <c r="AM1816" s="43"/>
      <c r="AN1816" s="43"/>
      <c r="AO1816" s="43"/>
      <c r="AP1816" s="43"/>
      <c r="AQ1816" s="43"/>
      <c r="AR1816" s="43"/>
      <c r="AS1816" s="43"/>
      <c r="AT1816" s="43"/>
      <c r="AU1816" s="43"/>
      <c r="AV1816" s="43"/>
    </row>
    <row r="1817" ht="15.75" spans="1:48">
      <c r="A1817" s="12">
        <v>1813</v>
      </c>
      <c r="B1817" s="44">
        <v>4325</v>
      </c>
      <c r="C1817" s="45" t="s">
        <v>118</v>
      </c>
      <c r="D1817" s="46"/>
      <c r="E1817" s="47" t="s">
        <v>50</v>
      </c>
      <c r="F1817" s="48">
        <v>2.75</v>
      </c>
      <c r="G1817" s="38">
        <v>1.17</v>
      </c>
      <c r="H1817" s="39"/>
      <c r="I1817" s="39"/>
      <c r="J1817" s="39"/>
      <c r="K1817" s="39"/>
      <c r="L1817" s="39"/>
      <c r="M1817" s="39"/>
      <c r="N1817" s="39"/>
      <c r="O1817" s="39"/>
      <c r="P1817" s="39"/>
      <c r="Q1817" s="39">
        <v>1.17</v>
      </c>
      <c r="R1817" s="39"/>
      <c r="S1817" s="39"/>
      <c r="T1817" s="39"/>
      <c r="U1817" s="39"/>
      <c r="V1817" s="39"/>
      <c r="W1817" s="39"/>
      <c r="X1817" s="49" t="s">
        <v>63</v>
      </c>
      <c r="Y1817" s="50">
        <v>495</v>
      </c>
      <c r="Z1817" s="51">
        <v>500</v>
      </c>
      <c r="AA1817" s="52">
        <f t="shared" si="45"/>
        <v>1.01010101010101</v>
      </c>
      <c r="AB1817" s="12">
        <v>500</v>
      </c>
      <c r="AC1817" s="12">
        <v>0</v>
      </c>
      <c r="AD1817" s="43"/>
      <c r="AE1817" s="43"/>
      <c r="AF1817" s="43"/>
      <c r="AG1817" s="43"/>
      <c r="AH1817" s="43"/>
      <c r="AI1817" s="43"/>
      <c r="AJ1817" s="43"/>
      <c r="AK1817" s="43"/>
      <c r="AL1817" s="43"/>
      <c r="AM1817" s="43"/>
      <c r="AN1817" s="43"/>
      <c r="AO1817" s="43"/>
      <c r="AP1817" s="43"/>
      <c r="AQ1817" s="43"/>
      <c r="AR1817" s="43"/>
      <c r="AS1817" s="43"/>
      <c r="AT1817" s="43"/>
      <c r="AU1817" s="43"/>
      <c r="AV1817" s="43"/>
    </row>
    <row r="1818" ht="15.75" spans="1:48">
      <c r="A1818" s="12">
        <v>1814</v>
      </c>
      <c r="B1818" s="44">
        <v>4325</v>
      </c>
      <c r="C1818" s="45" t="s">
        <v>118</v>
      </c>
      <c r="D1818" s="46"/>
      <c r="E1818" s="47" t="s">
        <v>50</v>
      </c>
      <c r="F1818" s="48">
        <v>2.75</v>
      </c>
      <c r="G1818" s="38">
        <v>0</v>
      </c>
      <c r="H1818" s="39"/>
      <c r="I1818" s="39"/>
      <c r="J1818" s="39"/>
      <c r="K1818" s="39"/>
      <c r="L1818" s="39"/>
      <c r="M1818" s="39"/>
      <c r="N1818" s="39"/>
      <c r="O1818" s="39"/>
      <c r="P1818" s="39"/>
      <c r="Q1818" s="39"/>
      <c r="R1818" s="39"/>
      <c r="S1818" s="39"/>
      <c r="T1818" s="39"/>
      <c r="U1818" s="39"/>
      <c r="V1818" s="39"/>
      <c r="W1818" s="39"/>
      <c r="X1818" s="49" t="s">
        <v>62</v>
      </c>
      <c r="Y1818" s="50">
        <v>495</v>
      </c>
      <c r="Z1818" s="51">
        <v>500</v>
      </c>
      <c r="AA1818" s="52">
        <f t="shared" si="45"/>
        <v>1.01010101010101</v>
      </c>
      <c r="AB1818" s="12">
        <v>500</v>
      </c>
      <c r="AC1818" s="12">
        <v>0</v>
      </c>
      <c r="AD1818" s="43"/>
      <c r="AE1818" s="43"/>
      <c r="AF1818" s="43"/>
      <c r="AG1818" s="43"/>
      <c r="AH1818" s="43"/>
      <c r="AI1818" s="43"/>
      <c r="AJ1818" s="43"/>
      <c r="AK1818" s="43"/>
      <c r="AL1818" s="43"/>
      <c r="AM1818" s="43"/>
      <c r="AN1818" s="43"/>
      <c r="AO1818" s="43"/>
      <c r="AP1818" s="43"/>
      <c r="AQ1818" s="43"/>
      <c r="AR1818" s="43"/>
      <c r="AS1818" s="43"/>
      <c r="AT1818" s="43"/>
      <c r="AU1818" s="43"/>
      <c r="AV1818" s="43"/>
    </row>
    <row r="1819" ht="15.75" spans="1:48">
      <c r="A1819" s="12">
        <v>1815</v>
      </c>
      <c r="B1819" s="53">
        <v>4325</v>
      </c>
      <c r="C1819" s="55" t="s">
        <v>118</v>
      </c>
      <c r="D1819" s="56">
        <v>19</v>
      </c>
      <c r="E1819" s="47" t="s">
        <v>50</v>
      </c>
      <c r="F1819" s="48">
        <v>2.83</v>
      </c>
      <c r="G1819" s="38">
        <v>2.5</v>
      </c>
      <c r="H1819" s="39"/>
      <c r="I1819" s="39"/>
      <c r="J1819" s="39"/>
      <c r="K1819" s="39"/>
      <c r="L1819" s="39"/>
      <c r="M1819" s="39"/>
      <c r="N1819" s="39"/>
      <c r="O1819" s="39"/>
      <c r="P1819" s="39"/>
      <c r="Q1819" s="39"/>
      <c r="R1819" s="39"/>
      <c r="S1819" s="39">
        <v>1.67</v>
      </c>
      <c r="T1819" s="39"/>
      <c r="U1819" s="39">
        <v>0.83</v>
      </c>
      <c r="V1819" s="39"/>
      <c r="W1819" s="39"/>
      <c r="X1819" s="49" t="s">
        <v>194</v>
      </c>
      <c r="Y1819" s="50">
        <v>948.05</v>
      </c>
      <c r="Z1819" s="51">
        <v>1000</v>
      </c>
      <c r="AA1819" s="52">
        <f t="shared" si="45"/>
        <v>1.0547966879384</v>
      </c>
      <c r="AB1819" s="12">
        <v>1000</v>
      </c>
      <c r="AC1819" s="12">
        <v>0</v>
      </c>
      <c r="AD1819" s="43"/>
      <c r="AE1819" s="43"/>
      <c r="AF1819" s="43"/>
      <c r="AG1819" s="43"/>
      <c r="AH1819" s="43"/>
      <c r="AI1819" s="43"/>
      <c r="AJ1819" s="43"/>
      <c r="AK1819" s="43"/>
      <c r="AL1819" s="43"/>
      <c r="AM1819" s="43"/>
      <c r="AN1819" s="43"/>
      <c r="AO1819" s="43"/>
      <c r="AP1819" s="43"/>
      <c r="AQ1819" s="43"/>
      <c r="AR1819" s="43"/>
      <c r="AS1819" s="43"/>
      <c r="AT1819" s="43"/>
      <c r="AU1819" s="43"/>
      <c r="AV1819" s="43"/>
    </row>
    <row r="1820" ht="15.75" spans="1:48">
      <c r="A1820" s="12">
        <v>1816</v>
      </c>
      <c r="B1820" s="44">
        <v>4418</v>
      </c>
      <c r="C1820" s="45" t="s">
        <v>125</v>
      </c>
      <c r="D1820" s="46">
        <v>1</v>
      </c>
      <c r="E1820" s="47" t="s">
        <v>50</v>
      </c>
      <c r="F1820" s="48">
        <v>2.5</v>
      </c>
      <c r="G1820" s="38">
        <v>0.17</v>
      </c>
      <c r="H1820" s="39"/>
      <c r="I1820" s="39"/>
      <c r="J1820" s="39">
        <v>0.17</v>
      </c>
      <c r="K1820" s="39"/>
      <c r="L1820" s="39"/>
      <c r="M1820" s="39"/>
      <c r="N1820" s="39"/>
      <c r="O1820" s="39"/>
      <c r="P1820" s="39"/>
      <c r="Q1820" s="39"/>
      <c r="R1820" s="39"/>
      <c r="S1820" s="39"/>
      <c r="T1820" s="39"/>
      <c r="U1820" s="39"/>
      <c r="V1820" s="39"/>
      <c r="W1820" s="39"/>
      <c r="X1820" s="49" t="s">
        <v>206</v>
      </c>
      <c r="Y1820" s="50">
        <v>837.5</v>
      </c>
      <c r="Z1820" s="51">
        <v>826</v>
      </c>
      <c r="AA1820" s="52">
        <f t="shared" si="45"/>
        <v>0.986268656716418</v>
      </c>
      <c r="AB1820" s="12">
        <v>826</v>
      </c>
      <c r="AC1820" s="12">
        <v>0</v>
      </c>
      <c r="AD1820" s="43"/>
      <c r="AE1820" s="43"/>
      <c r="AF1820" s="43"/>
      <c r="AG1820" s="43"/>
      <c r="AH1820" s="43"/>
      <c r="AI1820" s="43"/>
      <c r="AJ1820" s="43"/>
      <c r="AK1820" s="43"/>
      <c r="AL1820" s="43"/>
      <c r="AM1820" s="43"/>
      <c r="AN1820" s="43"/>
      <c r="AO1820" s="43"/>
      <c r="AP1820" s="43"/>
      <c r="AQ1820" s="43"/>
      <c r="AR1820" s="43"/>
      <c r="AS1820" s="43"/>
      <c r="AT1820" s="43"/>
      <c r="AU1820" s="43"/>
      <c r="AV1820" s="43"/>
    </row>
    <row r="1821" ht="15.75" spans="1:48">
      <c r="A1821" s="12">
        <v>1817</v>
      </c>
      <c r="B1821" s="44">
        <v>4418</v>
      </c>
      <c r="C1821" s="45" t="s">
        <v>125</v>
      </c>
      <c r="D1821" s="46">
        <v>1</v>
      </c>
      <c r="E1821" s="47" t="s">
        <v>50</v>
      </c>
      <c r="F1821" s="48">
        <v>7.83</v>
      </c>
      <c r="G1821" s="38">
        <v>1.34</v>
      </c>
      <c r="H1821" s="39"/>
      <c r="I1821" s="39"/>
      <c r="J1821" s="39"/>
      <c r="K1821" s="39"/>
      <c r="L1821" s="39"/>
      <c r="M1821" s="39"/>
      <c r="N1821" s="39"/>
      <c r="O1821" s="39"/>
      <c r="P1821" s="39"/>
      <c r="Q1821" s="39">
        <v>1.17</v>
      </c>
      <c r="R1821" s="39"/>
      <c r="S1821" s="39"/>
      <c r="T1821" s="39"/>
      <c r="U1821" s="39">
        <v>0.17</v>
      </c>
      <c r="V1821" s="39"/>
      <c r="W1821" s="39"/>
      <c r="X1821" s="49" t="s">
        <v>58</v>
      </c>
      <c r="Y1821" s="50">
        <v>2740.5</v>
      </c>
      <c r="Z1821" s="51">
        <v>2760</v>
      </c>
      <c r="AA1821" s="52">
        <f t="shared" si="45"/>
        <v>1.00711548987411</v>
      </c>
      <c r="AB1821" s="12">
        <v>2760</v>
      </c>
      <c r="AC1821" s="12">
        <v>0</v>
      </c>
      <c r="AD1821" s="43"/>
      <c r="AE1821" s="43"/>
      <c r="AF1821" s="43"/>
      <c r="AG1821" s="43"/>
      <c r="AH1821" s="43"/>
      <c r="AI1821" s="43"/>
      <c r="AJ1821" s="43"/>
      <c r="AK1821" s="43"/>
      <c r="AL1821" s="43"/>
      <c r="AM1821" s="43"/>
      <c r="AN1821" s="43"/>
      <c r="AO1821" s="43"/>
      <c r="AP1821" s="43"/>
      <c r="AQ1821" s="43"/>
      <c r="AR1821" s="43"/>
      <c r="AS1821" s="43"/>
      <c r="AT1821" s="43"/>
      <c r="AU1821" s="43"/>
      <c r="AV1821" s="43"/>
    </row>
    <row r="1822" ht="15.75" spans="1:48">
      <c r="A1822" s="12">
        <v>1818</v>
      </c>
      <c r="B1822" s="44">
        <v>656</v>
      </c>
      <c r="C1822" s="45" t="s">
        <v>195</v>
      </c>
      <c r="D1822" s="46"/>
      <c r="E1822" s="47" t="s">
        <v>50</v>
      </c>
      <c r="F1822" s="48">
        <v>0.5</v>
      </c>
      <c r="G1822" s="38">
        <v>0</v>
      </c>
      <c r="H1822" s="39"/>
      <c r="I1822" s="39"/>
      <c r="J1822" s="39"/>
      <c r="K1822" s="39"/>
      <c r="L1822" s="39"/>
      <c r="M1822" s="39"/>
      <c r="N1822" s="39"/>
      <c r="O1822" s="39"/>
      <c r="P1822" s="39"/>
      <c r="Q1822" s="39"/>
      <c r="R1822" s="39"/>
      <c r="S1822" s="39"/>
      <c r="T1822" s="39"/>
      <c r="U1822" s="39"/>
      <c r="V1822" s="39"/>
      <c r="W1822" s="39"/>
      <c r="X1822" s="49" t="s">
        <v>291</v>
      </c>
      <c r="Y1822" s="50">
        <v>650</v>
      </c>
      <c r="Z1822" s="51">
        <v>405</v>
      </c>
      <c r="AA1822" s="52">
        <f t="shared" si="45"/>
        <v>0.623076923076923</v>
      </c>
      <c r="AB1822" s="12">
        <v>405</v>
      </c>
      <c r="AC1822" s="12">
        <v>0</v>
      </c>
      <c r="AD1822" s="43"/>
      <c r="AE1822" s="43"/>
      <c r="AF1822" s="43"/>
      <c r="AG1822" s="43"/>
      <c r="AH1822" s="43"/>
      <c r="AI1822" s="43"/>
      <c r="AJ1822" s="43"/>
      <c r="AK1822" s="43"/>
      <c r="AL1822" s="43"/>
      <c r="AM1822" s="43"/>
      <c r="AN1822" s="43"/>
      <c r="AO1822" s="43"/>
      <c r="AP1822" s="43"/>
      <c r="AQ1822" s="43"/>
      <c r="AR1822" s="43"/>
      <c r="AS1822" s="43"/>
      <c r="AT1822" s="43"/>
      <c r="AU1822" s="43"/>
      <c r="AV1822" s="43"/>
    </row>
    <row r="1823" ht="15.75" spans="1:48">
      <c r="A1823" s="12">
        <v>1819</v>
      </c>
      <c r="B1823" s="44" t="s">
        <v>396</v>
      </c>
      <c r="C1823" s="45" t="s">
        <v>397</v>
      </c>
      <c r="D1823" s="46"/>
      <c r="E1823" s="47" t="s">
        <v>50</v>
      </c>
      <c r="F1823" s="48">
        <v>0.83</v>
      </c>
      <c r="G1823" s="38">
        <v>0.67</v>
      </c>
      <c r="H1823" s="39"/>
      <c r="I1823" s="39"/>
      <c r="J1823" s="39"/>
      <c r="K1823" s="39"/>
      <c r="L1823" s="39"/>
      <c r="M1823" s="39"/>
      <c r="N1823" s="39"/>
      <c r="O1823" s="39"/>
      <c r="P1823" s="39"/>
      <c r="Q1823" s="39"/>
      <c r="R1823" s="39"/>
      <c r="S1823" s="39">
        <v>0.67</v>
      </c>
      <c r="T1823" s="39"/>
      <c r="U1823" s="39"/>
      <c r="V1823" s="39"/>
      <c r="W1823" s="39"/>
      <c r="X1823" s="49" t="s">
        <v>291</v>
      </c>
      <c r="Y1823" s="50">
        <v>1079</v>
      </c>
      <c r="Z1823" s="51">
        <v>1080</v>
      </c>
      <c r="AA1823" s="52">
        <f t="shared" si="45"/>
        <v>1.00092678405931</v>
      </c>
      <c r="AB1823" s="12">
        <v>1080</v>
      </c>
      <c r="AC1823" s="12">
        <v>0</v>
      </c>
      <c r="AD1823" s="43"/>
      <c r="AE1823" s="43"/>
      <c r="AF1823" s="43"/>
      <c r="AG1823" s="43"/>
      <c r="AH1823" s="43"/>
      <c r="AI1823" s="43"/>
      <c r="AJ1823" s="43"/>
      <c r="AK1823" s="43"/>
      <c r="AL1823" s="43"/>
      <c r="AM1823" s="43"/>
      <c r="AN1823" s="43"/>
      <c r="AO1823" s="43"/>
      <c r="AP1823" s="43"/>
      <c r="AQ1823" s="43"/>
      <c r="AR1823" s="43"/>
      <c r="AS1823" s="43"/>
      <c r="AT1823" s="43"/>
      <c r="AU1823" s="43"/>
      <c r="AV1823" s="43"/>
    </row>
    <row r="1824" ht="15.75" spans="1:48">
      <c r="A1824" s="12">
        <v>1820</v>
      </c>
      <c r="B1824" s="44">
        <v>3353</v>
      </c>
      <c r="C1824" s="45" t="s">
        <v>48</v>
      </c>
      <c r="D1824" s="46" t="s">
        <v>215</v>
      </c>
      <c r="E1824" s="47" t="s">
        <v>113</v>
      </c>
      <c r="F1824" s="48">
        <v>7</v>
      </c>
      <c r="G1824" s="38">
        <v>1.83</v>
      </c>
      <c r="H1824" s="39"/>
      <c r="I1824" s="39"/>
      <c r="J1824" s="39"/>
      <c r="K1824" s="39">
        <v>0.33</v>
      </c>
      <c r="L1824" s="39"/>
      <c r="M1824" s="39"/>
      <c r="N1824" s="39"/>
      <c r="O1824" s="39"/>
      <c r="P1824" s="39"/>
      <c r="Q1824" s="39">
        <v>1.33</v>
      </c>
      <c r="R1824" s="39"/>
      <c r="S1824" s="39"/>
      <c r="T1824" s="39"/>
      <c r="U1824" s="39">
        <v>0.17</v>
      </c>
      <c r="V1824" s="39"/>
      <c r="W1824" s="39"/>
      <c r="X1824" s="49" t="s">
        <v>117</v>
      </c>
      <c r="Y1824" s="50">
        <v>21735</v>
      </c>
      <c r="Z1824" s="51">
        <v>22200</v>
      </c>
      <c r="AA1824" s="52">
        <f t="shared" si="45"/>
        <v>1.02139406487233</v>
      </c>
      <c r="AB1824" s="12">
        <v>22200</v>
      </c>
      <c r="AC1824" s="12">
        <v>0</v>
      </c>
      <c r="AD1824" s="43"/>
      <c r="AE1824" s="43"/>
      <c r="AF1824" s="43"/>
      <c r="AG1824" s="43"/>
      <c r="AH1824" s="43"/>
      <c r="AI1824" s="43"/>
      <c r="AJ1824" s="43"/>
      <c r="AK1824" s="43"/>
      <c r="AL1824" s="43"/>
      <c r="AM1824" s="43"/>
      <c r="AN1824" s="43"/>
      <c r="AO1824" s="43"/>
      <c r="AP1824" s="43"/>
      <c r="AQ1824" s="43"/>
      <c r="AR1824" s="43"/>
      <c r="AS1824" s="43"/>
      <c r="AT1824" s="43"/>
      <c r="AU1824" s="43"/>
      <c r="AV1824" s="43"/>
    </row>
    <row r="1825" ht="15.75" spans="1:48">
      <c r="A1825" s="12">
        <v>1821</v>
      </c>
      <c r="B1825" s="44">
        <v>2516</v>
      </c>
      <c r="C1825" s="45" t="s">
        <v>189</v>
      </c>
      <c r="D1825" s="46" t="s">
        <v>116</v>
      </c>
      <c r="E1825" s="47" t="s">
        <v>113</v>
      </c>
      <c r="F1825" s="48">
        <v>10.17</v>
      </c>
      <c r="G1825" s="38">
        <v>1.83</v>
      </c>
      <c r="H1825" s="39"/>
      <c r="I1825" s="39"/>
      <c r="J1825" s="39"/>
      <c r="K1825" s="39"/>
      <c r="L1825" s="39"/>
      <c r="M1825" s="39"/>
      <c r="N1825" s="39"/>
      <c r="O1825" s="39"/>
      <c r="P1825" s="39"/>
      <c r="Q1825" s="39">
        <v>1.33</v>
      </c>
      <c r="R1825" s="39"/>
      <c r="S1825" s="39"/>
      <c r="T1825" s="39"/>
      <c r="U1825" s="39">
        <v>0.5</v>
      </c>
      <c r="V1825" s="39"/>
      <c r="W1825" s="39"/>
      <c r="X1825" s="49" t="s">
        <v>381</v>
      </c>
      <c r="Y1825" s="50">
        <v>41574.96</v>
      </c>
      <c r="Z1825" s="51">
        <v>41600</v>
      </c>
      <c r="AA1825" s="52">
        <f t="shared" si="45"/>
        <v>1.00060228560653</v>
      </c>
      <c r="AB1825" s="12">
        <v>41584</v>
      </c>
      <c r="AC1825" s="12">
        <v>16</v>
      </c>
      <c r="AD1825" s="43"/>
      <c r="AE1825" s="43"/>
      <c r="AF1825" s="43"/>
      <c r="AG1825" s="43"/>
      <c r="AH1825" s="43"/>
      <c r="AI1825" s="43"/>
      <c r="AJ1825" s="43"/>
      <c r="AK1825" s="43"/>
      <c r="AL1825" s="43"/>
      <c r="AM1825" s="43"/>
      <c r="AN1825" s="19">
        <v>16</v>
      </c>
      <c r="AO1825" s="43"/>
      <c r="AP1825" s="43"/>
      <c r="AQ1825" s="43"/>
      <c r="AR1825" s="43"/>
      <c r="AS1825" s="43"/>
      <c r="AT1825" s="43"/>
      <c r="AU1825" s="43"/>
      <c r="AV1825" s="43"/>
    </row>
    <row r="1826" ht="15.75" spans="1:48">
      <c r="A1826" s="12">
        <v>1822</v>
      </c>
      <c r="B1826" s="44">
        <v>4031</v>
      </c>
      <c r="C1826" s="45" t="s">
        <v>64</v>
      </c>
      <c r="D1826" s="46" t="s">
        <v>264</v>
      </c>
      <c r="E1826" s="47" t="s">
        <v>113</v>
      </c>
      <c r="F1826" s="48">
        <v>10.33</v>
      </c>
      <c r="G1826" s="38">
        <v>1.67</v>
      </c>
      <c r="H1826" s="39"/>
      <c r="I1826" s="39"/>
      <c r="J1826" s="39"/>
      <c r="K1826" s="39">
        <v>0.17</v>
      </c>
      <c r="L1826" s="39"/>
      <c r="M1826" s="39"/>
      <c r="N1826" s="39"/>
      <c r="O1826" s="39"/>
      <c r="P1826" s="39"/>
      <c r="Q1826" s="39">
        <v>1.33</v>
      </c>
      <c r="R1826" s="39"/>
      <c r="S1826" s="39"/>
      <c r="T1826" s="39"/>
      <c r="U1826" s="39">
        <v>0.17</v>
      </c>
      <c r="V1826" s="39"/>
      <c r="W1826" s="39"/>
      <c r="X1826" s="49" t="s">
        <v>216</v>
      </c>
      <c r="Y1826" s="50">
        <v>8780.5</v>
      </c>
      <c r="Z1826" s="51">
        <v>8680</v>
      </c>
      <c r="AA1826" s="52">
        <f t="shared" si="45"/>
        <v>0.988554182563635</v>
      </c>
      <c r="AB1826" s="12">
        <v>8680</v>
      </c>
      <c r="AC1826" s="12">
        <v>0</v>
      </c>
      <c r="AD1826" s="43"/>
      <c r="AE1826" s="43"/>
      <c r="AF1826" s="43"/>
      <c r="AG1826" s="43"/>
      <c r="AH1826" s="43"/>
      <c r="AI1826" s="43"/>
      <c r="AJ1826" s="43"/>
      <c r="AK1826" s="43"/>
      <c r="AL1826" s="43"/>
      <c r="AM1826" s="43"/>
      <c r="AN1826" s="43"/>
      <c r="AO1826" s="43"/>
      <c r="AP1826" s="43"/>
      <c r="AQ1826" s="43"/>
      <c r="AR1826" s="43"/>
      <c r="AS1826" s="43"/>
      <c r="AT1826" s="43"/>
      <c r="AU1826" s="43"/>
      <c r="AV1826" s="43"/>
    </row>
    <row r="1827" ht="15.75" spans="1:48">
      <c r="A1827" s="12">
        <v>1823</v>
      </c>
      <c r="B1827" s="44" t="s">
        <v>387</v>
      </c>
      <c r="C1827" s="45" t="s">
        <v>388</v>
      </c>
      <c r="D1827" s="46">
        <v>1</v>
      </c>
      <c r="E1827" s="47" t="s">
        <v>113</v>
      </c>
      <c r="F1827" s="48">
        <v>10.5</v>
      </c>
      <c r="G1827" s="38">
        <v>1.5</v>
      </c>
      <c r="H1827" s="39"/>
      <c r="I1827" s="39"/>
      <c r="J1827" s="39"/>
      <c r="K1827" s="39"/>
      <c r="L1827" s="39"/>
      <c r="M1827" s="39"/>
      <c r="N1827" s="39"/>
      <c r="O1827" s="39"/>
      <c r="P1827" s="39"/>
      <c r="Q1827" s="39">
        <v>1.33</v>
      </c>
      <c r="R1827" s="39"/>
      <c r="S1827" s="39"/>
      <c r="T1827" s="39"/>
      <c r="U1827" s="39">
        <v>0.17</v>
      </c>
      <c r="V1827" s="39"/>
      <c r="W1827" s="39"/>
      <c r="X1827" s="49" t="s">
        <v>199</v>
      </c>
      <c r="Y1827" s="50">
        <v>3675</v>
      </c>
      <c r="Z1827" s="51">
        <v>2760</v>
      </c>
      <c r="AA1827" s="52">
        <f t="shared" si="45"/>
        <v>0.751020408163265</v>
      </c>
      <c r="AB1827" s="12">
        <v>2760</v>
      </c>
      <c r="AC1827" s="12">
        <v>0</v>
      </c>
      <c r="AD1827" s="43"/>
      <c r="AE1827" s="43"/>
      <c r="AF1827" s="43"/>
      <c r="AG1827" s="43"/>
      <c r="AH1827" s="43"/>
      <c r="AI1827" s="43"/>
      <c r="AJ1827" s="43"/>
      <c r="AK1827" s="43"/>
      <c r="AL1827" s="43"/>
      <c r="AM1827" s="43"/>
      <c r="AN1827" s="43"/>
      <c r="AO1827" s="43"/>
      <c r="AP1827" s="43"/>
      <c r="AQ1827" s="43"/>
      <c r="AR1827" s="43"/>
      <c r="AS1827" s="43"/>
      <c r="AT1827" s="43"/>
      <c r="AU1827" s="43"/>
      <c r="AV1827" s="43"/>
    </row>
    <row r="1828" ht="15.75" spans="1:48">
      <c r="A1828" s="12">
        <v>1824</v>
      </c>
      <c r="B1828" s="44">
        <v>3352</v>
      </c>
      <c r="C1828" s="45" t="s">
        <v>66</v>
      </c>
      <c r="D1828" s="46"/>
      <c r="E1828" s="47" t="s">
        <v>113</v>
      </c>
      <c r="F1828" s="48">
        <v>10.66</v>
      </c>
      <c r="G1828" s="38">
        <v>1.33</v>
      </c>
      <c r="H1828" s="39"/>
      <c r="I1828" s="39"/>
      <c r="J1828" s="39"/>
      <c r="K1828" s="39"/>
      <c r="L1828" s="39"/>
      <c r="M1828" s="39"/>
      <c r="N1828" s="39"/>
      <c r="O1828" s="39"/>
      <c r="P1828" s="39"/>
      <c r="Q1828" s="39">
        <v>1.33</v>
      </c>
      <c r="R1828" s="39"/>
      <c r="S1828" s="39"/>
      <c r="T1828" s="39"/>
      <c r="U1828" s="39"/>
      <c r="V1828" s="39"/>
      <c r="W1828" s="39"/>
      <c r="X1828" s="49" t="s">
        <v>120</v>
      </c>
      <c r="Y1828" s="50">
        <v>2665</v>
      </c>
      <c r="Z1828" s="51">
        <v>2650</v>
      </c>
      <c r="AA1828" s="52">
        <f t="shared" si="45"/>
        <v>0.99437148217636</v>
      </c>
      <c r="AB1828" s="12">
        <v>2650</v>
      </c>
      <c r="AC1828" s="12">
        <v>0</v>
      </c>
      <c r="AD1828" s="43"/>
      <c r="AE1828" s="43"/>
      <c r="AF1828" s="43"/>
      <c r="AG1828" s="43"/>
      <c r="AH1828" s="43"/>
      <c r="AI1828" s="43"/>
      <c r="AJ1828" s="43"/>
      <c r="AK1828" s="43"/>
      <c r="AL1828" s="43"/>
      <c r="AM1828" s="43"/>
      <c r="AN1828" s="43"/>
      <c r="AO1828" s="43"/>
      <c r="AP1828" s="43"/>
      <c r="AQ1828" s="43"/>
      <c r="AR1828" s="43"/>
      <c r="AS1828" s="43"/>
      <c r="AT1828" s="43"/>
      <c r="AU1828" s="43"/>
      <c r="AV1828" s="43"/>
    </row>
    <row r="1829" ht="15.75" spans="1:48">
      <c r="A1829" s="12">
        <v>1825</v>
      </c>
      <c r="B1829" s="44">
        <v>3526</v>
      </c>
      <c r="C1829" s="45" t="s">
        <v>65</v>
      </c>
      <c r="D1829" s="46"/>
      <c r="E1829" s="47" t="s">
        <v>113</v>
      </c>
      <c r="F1829" s="48">
        <v>10.66</v>
      </c>
      <c r="G1829" s="38">
        <v>1.33</v>
      </c>
      <c r="H1829" s="39"/>
      <c r="I1829" s="39"/>
      <c r="J1829" s="39"/>
      <c r="K1829" s="39"/>
      <c r="L1829" s="39"/>
      <c r="M1829" s="39"/>
      <c r="N1829" s="39"/>
      <c r="O1829" s="39"/>
      <c r="P1829" s="39"/>
      <c r="Q1829" s="39">
        <v>1.33</v>
      </c>
      <c r="R1829" s="39"/>
      <c r="S1829" s="39"/>
      <c r="T1829" s="39"/>
      <c r="U1829" s="39"/>
      <c r="V1829" s="39"/>
      <c r="W1829" s="39"/>
      <c r="X1829" s="49" t="s">
        <v>246</v>
      </c>
      <c r="Y1829" s="50">
        <v>3571.1</v>
      </c>
      <c r="Z1829" s="51">
        <v>3350</v>
      </c>
      <c r="AA1829" s="52">
        <f t="shared" si="45"/>
        <v>0.938086303939963</v>
      </c>
      <c r="AB1829" s="12">
        <v>3350</v>
      </c>
      <c r="AC1829" s="12">
        <v>0</v>
      </c>
      <c r="AD1829" s="43"/>
      <c r="AE1829" s="43"/>
      <c r="AF1829" s="43"/>
      <c r="AG1829" s="43"/>
      <c r="AH1829" s="43"/>
      <c r="AI1829" s="43"/>
      <c r="AJ1829" s="43"/>
      <c r="AK1829" s="43"/>
      <c r="AL1829" s="43"/>
      <c r="AM1829" s="43"/>
      <c r="AN1829" s="43"/>
      <c r="AO1829" s="43"/>
      <c r="AP1829" s="43"/>
      <c r="AQ1829" s="43"/>
      <c r="AR1829" s="43"/>
      <c r="AS1829" s="43"/>
      <c r="AT1829" s="43"/>
      <c r="AU1829" s="43"/>
      <c r="AV1829" s="43"/>
    </row>
    <row r="1830" ht="15.75" spans="1:48">
      <c r="A1830" s="12">
        <v>1826</v>
      </c>
      <c r="B1830" s="44" t="s">
        <v>389</v>
      </c>
      <c r="C1830" s="45" t="s">
        <v>390</v>
      </c>
      <c r="D1830" s="46">
        <v>11</v>
      </c>
      <c r="E1830" s="47" t="s">
        <v>113</v>
      </c>
      <c r="F1830" s="48">
        <v>10.5</v>
      </c>
      <c r="G1830" s="38">
        <v>1.5</v>
      </c>
      <c r="H1830" s="39"/>
      <c r="I1830" s="39"/>
      <c r="J1830" s="39"/>
      <c r="K1830" s="39"/>
      <c r="L1830" s="39"/>
      <c r="M1830" s="39"/>
      <c r="N1830" s="39"/>
      <c r="O1830" s="39"/>
      <c r="P1830" s="39"/>
      <c r="Q1830" s="39">
        <v>1.33</v>
      </c>
      <c r="R1830" s="39"/>
      <c r="S1830" s="39"/>
      <c r="T1830" s="39"/>
      <c r="U1830" s="39">
        <v>0.17</v>
      </c>
      <c r="V1830" s="39"/>
      <c r="W1830" s="39"/>
      <c r="X1830" s="49" t="s">
        <v>239</v>
      </c>
      <c r="Y1830" s="50">
        <v>5355</v>
      </c>
      <c r="Z1830" s="51">
        <v>5265</v>
      </c>
      <c r="AA1830" s="52">
        <f t="shared" si="45"/>
        <v>0.983193277310924</v>
      </c>
      <c r="AB1830" s="12">
        <v>5265</v>
      </c>
      <c r="AC1830" s="12">
        <v>0</v>
      </c>
      <c r="AD1830" s="43"/>
      <c r="AE1830" s="43"/>
      <c r="AF1830" s="43"/>
      <c r="AG1830" s="43"/>
      <c r="AH1830" s="43"/>
      <c r="AI1830" s="43"/>
      <c r="AJ1830" s="43"/>
      <c r="AK1830" s="43"/>
      <c r="AL1830" s="43"/>
      <c r="AM1830" s="43"/>
      <c r="AN1830" s="43"/>
      <c r="AO1830" s="43"/>
      <c r="AP1830" s="43"/>
      <c r="AQ1830" s="43"/>
      <c r="AR1830" s="43"/>
      <c r="AS1830" s="43"/>
      <c r="AT1830" s="43"/>
      <c r="AU1830" s="43"/>
      <c r="AV1830" s="43"/>
    </row>
    <row r="1831" ht="15.75" spans="1:48">
      <c r="A1831" s="12">
        <v>1827</v>
      </c>
      <c r="B1831" s="44">
        <v>698</v>
      </c>
      <c r="C1831" s="45" t="s">
        <v>68</v>
      </c>
      <c r="D1831" s="46"/>
      <c r="E1831" s="47" t="s">
        <v>113</v>
      </c>
      <c r="F1831" s="48">
        <v>3.57142857142857</v>
      </c>
      <c r="G1831" s="38">
        <v>1</v>
      </c>
      <c r="H1831" s="39"/>
      <c r="I1831" s="39"/>
      <c r="J1831" s="39"/>
      <c r="K1831" s="39"/>
      <c r="L1831" s="39"/>
      <c r="M1831" s="39"/>
      <c r="N1831" s="39"/>
      <c r="O1831" s="39"/>
      <c r="P1831" s="39"/>
      <c r="Q1831" s="39"/>
      <c r="R1831" s="39"/>
      <c r="S1831" s="39"/>
      <c r="T1831" s="39">
        <v>1</v>
      </c>
      <c r="U1831" s="39"/>
      <c r="V1831" s="39"/>
      <c r="W1831" s="39"/>
      <c r="X1831" s="49" t="s">
        <v>233</v>
      </c>
      <c r="Y1831" s="50">
        <v>642.857142857143</v>
      </c>
      <c r="Z1831" s="51">
        <v>650</v>
      </c>
      <c r="AA1831" s="52">
        <f t="shared" si="45"/>
        <v>1.01111111111111</v>
      </c>
      <c r="AB1831" s="12">
        <v>650</v>
      </c>
      <c r="AC1831" s="12">
        <v>0</v>
      </c>
      <c r="AD1831" s="43"/>
      <c r="AE1831" s="43"/>
      <c r="AF1831" s="43"/>
      <c r="AG1831" s="43"/>
      <c r="AH1831" s="43"/>
      <c r="AI1831" s="43"/>
      <c r="AJ1831" s="43"/>
      <c r="AK1831" s="43"/>
      <c r="AL1831" s="43"/>
      <c r="AM1831" s="43"/>
      <c r="AN1831" s="43"/>
      <c r="AO1831" s="43"/>
      <c r="AP1831" s="43"/>
      <c r="AQ1831" s="43"/>
      <c r="AR1831" s="43"/>
      <c r="AS1831" s="43"/>
      <c r="AT1831" s="43"/>
      <c r="AU1831" s="43"/>
      <c r="AV1831" s="43"/>
    </row>
    <row r="1832" ht="15.75" spans="1:48">
      <c r="A1832" s="12">
        <v>1828</v>
      </c>
      <c r="B1832" s="44">
        <v>698</v>
      </c>
      <c r="C1832" s="45" t="s">
        <v>68</v>
      </c>
      <c r="D1832" s="46"/>
      <c r="E1832" s="47" t="s">
        <v>113</v>
      </c>
      <c r="F1832" s="48">
        <v>6.08857142857143</v>
      </c>
      <c r="G1832" s="38">
        <v>1.33</v>
      </c>
      <c r="H1832" s="39"/>
      <c r="I1832" s="39"/>
      <c r="J1832" s="39"/>
      <c r="K1832" s="39"/>
      <c r="L1832" s="39"/>
      <c r="M1832" s="39"/>
      <c r="N1832" s="39"/>
      <c r="O1832" s="39"/>
      <c r="P1832" s="39"/>
      <c r="Q1832" s="39">
        <v>1.33</v>
      </c>
      <c r="R1832" s="39"/>
      <c r="S1832" s="39"/>
      <c r="T1832" s="39"/>
      <c r="U1832" s="39"/>
      <c r="V1832" s="39"/>
      <c r="W1832" s="39"/>
      <c r="X1832" s="49" t="s">
        <v>232</v>
      </c>
      <c r="Y1832" s="50">
        <v>1095.94285714286</v>
      </c>
      <c r="Z1832" s="51">
        <v>1100</v>
      </c>
      <c r="AA1832" s="52">
        <f t="shared" si="45"/>
        <v>1.00370196569164</v>
      </c>
      <c r="AB1832" s="12">
        <v>1100</v>
      </c>
      <c r="AC1832" s="12">
        <v>0</v>
      </c>
      <c r="AD1832" s="43"/>
      <c r="AE1832" s="43"/>
      <c r="AF1832" s="43"/>
      <c r="AG1832" s="43"/>
      <c r="AH1832" s="43"/>
      <c r="AI1832" s="43"/>
      <c r="AJ1832" s="43"/>
      <c r="AK1832" s="43"/>
      <c r="AL1832" s="43"/>
      <c r="AM1832" s="43"/>
      <c r="AN1832" s="43"/>
      <c r="AO1832" s="43"/>
      <c r="AP1832" s="43"/>
      <c r="AQ1832" s="43"/>
      <c r="AR1832" s="43"/>
      <c r="AS1832" s="43"/>
      <c r="AT1832" s="43"/>
      <c r="AU1832" s="43"/>
      <c r="AV1832" s="43"/>
    </row>
    <row r="1833" ht="15.75" spans="1:48">
      <c r="A1833" s="12">
        <v>1829</v>
      </c>
      <c r="B1833" s="44">
        <v>4185</v>
      </c>
      <c r="C1833" s="45" t="s">
        <v>72</v>
      </c>
      <c r="D1833" s="46" t="s">
        <v>83</v>
      </c>
      <c r="E1833" s="47" t="s">
        <v>113</v>
      </c>
      <c r="F1833" s="48">
        <v>9.83</v>
      </c>
      <c r="G1833" s="38">
        <v>1.66</v>
      </c>
      <c r="H1833" s="39"/>
      <c r="I1833" s="39"/>
      <c r="J1833" s="39"/>
      <c r="K1833" s="39"/>
      <c r="L1833" s="39"/>
      <c r="M1833" s="39"/>
      <c r="N1833" s="39"/>
      <c r="O1833" s="39"/>
      <c r="P1833" s="39"/>
      <c r="Q1833" s="39">
        <v>1.33</v>
      </c>
      <c r="R1833" s="39"/>
      <c r="S1833" s="39"/>
      <c r="T1833" s="39"/>
      <c r="U1833" s="39">
        <v>0.33</v>
      </c>
      <c r="V1833" s="39"/>
      <c r="W1833" s="39"/>
      <c r="X1833" s="49" t="s">
        <v>342</v>
      </c>
      <c r="Y1833" s="50">
        <v>44235</v>
      </c>
      <c r="Z1833" s="51">
        <v>42312</v>
      </c>
      <c r="AA1833" s="52">
        <f t="shared" si="45"/>
        <v>0.956527636486945</v>
      </c>
      <c r="AB1833" s="12">
        <v>42264</v>
      </c>
      <c r="AC1833" s="12">
        <v>48</v>
      </c>
      <c r="AD1833" s="43"/>
      <c r="AE1833" s="43"/>
      <c r="AF1833" s="43"/>
      <c r="AG1833" s="19">
        <v>48</v>
      </c>
      <c r="AH1833" s="43"/>
      <c r="AI1833" s="43"/>
      <c r="AJ1833" s="43"/>
      <c r="AK1833" s="43"/>
      <c r="AL1833" s="43"/>
      <c r="AM1833" s="43"/>
      <c r="AN1833" s="43"/>
      <c r="AO1833" s="43"/>
      <c r="AP1833" s="43"/>
      <c r="AQ1833" s="43"/>
      <c r="AR1833" s="43"/>
      <c r="AS1833" s="43"/>
      <c r="AT1833" s="43"/>
      <c r="AU1833" s="43"/>
      <c r="AV1833" s="43"/>
    </row>
    <row r="1834" ht="15.75" spans="1:48">
      <c r="A1834" s="12">
        <v>1830</v>
      </c>
      <c r="B1834" s="44">
        <v>4185</v>
      </c>
      <c r="C1834" s="45" t="s">
        <v>72</v>
      </c>
      <c r="D1834" s="46" t="s">
        <v>76</v>
      </c>
      <c r="E1834" s="47" t="s">
        <v>113</v>
      </c>
      <c r="F1834" s="48">
        <v>9.83</v>
      </c>
      <c r="G1834" s="38">
        <v>2.16</v>
      </c>
      <c r="H1834" s="39"/>
      <c r="I1834" s="39"/>
      <c r="J1834" s="39"/>
      <c r="K1834" s="39">
        <v>0.5</v>
      </c>
      <c r="L1834" s="39"/>
      <c r="M1834" s="39"/>
      <c r="N1834" s="39"/>
      <c r="O1834" s="39"/>
      <c r="P1834" s="39"/>
      <c r="Q1834" s="39">
        <v>1.33</v>
      </c>
      <c r="R1834" s="39"/>
      <c r="S1834" s="39"/>
      <c r="T1834" s="39"/>
      <c r="U1834" s="39">
        <v>0.33</v>
      </c>
      <c r="V1834" s="39"/>
      <c r="W1834" s="39"/>
      <c r="X1834" s="49" t="s">
        <v>77</v>
      </c>
      <c r="Y1834" s="50">
        <v>58980</v>
      </c>
      <c r="Z1834" s="51">
        <v>54400</v>
      </c>
      <c r="AA1834" s="52">
        <f t="shared" si="45"/>
        <v>0.922346558155307</v>
      </c>
      <c r="AB1834" s="12">
        <v>54400</v>
      </c>
      <c r="AC1834" s="12">
        <v>0</v>
      </c>
      <c r="AD1834" s="43"/>
      <c r="AE1834" s="43"/>
      <c r="AF1834" s="43"/>
      <c r="AG1834" s="43"/>
      <c r="AH1834" s="43"/>
      <c r="AI1834" s="43"/>
      <c r="AJ1834" s="43"/>
      <c r="AK1834" s="43"/>
      <c r="AL1834" s="43"/>
      <c r="AM1834" s="43"/>
      <c r="AN1834" s="43"/>
      <c r="AO1834" s="43"/>
      <c r="AP1834" s="43"/>
      <c r="AQ1834" s="43"/>
      <c r="AR1834" s="43"/>
      <c r="AS1834" s="43"/>
      <c r="AT1834" s="43"/>
      <c r="AU1834" s="43"/>
      <c r="AV1834" s="43"/>
    </row>
    <row r="1835" ht="15.75" spans="1:48">
      <c r="A1835" s="12">
        <v>1831</v>
      </c>
      <c r="B1835" s="44">
        <v>4185</v>
      </c>
      <c r="C1835" s="45" t="s">
        <v>72</v>
      </c>
      <c r="D1835" s="46" t="s">
        <v>78</v>
      </c>
      <c r="E1835" s="47" t="s">
        <v>113</v>
      </c>
      <c r="F1835" s="48">
        <v>10</v>
      </c>
      <c r="G1835" s="38">
        <v>1.99</v>
      </c>
      <c r="H1835" s="39"/>
      <c r="I1835" s="39"/>
      <c r="J1835" s="39"/>
      <c r="K1835" s="39">
        <v>0.33</v>
      </c>
      <c r="L1835" s="39"/>
      <c r="M1835" s="39"/>
      <c r="N1835" s="39"/>
      <c r="O1835" s="39"/>
      <c r="P1835" s="39"/>
      <c r="Q1835" s="39">
        <v>1.33</v>
      </c>
      <c r="R1835" s="39"/>
      <c r="S1835" s="39"/>
      <c r="T1835" s="39"/>
      <c r="U1835" s="39">
        <v>0.33</v>
      </c>
      <c r="V1835" s="39"/>
      <c r="W1835" s="39"/>
      <c r="X1835" s="49" t="s">
        <v>79</v>
      </c>
      <c r="Y1835" s="50">
        <v>66600</v>
      </c>
      <c r="Z1835" s="51">
        <v>58080</v>
      </c>
      <c r="AA1835" s="52">
        <f t="shared" si="45"/>
        <v>0.872072072072072</v>
      </c>
      <c r="AB1835" s="12">
        <v>58024</v>
      </c>
      <c r="AC1835" s="12">
        <v>56</v>
      </c>
      <c r="AD1835" s="43"/>
      <c r="AE1835" s="43"/>
      <c r="AF1835" s="43"/>
      <c r="AG1835" s="19">
        <v>56</v>
      </c>
      <c r="AH1835" s="43"/>
      <c r="AI1835" s="43"/>
      <c r="AJ1835" s="43"/>
      <c r="AK1835" s="43"/>
      <c r="AL1835" s="43"/>
      <c r="AM1835" s="43"/>
      <c r="AN1835" s="43"/>
      <c r="AO1835" s="43"/>
      <c r="AP1835" s="43"/>
      <c r="AQ1835" s="43"/>
      <c r="AR1835" s="43"/>
      <c r="AS1835" s="43"/>
      <c r="AT1835" s="43"/>
      <c r="AU1835" s="43"/>
      <c r="AV1835" s="43"/>
    </row>
    <row r="1836" ht="15.75" spans="1:48">
      <c r="A1836" s="12">
        <v>1832</v>
      </c>
      <c r="B1836" s="44">
        <v>4344</v>
      </c>
      <c r="C1836" s="45" t="s">
        <v>85</v>
      </c>
      <c r="D1836" s="46" t="s">
        <v>73</v>
      </c>
      <c r="E1836" s="47" t="s">
        <v>113</v>
      </c>
      <c r="F1836" s="48">
        <v>2.33</v>
      </c>
      <c r="G1836" s="38">
        <v>0.34</v>
      </c>
      <c r="H1836" s="39"/>
      <c r="I1836" s="39"/>
      <c r="J1836" s="39"/>
      <c r="K1836" s="39">
        <v>0.17</v>
      </c>
      <c r="L1836" s="39"/>
      <c r="M1836" s="39"/>
      <c r="N1836" s="39"/>
      <c r="O1836" s="39"/>
      <c r="P1836" s="39"/>
      <c r="Q1836" s="39"/>
      <c r="R1836" s="39"/>
      <c r="S1836" s="39"/>
      <c r="T1836" s="39"/>
      <c r="U1836" s="39">
        <v>0.17</v>
      </c>
      <c r="V1836" s="39"/>
      <c r="W1836" s="39"/>
      <c r="X1836" s="49" t="s">
        <v>139</v>
      </c>
      <c r="Y1836" s="50">
        <v>3553.25</v>
      </c>
      <c r="Z1836" s="51">
        <v>3376</v>
      </c>
      <c r="AA1836" s="52">
        <f t="shared" si="45"/>
        <v>0.950116090902695</v>
      </c>
      <c r="AB1836" s="12">
        <v>3376</v>
      </c>
      <c r="AC1836" s="12">
        <v>0</v>
      </c>
      <c r="AD1836" s="43"/>
      <c r="AE1836" s="43"/>
      <c r="AF1836" s="43"/>
      <c r="AG1836" s="43"/>
      <c r="AH1836" s="43"/>
      <c r="AI1836" s="43"/>
      <c r="AJ1836" s="43"/>
      <c r="AK1836" s="43"/>
      <c r="AL1836" s="43"/>
      <c r="AM1836" s="43"/>
      <c r="AN1836" s="43"/>
      <c r="AO1836" s="43"/>
      <c r="AP1836" s="43"/>
      <c r="AQ1836" s="43"/>
      <c r="AR1836" s="43"/>
      <c r="AS1836" s="43"/>
      <c r="AT1836" s="43"/>
      <c r="AU1836" s="43"/>
      <c r="AV1836" s="43"/>
    </row>
    <row r="1837" ht="15.75" spans="1:48">
      <c r="A1837" s="12">
        <v>1833</v>
      </c>
      <c r="B1837" s="44">
        <v>4344</v>
      </c>
      <c r="C1837" s="45" t="s">
        <v>85</v>
      </c>
      <c r="D1837" s="46" t="s">
        <v>81</v>
      </c>
      <c r="E1837" s="47" t="s">
        <v>113</v>
      </c>
      <c r="F1837" s="48">
        <v>7.83</v>
      </c>
      <c r="G1837" s="38">
        <v>1.5</v>
      </c>
      <c r="H1837" s="39"/>
      <c r="I1837" s="39"/>
      <c r="J1837" s="39"/>
      <c r="K1837" s="39"/>
      <c r="L1837" s="39"/>
      <c r="M1837" s="39"/>
      <c r="N1837" s="39"/>
      <c r="O1837" s="39"/>
      <c r="P1837" s="39"/>
      <c r="Q1837" s="39">
        <v>1.33</v>
      </c>
      <c r="R1837" s="39"/>
      <c r="S1837" s="39"/>
      <c r="T1837" s="39"/>
      <c r="U1837" s="39">
        <v>0.17</v>
      </c>
      <c r="V1837" s="39"/>
      <c r="W1837" s="39"/>
      <c r="X1837" s="49" t="s">
        <v>208</v>
      </c>
      <c r="Y1837" s="50">
        <v>11940.75</v>
      </c>
      <c r="Z1837" s="51">
        <v>11052</v>
      </c>
      <c r="AA1837" s="52">
        <f t="shared" si="45"/>
        <v>0.925570001884304</v>
      </c>
      <c r="AB1837" s="12">
        <v>11052</v>
      </c>
      <c r="AC1837" s="12">
        <v>0</v>
      </c>
      <c r="AD1837" s="43"/>
      <c r="AE1837" s="43"/>
      <c r="AF1837" s="43"/>
      <c r="AG1837" s="43"/>
      <c r="AH1837" s="43"/>
      <c r="AI1837" s="43"/>
      <c r="AJ1837" s="43"/>
      <c r="AK1837" s="43"/>
      <c r="AL1837" s="43"/>
      <c r="AM1837" s="43"/>
      <c r="AN1837" s="43"/>
      <c r="AO1837" s="43"/>
      <c r="AP1837" s="43"/>
      <c r="AQ1837" s="43"/>
      <c r="AR1837" s="43"/>
      <c r="AS1837" s="43"/>
      <c r="AT1837" s="43"/>
      <c r="AU1837" s="43"/>
      <c r="AV1837" s="43"/>
    </row>
    <row r="1838" ht="15.75" spans="1:48">
      <c r="A1838" s="12">
        <v>1834</v>
      </c>
      <c r="B1838" s="44">
        <v>4173</v>
      </c>
      <c r="C1838" s="45" t="s">
        <v>75</v>
      </c>
      <c r="D1838" s="46" t="s">
        <v>138</v>
      </c>
      <c r="E1838" s="47" t="s">
        <v>113</v>
      </c>
      <c r="F1838" s="48">
        <v>4.5</v>
      </c>
      <c r="G1838" s="38">
        <v>1.5</v>
      </c>
      <c r="H1838" s="39"/>
      <c r="I1838" s="39"/>
      <c r="J1838" s="39"/>
      <c r="K1838" s="39"/>
      <c r="L1838" s="39"/>
      <c r="M1838" s="39"/>
      <c r="N1838" s="39"/>
      <c r="O1838" s="39"/>
      <c r="P1838" s="39"/>
      <c r="Q1838" s="39">
        <v>1.33</v>
      </c>
      <c r="R1838" s="39"/>
      <c r="S1838" s="39"/>
      <c r="T1838" s="39"/>
      <c r="U1838" s="39">
        <v>0.17</v>
      </c>
      <c r="V1838" s="39"/>
      <c r="W1838" s="39"/>
      <c r="X1838" s="49" t="s">
        <v>82</v>
      </c>
      <c r="Y1838" s="50">
        <v>7312.5</v>
      </c>
      <c r="Z1838" s="51">
        <v>7144</v>
      </c>
      <c r="AA1838" s="52">
        <f t="shared" si="45"/>
        <v>0.976957264957265</v>
      </c>
      <c r="AB1838" s="12">
        <v>7128</v>
      </c>
      <c r="AC1838" s="12">
        <v>16</v>
      </c>
      <c r="AD1838" s="43"/>
      <c r="AE1838" s="43"/>
      <c r="AF1838" s="43"/>
      <c r="AG1838" s="19">
        <v>16</v>
      </c>
      <c r="AH1838" s="43"/>
      <c r="AI1838" s="43"/>
      <c r="AJ1838" s="43"/>
      <c r="AK1838" s="43"/>
      <c r="AL1838" s="43"/>
      <c r="AM1838" s="43"/>
      <c r="AN1838" s="43"/>
      <c r="AO1838" s="43"/>
      <c r="AP1838" s="43"/>
      <c r="AQ1838" s="43"/>
      <c r="AR1838" s="43"/>
      <c r="AS1838" s="43"/>
      <c r="AT1838" s="43"/>
      <c r="AU1838" s="43"/>
      <c r="AV1838" s="43"/>
    </row>
    <row r="1839" ht="15.75" spans="1:48">
      <c r="A1839" s="12">
        <v>1835</v>
      </c>
      <c r="B1839" s="44">
        <v>3268</v>
      </c>
      <c r="C1839" s="45" t="s">
        <v>80</v>
      </c>
      <c r="D1839" s="46">
        <v>17</v>
      </c>
      <c r="E1839" s="47" t="s">
        <v>113</v>
      </c>
      <c r="F1839" s="48">
        <v>5.5</v>
      </c>
      <c r="G1839" s="38">
        <v>1.5</v>
      </c>
      <c r="H1839" s="39"/>
      <c r="I1839" s="39"/>
      <c r="J1839" s="39"/>
      <c r="K1839" s="39"/>
      <c r="L1839" s="39"/>
      <c r="M1839" s="39"/>
      <c r="N1839" s="39"/>
      <c r="O1839" s="39"/>
      <c r="P1839" s="39"/>
      <c r="Q1839" s="39">
        <v>1.33</v>
      </c>
      <c r="R1839" s="39"/>
      <c r="S1839" s="39"/>
      <c r="T1839" s="39"/>
      <c r="U1839" s="39">
        <v>0.17</v>
      </c>
      <c r="V1839" s="39"/>
      <c r="W1839" s="39"/>
      <c r="X1839" s="49" t="s">
        <v>222</v>
      </c>
      <c r="Y1839" s="50">
        <v>7975</v>
      </c>
      <c r="Z1839" s="51">
        <v>7650</v>
      </c>
      <c r="AA1839" s="52">
        <f t="shared" si="45"/>
        <v>0.959247648902821</v>
      </c>
      <c r="AB1839" s="12">
        <v>7650</v>
      </c>
      <c r="AC1839" s="12">
        <v>0</v>
      </c>
      <c r="AD1839" s="43"/>
      <c r="AE1839" s="43"/>
      <c r="AF1839" s="43"/>
      <c r="AG1839" s="43"/>
      <c r="AH1839" s="43"/>
      <c r="AI1839" s="43"/>
      <c r="AJ1839" s="43"/>
      <c r="AK1839" s="43"/>
      <c r="AL1839" s="43"/>
      <c r="AM1839" s="43"/>
      <c r="AN1839" s="43"/>
      <c r="AO1839" s="43"/>
      <c r="AP1839" s="43"/>
      <c r="AQ1839" s="43"/>
      <c r="AR1839" s="43"/>
      <c r="AS1839" s="43"/>
      <c r="AT1839" s="43"/>
      <c r="AU1839" s="43"/>
      <c r="AV1839" s="43"/>
    </row>
    <row r="1840" ht="15.75" spans="1:48">
      <c r="A1840" s="12">
        <v>1836</v>
      </c>
      <c r="B1840" s="44">
        <v>4310</v>
      </c>
      <c r="C1840" s="45" t="s">
        <v>99</v>
      </c>
      <c r="D1840" s="46">
        <v>3</v>
      </c>
      <c r="E1840" s="47"/>
      <c r="F1840" s="48">
        <v>0.42</v>
      </c>
      <c r="G1840" s="38">
        <v>0</v>
      </c>
      <c r="H1840" s="39"/>
      <c r="I1840" s="39"/>
      <c r="J1840" s="39"/>
      <c r="K1840" s="39"/>
      <c r="L1840" s="39"/>
      <c r="M1840" s="39"/>
      <c r="N1840" s="39"/>
      <c r="O1840" s="39"/>
      <c r="P1840" s="39"/>
      <c r="Q1840" s="39"/>
      <c r="R1840" s="39"/>
      <c r="S1840" s="39"/>
      <c r="T1840" s="39"/>
      <c r="U1840" s="39"/>
      <c r="V1840" s="39"/>
      <c r="W1840" s="39"/>
      <c r="X1840" s="49">
        <v>2801</v>
      </c>
      <c r="Y1840" s="50">
        <v>254.1</v>
      </c>
      <c r="Z1840" s="51">
        <v>162</v>
      </c>
      <c r="AA1840" s="52">
        <f t="shared" si="45"/>
        <v>0.63754427390791</v>
      </c>
      <c r="AB1840" s="12">
        <v>162</v>
      </c>
      <c r="AC1840" s="12">
        <v>0</v>
      </c>
      <c r="AD1840" s="43"/>
      <c r="AE1840" s="43"/>
      <c r="AF1840" s="43"/>
      <c r="AG1840" s="43"/>
      <c r="AH1840" s="43"/>
      <c r="AI1840" s="43"/>
      <c r="AJ1840" s="43"/>
      <c r="AK1840" s="43"/>
      <c r="AL1840" s="43"/>
      <c r="AM1840" s="43"/>
      <c r="AN1840" s="43"/>
      <c r="AO1840" s="43"/>
      <c r="AP1840" s="43"/>
      <c r="AQ1840" s="43"/>
      <c r="AR1840" s="43"/>
      <c r="AS1840" s="43"/>
      <c r="AT1840" s="43"/>
      <c r="AU1840" s="43"/>
      <c r="AV1840" s="43"/>
    </row>
    <row r="1841" ht="15.75" spans="1:48">
      <c r="A1841" s="12">
        <v>1837</v>
      </c>
      <c r="B1841" s="44">
        <v>4310</v>
      </c>
      <c r="C1841" s="45" t="s">
        <v>99</v>
      </c>
      <c r="D1841" s="46">
        <v>3</v>
      </c>
      <c r="E1841" s="47"/>
      <c r="F1841" s="48">
        <v>0.42</v>
      </c>
      <c r="G1841" s="38">
        <v>0</v>
      </c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  <c r="S1841" s="39"/>
      <c r="T1841" s="39"/>
      <c r="U1841" s="39"/>
      <c r="V1841" s="39"/>
      <c r="W1841" s="39"/>
      <c r="X1841" s="49">
        <v>8235</v>
      </c>
      <c r="Y1841" s="50">
        <v>277.2</v>
      </c>
      <c r="Z1841" s="51">
        <v>170</v>
      </c>
      <c r="AA1841" s="52">
        <f t="shared" si="45"/>
        <v>0.613275613275613</v>
      </c>
      <c r="AB1841" s="12">
        <v>170</v>
      </c>
      <c r="AC1841" s="12">
        <v>0</v>
      </c>
      <c r="AD1841" s="43"/>
      <c r="AE1841" s="43"/>
      <c r="AF1841" s="43"/>
      <c r="AG1841" s="43"/>
      <c r="AH1841" s="43"/>
      <c r="AI1841" s="43"/>
      <c r="AJ1841" s="43"/>
      <c r="AK1841" s="43"/>
      <c r="AL1841" s="43"/>
      <c r="AM1841" s="43"/>
      <c r="AN1841" s="43"/>
      <c r="AO1841" s="43"/>
      <c r="AP1841" s="43"/>
      <c r="AQ1841" s="43"/>
      <c r="AR1841" s="43"/>
      <c r="AS1841" s="43"/>
      <c r="AT1841" s="43"/>
      <c r="AU1841" s="43"/>
      <c r="AV1841" s="43"/>
    </row>
    <row r="1842" ht="15.75" spans="1:48">
      <c r="A1842" s="12">
        <v>1838</v>
      </c>
      <c r="B1842" s="44">
        <v>4360</v>
      </c>
      <c r="C1842" s="45" t="s">
        <v>97</v>
      </c>
      <c r="D1842" s="46">
        <v>15</v>
      </c>
      <c r="E1842" s="47"/>
      <c r="F1842" s="48">
        <v>6.5</v>
      </c>
      <c r="G1842" s="38">
        <v>3.51</v>
      </c>
      <c r="H1842" s="39"/>
      <c r="I1842" s="39"/>
      <c r="J1842" s="39"/>
      <c r="K1842" s="39"/>
      <c r="L1842" s="39"/>
      <c r="M1842" s="39"/>
      <c r="N1842" s="39"/>
      <c r="O1842" s="39"/>
      <c r="P1842" s="39"/>
      <c r="Q1842" s="39">
        <v>1.17</v>
      </c>
      <c r="R1842" s="39"/>
      <c r="S1842" s="39">
        <v>1.17</v>
      </c>
      <c r="T1842" s="39">
        <v>1</v>
      </c>
      <c r="U1842" s="39">
        <v>0.17</v>
      </c>
      <c r="V1842" s="39"/>
      <c r="W1842" s="39"/>
      <c r="X1842" s="49">
        <v>3880</v>
      </c>
      <c r="Y1842" s="50">
        <v>2600</v>
      </c>
      <c r="Z1842" s="51">
        <v>1633</v>
      </c>
      <c r="AA1842" s="52">
        <f t="shared" si="45"/>
        <v>0.628076923076923</v>
      </c>
      <c r="AB1842" s="12">
        <v>1437</v>
      </c>
      <c r="AC1842" s="12">
        <v>196</v>
      </c>
      <c r="AD1842" s="19">
        <v>196</v>
      </c>
      <c r="AE1842" s="43"/>
      <c r="AF1842" s="43"/>
      <c r="AG1842" s="43"/>
      <c r="AH1842" s="43"/>
      <c r="AI1842" s="43"/>
      <c r="AJ1842" s="43"/>
      <c r="AK1842" s="43"/>
      <c r="AL1842" s="43"/>
      <c r="AM1842" s="43"/>
      <c r="AN1842" s="43"/>
      <c r="AO1842" s="43"/>
      <c r="AP1842" s="43"/>
      <c r="AQ1842" s="43"/>
      <c r="AR1842" s="43"/>
      <c r="AS1842" s="43"/>
      <c r="AT1842" s="43"/>
      <c r="AU1842" s="43"/>
      <c r="AV1842" s="43"/>
    </row>
    <row r="1843" ht="15.75" spans="1:48">
      <c r="A1843" s="12">
        <v>1839</v>
      </c>
      <c r="B1843" s="44">
        <v>761</v>
      </c>
      <c r="C1843" s="45" t="s">
        <v>89</v>
      </c>
      <c r="D1843" s="46"/>
      <c r="E1843" s="47"/>
      <c r="F1843" s="48">
        <v>1.17</v>
      </c>
      <c r="G1843" s="38">
        <v>0</v>
      </c>
      <c r="H1843" s="39"/>
      <c r="I1843" s="39"/>
      <c r="J1843" s="39"/>
      <c r="K1843" s="39"/>
      <c r="L1843" s="39"/>
      <c r="M1843" s="39"/>
      <c r="N1843" s="39"/>
      <c r="O1843" s="39"/>
      <c r="P1843" s="39"/>
      <c r="Q1843" s="39"/>
      <c r="R1843" s="39"/>
      <c r="S1843" s="39"/>
      <c r="T1843" s="39"/>
      <c r="U1843" s="39"/>
      <c r="V1843" s="39"/>
      <c r="W1843" s="39"/>
      <c r="X1843" s="49" t="s">
        <v>98</v>
      </c>
      <c r="Y1843" s="50">
        <v>549.9</v>
      </c>
      <c r="Z1843" s="51">
        <v>540</v>
      </c>
      <c r="AA1843" s="52">
        <f t="shared" si="45"/>
        <v>0.981996726677578</v>
      </c>
      <c r="AB1843" s="12">
        <v>540</v>
      </c>
      <c r="AC1843" s="12">
        <v>0</v>
      </c>
      <c r="AD1843" s="43"/>
      <c r="AE1843" s="43"/>
      <c r="AF1843" s="43"/>
      <c r="AG1843" s="43"/>
      <c r="AH1843" s="43"/>
      <c r="AI1843" s="43"/>
      <c r="AJ1843" s="43"/>
      <c r="AK1843" s="43"/>
      <c r="AL1843" s="43"/>
      <c r="AM1843" s="43"/>
      <c r="AN1843" s="43"/>
      <c r="AO1843" s="43"/>
      <c r="AP1843" s="43"/>
      <c r="AQ1843" s="43"/>
      <c r="AR1843" s="43"/>
      <c r="AS1843" s="43"/>
      <c r="AT1843" s="43"/>
      <c r="AU1843" s="43"/>
      <c r="AV1843" s="43"/>
    </row>
    <row r="1844" ht="15.75" spans="1:48">
      <c r="A1844" s="12">
        <v>1840</v>
      </c>
      <c r="B1844" s="44" t="s">
        <v>187</v>
      </c>
      <c r="C1844" s="45" t="s">
        <v>188</v>
      </c>
      <c r="D1844" s="46">
        <v>6</v>
      </c>
      <c r="E1844" s="47"/>
      <c r="F1844" s="48">
        <v>3</v>
      </c>
      <c r="G1844" s="38">
        <v>0</v>
      </c>
      <c r="H1844" s="39"/>
      <c r="I1844" s="39"/>
      <c r="J1844" s="39"/>
      <c r="K1844" s="39"/>
      <c r="L1844" s="39"/>
      <c r="M1844" s="39"/>
      <c r="N1844" s="39"/>
      <c r="O1844" s="39"/>
      <c r="P1844" s="39"/>
      <c r="Q1844" s="39"/>
      <c r="R1844" s="39"/>
      <c r="S1844" s="39"/>
      <c r="T1844" s="39"/>
      <c r="U1844" s="39"/>
      <c r="V1844" s="39"/>
      <c r="W1844" s="39"/>
      <c r="X1844" s="49">
        <v>5770</v>
      </c>
      <c r="Y1844" s="50">
        <v>1815</v>
      </c>
      <c r="Z1844" s="51">
        <v>1560</v>
      </c>
      <c r="AA1844" s="52">
        <f t="shared" si="45"/>
        <v>0.859504132231405</v>
      </c>
      <c r="AB1844" s="12">
        <v>1560</v>
      </c>
      <c r="AC1844" s="12">
        <v>0</v>
      </c>
      <c r="AD1844" s="43"/>
      <c r="AE1844" s="43"/>
      <c r="AF1844" s="43"/>
      <c r="AG1844" s="43"/>
      <c r="AH1844" s="43"/>
      <c r="AI1844" s="43"/>
      <c r="AJ1844" s="43"/>
      <c r="AK1844" s="43"/>
      <c r="AL1844" s="43"/>
      <c r="AM1844" s="43"/>
      <c r="AN1844" s="43"/>
      <c r="AO1844" s="43"/>
      <c r="AP1844" s="43"/>
      <c r="AQ1844" s="43"/>
      <c r="AR1844" s="43"/>
      <c r="AS1844" s="43"/>
      <c r="AT1844" s="43"/>
      <c r="AU1844" s="43"/>
      <c r="AV1844" s="43"/>
    </row>
    <row r="1845" ht="15.75" spans="1:48">
      <c r="A1845" s="12">
        <v>1841</v>
      </c>
      <c r="B1845" s="44">
        <v>669</v>
      </c>
      <c r="C1845" s="45" t="s">
        <v>94</v>
      </c>
      <c r="D1845" s="46">
        <v>16</v>
      </c>
      <c r="E1845" s="47"/>
      <c r="F1845" s="48">
        <v>1</v>
      </c>
      <c r="G1845" s="38">
        <v>1.67</v>
      </c>
      <c r="H1845" s="39"/>
      <c r="I1845" s="39"/>
      <c r="J1845" s="39"/>
      <c r="K1845" s="39"/>
      <c r="L1845" s="39"/>
      <c r="M1845" s="39"/>
      <c r="N1845" s="39"/>
      <c r="O1845" s="39"/>
      <c r="P1845" s="39"/>
      <c r="Q1845" s="39">
        <v>1.33</v>
      </c>
      <c r="R1845" s="39"/>
      <c r="S1845" s="39"/>
      <c r="T1845" s="39">
        <v>0.17</v>
      </c>
      <c r="U1845" s="39">
        <v>0.17</v>
      </c>
      <c r="V1845" s="39"/>
      <c r="W1845" s="39"/>
      <c r="X1845" s="49">
        <v>9565</v>
      </c>
      <c r="Y1845" s="50">
        <v>200</v>
      </c>
      <c r="Z1845" s="51">
        <v>180</v>
      </c>
      <c r="AA1845" s="52">
        <f t="shared" si="45"/>
        <v>0.9</v>
      </c>
      <c r="AB1845" s="12">
        <v>180</v>
      </c>
      <c r="AC1845" s="12">
        <v>0</v>
      </c>
      <c r="AD1845" s="43"/>
      <c r="AE1845" s="43"/>
      <c r="AF1845" s="43"/>
      <c r="AG1845" s="43"/>
      <c r="AH1845" s="43"/>
      <c r="AI1845" s="43"/>
      <c r="AJ1845" s="43"/>
      <c r="AK1845" s="43"/>
      <c r="AL1845" s="43"/>
      <c r="AM1845" s="43"/>
      <c r="AN1845" s="43"/>
      <c r="AO1845" s="43"/>
      <c r="AP1845" s="43"/>
      <c r="AQ1845" s="43"/>
      <c r="AR1845" s="43"/>
      <c r="AS1845" s="43"/>
      <c r="AT1845" s="43"/>
      <c r="AU1845" s="43"/>
      <c r="AV1845" s="43"/>
    </row>
    <row r="1846" ht="15.75" spans="1:48">
      <c r="A1846" s="12">
        <v>1842</v>
      </c>
      <c r="B1846" s="44">
        <v>669</v>
      </c>
      <c r="C1846" s="45" t="s">
        <v>94</v>
      </c>
      <c r="D1846" s="46">
        <v>8</v>
      </c>
      <c r="E1846" s="47"/>
      <c r="F1846" s="48">
        <v>6.17</v>
      </c>
      <c r="G1846" s="38">
        <v>1.67</v>
      </c>
      <c r="H1846" s="39"/>
      <c r="I1846" s="39"/>
      <c r="J1846" s="39"/>
      <c r="K1846" s="39"/>
      <c r="L1846" s="39"/>
      <c r="M1846" s="39"/>
      <c r="N1846" s="39"/>
      <c r="O1846" s="39"/>
      <c r="P1846" s="39"/>
      <c r="Q1846" s="39"/>
      <c r="R1846" s="39"/>
      <c r="S1846" s="39">
        <v>1.17</v>
      </c>
      <c r="T1846" s="39">
        <v>0.33</v>
      </c>
      <c r="U1846" s="39">
        <v>0.17</v>
      </c>
      <c r="V1846" s="39"/>
      <c r="W1846" s="39"/>
      <c r="X1846" s="49">
        <v>6270</v>
      </c>
      <c r="Y1846" s="50">
        <v>3732.85</v>
      </c>
      <c r="Z1846" s="51">
        <v>4980</v>
      </c>
      <c r="AA1846" s="52">
        <f t="shared" ref="AA1846:AA1877" si="46">IFERROR(Z1846/Y1846,0)</f>
        <v>1.33410128989914</v>
      </c>
      <c r="AB1846" s="12">
        <v>4902</v>
      </c>
      <c r="AC1846" s="12">
        <v>78</v>
      </c>
      <c r="AD1846" s="19">
        <v>78</v>
      </c>
      <c r="AE1846" s="43"/>
      <c r="AF1846" s="43"/>
      <c r="AG1846" s="43"/>
      <c r="AH1846" s="43"/>
      <c r="AI1846" s="43"/>
      <c r="AJ1846" s="43"/>
      <c r="AK1846" s="43"/>
      <c r="AL1846" s="43"/>
      <c r="AM1846" s="43"/>
      <c r="AN1846" s="43"/>
      <c r="AO1846" s="43"/>
      <c r="AP1846" s="43"/>
      <c r="AQ1846" s="43"/>
      <c r="AR1846" s="43"/>
      <c r="AS1846" s="43"/>
      <c r="AT1846" s="43"/>
      <c r="AU1846" s="43"/>
      <c r="AV1846" s="43"/>
    </row>
    <row r="1847" ht="15.75" spans="1:48">
      <c r="A1847" s="12">
        <v>1843</v>
      </c>
      <c r="B1847" s="44" t="s">
        <v>185</v>
      </c>
      <c r="C1847" s="45" t="s">
        <v>179</v>
      </c>
      <c r="D1847" s="46"/>
      <c r="E1847" s="47"/>
      <c r="F1847" s="48">
        <v>4.8</v>
      </c>
      <c r="G1847" s="38">
        <v>1.5</v>
      </c>
      <c r="H1847" s="39"/>
      <c r="I1847" s="39"/>
      <c r="J1847" s="39"/>
      <c r="K1847" s="39"/>
      <c r="L1847" s="39"/>
      <c r="M1847" s="39"/>
      <c r="N1847" s="39"/>
      <c r="O1847" s="39"/>
      <c r="P1847" s="39"/>
      <c r="Q1847" s="39">
        <v>1.33</v>
      </c>
      <c r="R1847" s="39"/>
      <c r="S1847" s="39"/>
      <c r="T1847" s="39"/>
      <c r="U1847" s="39">
        <v>0.17</v>
      </c>
      <c r="V1847" s="39"/>
      <c r="W1847" s="39"/>
      <c r="X1847" s="49" t="s">
        <v>96</v>
      </c>
      <c r="Y1847" s="50">
        <v>6960</v>
      </c>
      <c r="Z1847" s="51">
        <v>5750</v>
      </c>
      <c r="AA1847" s="52">
        <f t="shared" si="46"/>
        <v>0.826149425287356</v>
      </c>
      <c r="AB1847" s="12">
        <v>5750</v>
      </c>
      <c r="AC1847" s="12">
        <v>0</v>
      </c>
      <c r="AD1847" s="43"/>
      <c r="AE1847" s="43"/>
      <c r="AF1847" s="43"/>
      <c r="AG1847" s="43"/>
      <c r="AH1847" s="43"/>
      <c r="AI1847" s="43"/>
      <c r="AJ1847" s="43"/>
      <c r="AK1847" s="43"/>
      <c r="AL1847" s="43"/>
      <c r="AM1847" s="43"/>
      <c r="AN1847" s="43"/>
      <c r="AO1847" s="43"/>
      <c r="AP1847" s="43"/>
      <c r="AQ1847" s="43"/>
      <c r="AR1847" s="43"/>
      <c r="AS1847" s="43"/>
      <c r="AT1847" s="43"/>
      <c r="AU1847" s="43"/>
      <c r="AV1847" s="43"/>
    </row>
    <row r="1848" ht="15.75" spans="1:48">
      <c r="A1848" s="12">
        <v>1844</v>
      </c>
      <c r="B1848" s="44" t="s">
        <v>185</v>
      </c>
      <c r="C1848" s="45" t="s">
        <v>179</v>
      </c>
      <c r="D1848" s="46"/>
      <c r="E1848" s="47"/>
      <c r="F1848" s="48">
        <v>1.8</v>
      </c>
      <c r="G1848" s="38">
        <v>0</v>
      </c>
      <c r="H1848" s="39"/>
      <c r="I1848" s="39"/>
      <c r="J1848" s="39"/>
      <c r="K1848" s="39"/>
      <c r="L1848" s="39"/>
      <c r="M1848" s="39"/>
      <c r="N1848" s="39"/>
      <c r="O1848" s="39"/>
      <c r="P1848" s="39"/>
      <c r="Q1848" s="39"/>
      <c r="R1848" s="39"/>
      <c r="S1848" s="39"/>
      <c r="T1848" s="39"/>
      <c r="U1848" s="39"/>
      <c r="V1848" s="39"/>
      <c r="W1848" s="39"/>
      <c r="X1848" s="49">
        <v>6270</v>
      </c>
      <c r="Y1848" s="50">
        <v>1089</v>
      </c>
      <c r="Z1848" s="51">
        <v>901</v>
      </c>
      <c r="AA1848" s="52">
        <f t="shared" si="46"/>
        <v>0.827364554637282</v>
      </c>
      <c r="AB1848" s="12">
        <v>901</v>
      </c>
      <c r="AC1848" s="12">
        <v>0</v>
      </c>
      <c r="AD1848" s="43"/>
      <c r="AE1848" s="43"/>
      <c r="AF1848" s="43"/>
      <c r="AG1848" s="43"/>
      <c r="AH1848" s="43"/>
      <c r="AI1848" s="43"/>
      <c r="AJ1848" s="43"/>
      <c r="AK1848" s="43"/>
      <c r="AL1848" s="43"/>
      <c r="AM1848" s="43"/>
      <c r="AN1848" s="43"/>
      <c r="AO1848" s="43"/>
      <c r="AP1848" s="43"/>
      <c r="AQ1848" s="43"/>
      <c r="AR1848" s="43"/>
      <c r="AS1848" s="43"/>
      <c r="AT1848" s="43"/>
      <c r="AU1848" s="43"/>
      <c r="AV1848" s="43"/>
    </row>
    <row r="1849" ht="15.75" spans="1:48">
      <c r="A1849" s="12">
        <v>1845</v>
      </c>
      <c r="B1849" s="44">
        <v>3268</v>
      </c>
      <c r="C1849" s="45" t="s">
        <v>80</v>
      </c>
      <c r="D1849" s="46"/>
      <c r="E1849" s="47"/>
      <c r="F1849" s="48">
        <v>0.67</v>
      </c>
      <c r="G1849" s="38">
        <v>0</v>
      </c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  <c r="S1849" s="39"/>
      <c r="T1849" s="39"/>
      <c r="U1849" s="39"/>
      <c r="V1849" s="39"/>
      <c r="W1849" s="39"/>
      <c r="X1849" s="49" t="s">
        <v>90</v>
      </c>
      <c r="Y1849" s="50">
        <v>314.9</v>
      </c>
      <c r="Z1849" s="51">
        <v>360</v>
      </c>
      <c r="AA1849" s="52">
        <f t="shared" si="46"/>
        <v>1.14322006986345</v>
      </c>
      <c r="AB1849" s="12">
        <v>360</v>
      </c>
      <c r="AC1849" s="12">
        <v>0</v>
      </c>
      <c r="AD1849" s="43"/>
      <c r="AE1849" s="43"/>
      <c r="AF1849" s="43"/>
      <c r="AG1849" s="43"/>
      <c r="AH1849" s="43"/>
      <c r="AI1849" s="43"/>
      <c r="AJ1849" s="43"/>
      <c r="AK1849" s="43"/>
      <c r="AL1849" s="43"/>
      <c r="AM1849" s="43"/>
      <c r="AN1849" s="43"/>
      <c r="AO1849" s="43"/>
      <c r="AP1849" s="43"/>
      <c r="AQ1849" s="43"/>
      <c r="AR1849" s="43"/>
      <c r="AS1849" s="43"/>
      <c r="AT1849" s="43"/>
      <c r="AU1849" s="43"/>
      <c r="AV1849" s="43"/>
    </row>
    <row r="1850" ht="15.75" spans="1:48">
      <c r="A1850" s="12">
        <v>1846</v>
      </c>
      <c r="B1850" s="44">
        <v>3268</v>
      </c>
      <c r="C1850" s="45" t="s">
        <v>80</v>
      </c>
      <c r="D1850" s="46"/>
      <c r="E1850" s="47"/>
      <c r="F1850" s="48">
        <v>4.33</v>
      </c>
      <c r="G1850" s="38">
        <v>0</v>
      </c>
      <c r="H1850" s="39"/>
      <c r="I1850" s="39"/>
      <c r="J1850" s="39"/>
      <c r="K1850" s="39"/>
      <c r="L1850" s="39"/>
      <c r="M1850" s="39"/>
      <c r="N1850" s="39"/>
      <c r="O1850" s="39"/>
      <c r="P1850" s="39"/>
      <c r="Q1850" s="39"/>
      <c r="R1850" s="39"/>
      <c r="S1850" s="39"/>
      <c r="T1850" s="39"/>
      <c r="U1850" s="39"/>
      <c r="V1850" s="39"/>
      <c r="W1850" s="39"/>
      <c r="X1850" s="49" t="s">
        <v>98</v>
      </c>
      <c r="Y1850" s="50">
        <v>2035.1</v>
      </c>
      <c r="Z1850" s="51">
        <v>1980</v>
      </c>
      <c r="AA1850" s="52">
        <f t="shared" si="46"/>
        <v>0.972925163382635</v>
      </c>
      <c r="AB1850" s="12">
        <v>1980</v>
      </c>
      <c r="AC1850" s="12">
        <v>0</v>
      </c>
      <c r="AD1850" s="43"/>
      <c r="AE1850" s="43"/>
      <c r="AF1850" s="43"/>
      <c r="AG1850" s="43"/>
      <c r="AH1850" s="43"/>
      <c r="AI1850" s="43"/>
      <c r="AJ1850" s="43"/>
      <c r="AK1850" s="43"/>
      <c r="AL1850" s="43"/>
      <c r="AM1850" s="43"/>
      <c r="AN1850" s="43"/>
      <c r="AO1850" s="43"/>
      <c r="AP1850" s="43"/>
      <c r="AQ1850" s="43"/>
      <c r="AR1850" s="43"/>
      <c r="AS1850" s="43"/>
      <c r="AT1850" s="43"/>
      <c r="AU1850" s="43"/>
      <c r="AV1850" s="43"/>
    </row>
    <row r="1851" ht="15.75" spans="1:48">
      <c r="A1851" s="12">
        <v>1847</v>
      </c>
      <c r="B1851" s="44">
        <v>676</v>
      </c>
      <c r="C1851" s="45" t="s">
        <v>171</v>
      </c>
      <c r="D1851" s="46"/>
      <c r="E1851" s="47"/>
      <c r="F1851" s="48">
        <v>6</v>
      </c>
      <c r="G1851" s="38">
        <v>3</v>
      </c>
      <c r="H1851" s="39"/>
      <c r="I1851" s="39"/>
      <c r="J1851" s="39"/>
      <c r="K1851" s="39"/>
      <c r="L1851" s="39"/>
      <c r="M1851" s="39"/>
      <c r="N1851" s="39"/>
      <c r="O1851" s="39"/>
      <c r="P1851" s="39"/>
      <c r="Q1851" s="39">
        <v>1.33</v>
      </c>
      <c r="R1851" s="39"/>
      <c r="S1851" s="39"/>
      <c r="T1851" s="39">
        <v>1.5</v>
      </c>
      <c r="U1851" s="39">
        <v>0.17</v>
      </c>
      <c r="V1851" s="39"/>
      <c r="W1851" s="39"/>
      <c r="X1851" s="49" t="s">
        <v>98</v>
      </c>
      <c r="Y1851" s="50">
        <v>2820</v>
      </c>
      <c r="Z1851" s="51">
        <v>2700</v>
      </c>
      <c r="AA1851" s="52">
        <f t="shared" si="46"/>
        <v>0.957446808510638</v>
      </c>
      <c r="AB1851" s="12">
        <v>2700</v>
      </c>
      <c r="AC1851" s="12">
        <v>0</v>
      </c>
      <c r="AD1851" s="43"/>
      <c r="AE1851" s="43"/>
      <c r="AF1851" s="43"/>
      <c r="AG1851" s="43"/>
      <c r="AH1851" s="43"/>
      <c r="AI1851" s="43"/>
      <c r="AJ1851" s="43"/>
      <c r="AK1851" s="43"/>
      <c r="AL1851" s="43"/>
      <c r="AM1851" s="43"/>
      <c r="AN1851" s="43"/>
      <c r="AO1851" s="43"/>
      <c r="AP1851" s="43"/>
      <c r="AQ1851" s="43"/>
      <c r="AR1851" s="43"/>
      <c r="AS1851" s="43"/>
      <c r="AT1851" s="43"/>
      <c r="AU1851" s="43"/>
      <c r="AV1851" s="43"/>
    </row>
    <row r="1852" ht="15.75" spans="1:48">
      <c r="A1852" s="12">
        <v>1848</v>
      </c>
      <c r="B1852" s="44">
        <v>676</v>
      </c>
      <c r="C1852" s="45" t="s">
        <v>171</v>
      </c>
      <c r="D1852" s="46"/>
      <c r="E1852" s="47"/>
      <c r="F1852" s="48">
        <v>3</v>
      </c>
      <c r="G1852" s="38">
        <v>0</v>
      </c>
      <c r="H1852" s="39"/>
      <c r="I1852" s="39"/>
      <c r="J1852" s="39"/>
      <c r="K1852" s="39"/>
      <c r="L1852" s="39"/>
      <c r="M1852" s="39"/>
      <c r="N1852" s="39"/>
      <c r="O1852" s="39"/>
      <c r="P1852" s="39"/>
      <c r="Q1852" s="39"/>
      <c r="R1852" s="39"/>
      <c r="S1852" s="39"/>
      <c r="T1852" s="39"/>
      <c r="U1852" s="39"/>
      <c r="V1852" s="39"/>
      <c r="W1852" s="39"/>
      <c r="X1852" s="49" t="s">
        <v>90</v>
      </c>
      <c r="Y1852" s="50">
        <v>1410</v>
      </c>
      <c r="Z1852" s="51">
        <v>1440</v>
      </c>
      <c r="AA1852" s="52">
        <f t="shared" si="46"/>
        <v>1.02127659574468</v>
      </c>
      <c r="AB1852" s="12">
        <v>1440</v>
      </c>
      <c r="AC1852" s="12">
        <v>0</v>
      </c>
      <c r="AD1852" s="43"/>
      <c r="AE1852" s="43"/>
      <c r="AF1852" s="43"/>
      <c r="AG1852" s="43"/>
      <c r="AH1852" s="43"/>
      <c r="AI1852" s="43"/>
      <c r="AJ1852" s="43"/>
      <c r="AK1852" s="43"/>
      <c r="AL1852" s="43"/>
      <c r="AM1852" s="43"/>
      <c r="AN1852" s="43"/>
      <c r="AO1852" s="43"/>
      <c r="AP1852" s="43"/>
      <c r="AQ1852" s="43"/>
      <c r="AR1852" s="43"/>
      <c r="AS1852" s="43"/>
      <c r="AT1852" s="43"/>
      <c r="AU1852" s="43"/>
      <c r="AV1852" s="43"/>
    </row>
    <row r="1853" ht="15.75" spans="1:48">
      <c r="A1853" s="12">
        <v>1849</v>
      </c>
      <c r="B1853" s="44">
        <v>4324</v>
      </c>
      <c r="C1853" s="45" t="s">
        <v>331</v>
      </c>
      <c r="D1853" s="46">
        <v>2</v>
      </c>
      <c r="E1853" s="47" t="s">
        <v>398</v>
      </c>
      <c r="F1853" s="48">
        <v>0.83</v>
      </c>
      <c r="G1853" s="38">
        <v>0</v>
      </c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  <c r="S1853" s="39"/>
      <c r="T1853" s="39"/>
      <c r="U1853" s="39"/>
      <c r="V1853" s="39"/>
      <c r="W1853" s="39"/>
      <c r="X1853" s="49">
        <v>8235</v>
      </c>
      <c r="Y1853" s="50">
        <v>383.46</v>
      </c>
      <c r="Z1853" s="51">
        <v>350</v>
      </c>
      <c r="AA1853" s="52">
        <f t="shared" si="46"/>
        <v>0.912741876597298</v>
      </c>
      <c r="AB1853" s="12">
        <v>350</v>
      </c>
      <c r="AC1853" s="12">
        <v>0</v>
      </c>
      <c r="AD1853" s="43"/>
      <c r="AE1853" s="43"/>
      <c r="AF1853" s="43"/>
      <c r="AG1853" s="43"/>
      <c r="AH1853" s="43"/>
      <c r="AI1853" s="43"/>
      <c r="AJ1853" s="43"/>
      <c r="AK1853" s="43"/>
      <c r="AL1853" s="43"/>
      <c r="AM1853" s="43"/>
      <c r="AN1853" s="43"/>
      <c r="AO1853" s="43"/>
      <c r="AP1853" s="43"/>
      <c r="AQ1853" s="43"/>
      <c r="AR1853" s="43"/>
      <c r="AS1853" s="43"/>
      <c r="AT1853" s="43"/>
      <c r="AU1853" s="43"/>
      <c r="AV1853" s="43"/>
    </row>
    <row r="1854" ht="15.75" spans="1:48">
      <c r="A1854" s="12">
        <v>1850</v>
      </c>
      <c r="B1854" s="44">
        <v>4324</v>
      </c>
      <c r="C1854" s="45" t="s">
        <v>331</v>
      </c>
      <c r="D1854" s="46">
        <v>2</v>
      </c>
      <c r="E1854" s="47" t="s">
        <v>93</v>
      </c>
      <c r="F1854" s="48">
        <v>9.33</v>
      </c>
      <c r="G1854" s="38">
        <v>1.83</v>
      </c>
      <c r="H1854" s="39"/>
      <c r="I1854" s="39"/>
      <c r="J1854" s="39">
        <v>0.5</v>
      </c>
      <c r="K1854" s="39"/>
      <c r="L1854" s="39"/>
      <c r="M1854" s="39"/>
      <c r="N1854" s="39"/>
      <c r="O1854" s="39"/>
      <c r="P1854" s="39"/>
      <c r="Q1854" s="39">
        <v>1.33</v>
      </c>
      <c r="R1854" s="39"/>
      <c r="S1854" s="39"/>
      <c r="T1854" s="39"/>
      <c r="U1854" s="39"/>
      <c r="V1854" s="39"/>
      <c r="W1854" s="39"/>
      <c r="X1854" s="49">
        <v>1080</v>
      </c>
      <c r="Y1854" s="50">
        <v>4310.46</v>
      </c>
      <c r="Z1854" s="51">
        <v>3900</v>
      </c>
      <c r="AA1854" s="52">
        <f t="shared" si="46"/>
        <v>0.904775824389972</v>
      </c>
      <c r="AB1854" s="12">
        <v>3900</v>
      </c>
      <c r="AC1854" s="12">
        <v>0</v>
      </c>
      <c r="AD1854" s="43"/>
      <c r="AE1854" s="43"/>
      <c r="AF1854" s="43"/>
      <c r="AG1854" s="43"/>
      <c r="AH1854" s="43"/>
      <c r="AI1854" s="43"/>
      <c r="AJ1854" s="43"/>
      <c r="AK1854" s="43"/>
      <c r="AL1854" s="43"/>
      <c r="AM1854" s="43"/>
      <c r="AN1854" s="43"/>
      <c r="AO1854" s="43"/>
      <c r="AP1854" s="43"/>
      <c r="AQ1854" s="43"/>
      <c r="AR1854" s="43"/>
      <c r="AS1854" s="43"/>
      <c r="AT1854" s="43"/>
      <c r="AU1854" s="43"/>
      <c r="AV1854" s="43"/>
    </row>
    <row r="1855" ht="15.75" spans="1:48">
      <c r="A1855" s="12">
        <v>1851</v>
      </c>
      <c r="B1855" s="44">
        <v>4382</v>
      </c>
      <c r="C1855" s="45" t="s">
        <v>173</v>
      </c>
      <c r="D1855" s="46">
        <v>5</v>
      </c>
      <c r="E1855" s="47"/>
      <c r="F1855" s="48">
        <v>11.83</v>
      </c>
      <c r="G1855" s="38">
        <v>0.17</v>
      </c>
      <c r="H1855" s="39"/>
      <c r="I1855" s="39"/>
      <c r="J1855" s="39"/>
      <c r="K1855" s="39"/>
      <c r="L1855" s="39"/>
      <c r="M1855" s="39"/>
      <c r="N1855" s="39"/>
      <c r="O1855" s="39"/>
      <c r="P1855" s="39"/>
      <c r="Q1855" s="39"/>
      <c r="R1855" s="39"/>
      <c r="S1855" s="39"/>
      <c r="T1855" s="39"/>
      <c r="U1855" s="39">
        <v>0.17</v>
      </c>
      <c r="V1855" s="39"/>
      <c r="W1855" s="39"/>
      <c r="X1855" s="49">
        <v>5770</v>
      </c>
      <c r="Y1855" s="50">
        <v>7157.15</v>
      </c>
      <c r="Z1855" s="51">
        <v>6675</v>
      </c>
      <c r="AA1855" s="52">
        <f t="shared" si="46"/>
        <v>0.932633799766667</v>
      </c>
      <c r="AB1855" s="12">
        <v>6675</v>
      </c>
      <c r="AC1855" s="12">
        <v>0</v>
      </c>
      <c r="AD1855" s="43"/>
      <c r="AE1855" s="43"/>
      <c r="AF1855" s="43"/>
      <c r="AG1855" s="43"/>
      <c r="AH1855" s="43"/>
      <c r="AI1855" s="43"/>
      <c r="AJ1855" s="43"/>
      <c r="AK1855" s="43"/>
      <c r="AL1855" s="43"/>
      <c r="AM1855" s="43"/>
      <c r="AN1855" s="43"/>
      <c r="AO1855" s="43"/>
      <c r="AP1855" s="43"/>
      <c r="AQ1855" s="43"/>
      <c r="AR1855" s="43"/>
      <c r="AS1855" s="43"/>
      <c r="AT1855" s="43"/>
      <c r="AU1855" s="43"/>
      <c r="AV1855" s="43"/>
    </row>
    <row r="1856" ht="15.75" spans="1:48">
      <c r="A1856" s="12">
        <v>1852</v>
      </c>
      <c r="B1856" s="44">
        <v>4310</v>
      </c>
      <c r="C1856" s="45" t="s">
        <v>99</v>
      </c>
      <c r="D1856" s="46">
        <v>6</v>
      </c>
      <c r="E1856" s="47"/>
      <c r="F1856" s="48">
        <v>9.33</v>
      </c>
      <c r="G1856" s="38">
        <v>1.83</v>
      </c>
      <c r="H1856" s="39"/>
      <c r="I1856" s="39"/>
      <c r="J1856" s="39"/>
      <c r="K1856" s="39"/>
      <c r="L1856" s="39"/>
      <c r="M1856" s="39"/>
      <c r="N1856" s="39"/>
      <c r="O1856" s="39"/>
      <c r="P1856" s="39"/>
      <c r="Q1856" s="39">
        <v>1.33</v>
      </c>
      <c r="R1856" s="39"/>
      <c r="S1856" s="39"/>
      <c r="T1856" s="39">
        <v>0.33</v>
      </c>
      <c r="U1856" s="39">
        <v>0.17</v>
      </c>
      <c r="V1856" s="39"/>
      <c r="W1856" s="39"/>
      <c r="X1856" s="49">
        <v>5770</v>
      </c>
      <c r="Y1856" s="50">
        <v>5644.65</v>
      </c>
      <c r="Z1856" s="51">
        <v>5400</v>
      </c>
      <c r="AA1856" s="52">
        <f t="shared" si="46"/>
        <v>0.956658074459887</v>
      </c>
      <c r="AB1856" s="12">
        <v>5312</v>
      </c>
      <c r="AC1856" s="12">
        <v>88</v>
      </c>
      <c r="AD1856" s="19">
        <v>88</v>
      </c>
      <c r="AE1856" s="43"/>
      <c r="AF1856" s="43"/>
      <c r="AG1856" s="43"/>
      <c r="AH1856" s="43"/>
      <c r="AI1856" s="43"/>
      <c r="AJ1856" s="43"/>
      <c r="AK1856" s="43"/>
      <c r="AL1856" s="43"/>
      <c r="AM1856" s="43"/>
      <c r="AN1856" s="43"/>
      <c r="AO1856" s="43"/>
      <c r="AP1856" s="43"/>
      <c r="AQ1856" s="43"/>
      <c r="AR1856" s="43"/>
      <c r="AS1856" s="43"/>
      <c r="AT1856" s="43"/>
      <c r="AU1856" s="43"/>
      <c r="AV1856" s="43"/>
    </row>
    <row r="1857" ht="15.75" spans="1:48">
      <c r="A1857" s="12">
        <v>1853</v>
      </c>
      <c r="B1857" s="44">
        <v>3277</v>
      </c>
      <c r="C1857" s="45" t="s">
        <v>106</v>
      </c>
      <c r="D1857" s="46"/>
      <c r="E1857" s="47"/>
      <c r="F1857" s="48">
        <v>10.67</v>
      </c>
      <c r="G1857" s="38">
        <v>1.33</v>
      </c>
      <c r="H1857" s="39"/>
      <c r="I1857" s="39"/>
      <c r="J1857" s="39"/>
      <c r="K1857" s="39"/>
      <c r="L1857" s="39"/>
      <c r="M1857" s="39"/>
      <c r="N1857" s="39"/>
      <c r="O1857" s="39"/>
      <c r="P1857" s="39"/>
      <c r="Q1857" s="39">
        <v>1.33</v>
      </c>
      <c r="R1857" s="39"/>
      <c r="S1857" s="39"/>
      <c r="T1857" s="39"/>
      <c r="U1857" s="39"/>
      <c r="V1857" s="39"/>
      <c r="W1857" s="39"/>
      <c r="X1857" s="49" t="s">
        <v>259</v>
      </c>
      <c r="Y1857" s="50">
        <v>0</v>
      </c>
      <c r="Z1857" s="51"/>
      <c r="AA1857" s="52">
        <f t="shared" si="46"/>
        <v>0</v>
      </c>
      <c r="AB1857" s="12">
        <v>0</v>
      </c>
      <c r="AC1857" s="12">
        <v>0</v>
      </c>
      <c r="AD1857" s="43"/>
      <c r="AE1857" s="43"/>
      <c r="AF1857" s="43"/>
      <c r="AG1857" s="43"/>
      <c r="AH1857" s="43"/>
      <c r="AI1857" s="43"/>
      <c r="AJ1857" s="43"/>
      <c r="AK1857" s="43"/>
      <c r="AL1857" s="43"/>
      <c r="AM1857" s="43"/>
      <c r="AN1857" s="43"/>
      <c r="AO1857" s="43"/>
      <c r="AP1857" s="43"/>
      <c r="AQ1857" s="43"/>
      <c r="AR1857" s="43"/>
      <c r="AS1857" s="43"/>
      <c r="AT1857" s="43"/>
      <c r="AU1857" s="43"/>
      <c r="AV1857" s="43"/>
    </row>
    <row r="1858" ht="15.75" spans="1:48">
      <c r="A1858" s="12">
        <v>1854</v>
      </c>
      <c r="B1858" s="44" t="s">
        <v>399</v>
      </c>
      <c r="C1858" s="45" t="s">
        <v>400</v>
      </c>
      <c r="D1858" s="46">
        <v>2</v>
      </c>
      <c r="E1858" s="47" t="s">
        <v>398</v>
      </c>
      <c r="F1858" s="48">
        <v>4</v>
      </c>
      <c r="G1858" s="38">
        <v>0.83</v>
      </c>
      <c r="H1858" s="39"/>
      <c r="I1858" s="39"/>
      <c r="J1858" s="39"/>
      <c r="K1858" s="39"/>
      <c r="L1858" s="39"/>
      <c r="M1858" s="39"/>
      <c r="N1858" s="39"/>
      <c r="O1858" s="39"/>
      <c r="P1858" s="39"/>
      <c r="Q1858" s="39">
        <v>0.83</v>
      </c>
      <c r="R1858" s="39"/>
      <c r="S1858" s="39"/>
      <c r="T1858" s="39"/>
      <c r="U1858" s="39"/>
      <c r="V1858" s="39"/>
      <c r="W1858" s="39"/>
      <c r="X1858" s="49">
        <v>8235</v>
      </c>
      <c r="Y1858" s="50">
        <v>1848</v>
      </c>
      <c r="Z1858" s="51">
        <v>1200</v>
      </c>
      <c r="AA1858" s="52">
        <f t="shared" si="46"/>
        <v>0.649350649350649</v>
      </c>
      <c r="AB1858" s="12">
        <v>1200</v>
      </c>
      <c r="AC1858" s="12">
        <v>0</v>
      </c>
      <c r="AD1858" s="43"/>
      <c r="AE1858" s="43"/>
      <c r="AF1858" s="43"/>
      <c r="AG1858" s="43"/>
      <c r="AH1858" s="43"/>
      <c r="AI1858" s="43"/>
      <c r="AJ1858" s="43"/>
      <c r="AK1858" s="43"/>
      <c r="AL1858" s="43"/>
      <c r="AM1858" s="43"/>
      <c r="AN1858" s="43"/>
      <c r="AO1858" s="43"/>
      <c r="AP1858" s="43"/>
      <c r="AQ1858" s="43"/>
      <c r="AR1858" s="43"/>
      <c r="AS1858" s="43"/>
      <c r="AT1858" s="43"/>
      <c r="AU1858" s="43"/>
      <c r="AV1858" s="43"/>
    </row>
    <row r="1859" ht="15.75" spans="1:48">
      <c r="A1859" s="12">
        <v>1855</v>
      </c>
      <c r="B1859" s="44" t="s">
        <v>401</v>
      </c>
      <c r="C1859" s="45" t="s">
        <v>402</v>
      </c>
      <c r="D1859" s="46"/>
      <c r="E1859" s="47" t="s">
        <v>183</v>
      </c>
      <c r="F1859" s="48">
        <v>7.17</v>
      </c>
      <c r="G1859" s="38">
        <v>0.83</v>
      </c>
      <c r="H1859" s="39"/>
      <c r="I1859" s="39"/>
      <c r="J1859" s="39"/>
      <c r="K1859" s="39"/>
      <c r="L1859" s="39"/>
      <c r="M1859" s="39"/>
      <c r="N1859" s="39"/>
      <c r="O1859" s="39"/>
      <c r="P1859" s="39"/>
      <c r="Q1859" s="39">
        <v>0.83</v>
      </c>
      <c r="R1859" s="39"/>
      <c r="S1859" s="39"/>
      <c r="T1859" s="39"/>
      <c r="U1859" s="39"/>
      <c r="V1859" s="39"/>
      <c r="W1859" s="39"/>
      <c r="X1859" s="49" t="s">
        <v>103</v>
      </c>
      <c r="Y1859" s="50">
        <v>4215.96</v>
      </c>
      <c r="Z1859" s="51">
        <v>1260</v>
      </c>
      <c r="AA1859" s="52">
        <f t="shared" si="46"/>
        <v>0.298864315600717</v>
      </c>
      <c r="AB1859" s="12">
        <v>1260</v>
      </c>
      <c r="AC1859" s="12">
        <v>0</v>
      </c>
      <c r="AD1859" s="43"/>
      <c r="AE1859" s="43"/>
      <c r="AF1859" s="43"/>
      <c r="AG1859" s="43"/>
      <c r="AH1859" s="43"/>
      <c r="AI1859" s="43"/>
      <c r="AJ1859" s="43"/>
      <c r="AK1859" s="43"/>
      <c r="AL1859" s="43"/>
      <c r="AM1859" s="43"/>
      <c r="AN1859" s="43"/>
      <c r="AO1859" s="43"/>
      <c r="AP1859" s="43"/>
      <c r="AQ1859" s="43"/>
      <c r="AR1859" s="43"/>
      <c r="AS1859" s="43"/>
      <c r="AT1859" s="43"/>
      <c r="AU1859" s="43"/>
      <c r="AV1859" s="43"/>
    </row>
    <row r="1860" ht="15.75" spans="1:48">
      <c r="A1860" s="12">
        <v>1856</v>
      </c>
      <c r="B1860" s="44" t="s">
        <v>403</v>
      </c>
      <c r="C1860" s="45" t="s">
        <v>404</v>
      </c>
      <c r="D1860" s="46"/>
      <c r="E1860" s="47" t="s">
        <v>183</v>
      </c>
      <c r="F1860" s="48">
        <v>6.34</v>
      </c>
      <c r="G1860" s="38">
        <v>0.83</v>
      </c>
      <c r="H1860" s="39"/>
      <c r="I1860" s="39"/>
      <c r="J1860" s="39"/>
      <c r="K1860" s="39"/>
      <c r="L1860" s="39"/>
      <c r="M1860" s="39"/>
      <c r="N1860" s="39"/>
      <c r="O1860" s="39"/>
      <c r="P1860" s="39"/>
      <c r="Q1860" s="39">
        <v>0.83</v>
      </c>
      <c r="R1860" s="39"/>
      <c r="S1860" s="39"/>
      <c r="T1860" s="39"/>
      <c r="U1860" s="39"/>
      <c r="V1860" s="39"/>
      <c r="W1860" s="39"/>
      <c r="X1860" s="49" t="s">
        <v>103</v>
      </c>
      <c r="Y1860" s="50">
        <v>3727.92</v>
      </c>
      <c r="Z1860" s="51">
        <v>1550</v>
      </c>
      <c r="AA1860" s="52">
        <f t="shared" si="46"/>
        <v>0.415781454537651</v>
      </c>
      <c r="AB1860" s="12">
        <v>1550</v>
      </c>
      <c r="AC1860" s="12">
        <v>0</v>
      </c>
      <c r="AD1860" s="43"/>
      <c r="AE1860" s="43"/>
      <c r="AF1860" s="43"/>
      <c r="AG1860" s="43"/>
      <c r="AH1860" s="43"/>
      <c r="AI1860" s="43"/>
      <c r="AJ1860" s="43"/>
      <c r="AK1860" s="43"/>
      <c r="AL1860" s="43"/>
      <c r="AM1860" s="43"/>
      <c r="AN1860" s="43"/>
      <c r="AO1860" s="43"/>
      <c r="AP1860" s="43"/>
      <c r="AQ1860" s="43"/>
      <c r="AR1860" s="43"/>
      <c r="AS1860" s="43"/>
      <c r="AT1860" s="43"/>
      <c r="AU1860" s="43"/>
      <c r="AV1860" s="43"/>
    </row>
    <row r="1861" ht="15.75" spans="1:48">
      <c r="A1861" s="12">
        <v>1857</v>
      </c>
      <c r="B1861" s="44" t="s">
        <v>399</v>
      </c>
      <c r="C1861" s="45" t="s">
        <v>400</v>
      </c>
      <c r="D1861" s="46"/>
      <c r="E1861" s="47" t="s">
        <v>183</v>
      </c>
      <c r="F1861" s="48">
        <v>2.17</v>
      </c>
      <c r="G1861" s="38">
        <v>0</v>
      </c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  <c r="S1861" s="39"/>
      <c r="T1861" s="39"/>
      <c r="U1861" s="39"/>
      <c r="V1861" s="39"/>
      <c r="W1861" s="39"/>
      <c r="X1861" s="49" t="s">
        <v>105</v>
      </c>
      <c r="Y1861" s="50">
        <v>1002.54</v>
      </c>
      <c r="Z1861" s="51">
        <v>750</v>
      </c>
      <c r="AA1861" s="52">
        <f t="shared" si="46"/>
        <v>0.74809982644084</v>
      </c>
      <c r="AB1861" s="12">
        <v>750</v>
      </c>
      <c r="AC1861" s="12">
        <v>0</v>
      </c>
      <c r="AD1861" s="43"/>
      <c r="AE1861" s="43"/>
      <c r="AF1861" s="43"/>
      <c r="AG1861" s="43"/>
      <c r="AH1861" s="43"/>
      <c r="AI1861" s="43"/>
      <c r="AJ1861" s="43"/>
      <c r="AK1861" s="43"/>
      <c r="AL1861" s="43"/>
      <c r="AM1861" s="43"/>
      <c r="AN1861" s="43"/>
      <c r="AO1861" s="43"/>
      <c r="AP1861" s="43"/>
      <c r="AQ1861" s="43"/>
      <c r="AR1861" s="43"/>
      <c r="AS1861" s="43"/>
      <c r="AT1861" s="43"/>
      <c r="AU1861" s="43"/>
      <c r="AV1861" s="43"/>
    </row>
    <row r="1862" ht="15.75" spans="1:48">
      <c r="A1862" s="12">
        <v>1858</v>
      </c>
      <c r="B1862" s="44">
        <v>850</v>
      </c>
      <c r="C1862" s="45" t="s">
        <v>109</v>
      </c>
      <c r="D1862" s="46"/>
      <c r="E1862" s="47"/>
      <c r="F1862" s="48">
        <v>10.67</v>
      </c>
      <c r="G1862" s="38">
        <v>1.33</v>
      </c>
      <c r="H1862" s="39"/>
      <c r="I1862" s="39"/>
      <c r="J1862" s="39"/>
      <c r="K1862" s="39"/>
      <c r="L1862" s="39"/>
      <c r="M1862" s="39"/>
      <c r="N1862" s="39"/>
      <c r="O1862" s="39"/>
      <c r="P1862" s="39"/>
      <c r="Q1862" s="39">
        <v>1.33</v>
      </c>
      <c r="R1862" s="39"/>
      <c r="S1862" s="39"/>
      <c r="T1862" s="39"/>
      <c r="U1862" s="39"/>
      <c r="V1862" s="39"/>
      <c r="W1862" s="39"/>
      <c r="X1862" s="49" t="s">
        <v>103</v>
      </c>
      <c r="Y1862" s="50">
        <v>8066.52</v>
      </c>
      <c r="Z1862" s="51">
        <v>4047</v>
      </c>
      <c r="AA1862" s="52">
        <f t="shared" si="46"/>
        <v>0.501703336754883</v>
      </c>
      <c r="AB1862" s="12">
        <v>4047</v>
      </c>
      <c r="AC1862" s="12">
        <v>0</v>
      </c>
      <c r="AD1862" s="43"/>
      <c r="AE1862" s="43"/>
      <c r="AF1862" s="43"/>
      <c r="AG1862" s="43"/>
      <c r="AH1862" s="43"/>
      <c r="AI1862" s="43"/>
      <c r="AJ1862" s="43"/>
      <c r="AK1862" s="43"/>
      <c r="AL1862" s="43"/>
      <c r="AM1862" s="43"/>
      <c r="AN1862" s="43"/>
      <c r="AO1862" s="43"/>
      <c r="AP1862" s="43"/>
      <c r="AQ1862" s="43"/>
      <c r="AR1862" s="43"/>
      <c r="AS1862" s="43"/>
      <c r="AT1862" s="43"/>
      <c r="AU1862" s="43"/>
      <c r="AV1862" s="43"/>
    </row>
    <row r="1863" ht="15.75" spans="1:48">
      <c r="A1863" s="12">
        <v>1859</v>
      </c>
      <c r="B1863" s="44">
        <v>849</v>
      </c>
      <c r="C1863" s="45" t="s">
        <v>108</v>
      </c>
      <c r="D1863" s="46"/>
      <c r="E1863" s="47"/>
      <c r="F1863" s="48">
        <v>10.67</v>
      </c>
      <c r="G1863" s="38">
        <v>1.33</v>
      </c>
      <c r="H1863" s="39"/>
      <c r="I1863" s="39"/>
      <c r="J1863" s="39"/>
      <c r="K1863" s="39"/>
      <c r="L1863" s="39"/>
      <c r="M1863" s="39"/>
      <c r="N1863" s="39"/>
      <c r="O1863" s="39"/>
      <c r="P1863" s="39"/>
      <c r="Q1863" s="39">
        <v>1.33</v>
      </c>
      <c r="R1863" s="39"/>
      <c r="S1863" s="39"/>
      <c r="T1863" s="39"/>
      <c r="U1863" s="39"/>
      <c r="V1863" s="39"/>
      <c r="W1863" s="39"/>
      <c r="X1863" s="49" t="s">
        <v>103</v>
      </c>
      <c r="Y1863" s="50">
        <v>8066.52</v>
      </c>
      <c r="Z1863" s="51">
        <v>5415</v>
      </c>
      <c r="AA1863" s="52">
        <f t="shared" si="46"/>
        <v>0.671293197066393</v>
      </c>
      <c r="AB1863" s="12">
        <v>5415</v>
      </c>
      <c r="AC1863" s="12">
        <v>0</v>
      </c>
      <c r="AD1863" s="43"/>
      <c r="AE1863" s="43"/>
      <c r="AF1863" s="43"/>
      <c r="AG1863" s="43"/>
      <c r="AH1863" s="43"/>
      <c r="AI1863" s="43"/>
      <c r="AJ1863" s="43"/>
      <c r="AK1863" s="43"/>
      <c r="AL1863" s="43"/>
      <c r="AM1863" s="43"/>
      <c r="AN1863" s="43"/>
      <c r="AO1863" s="43"/>
      <c r="AP1863" s="43"/>
      <c r="AQ1863" s="43"/>
      <c r="AR1863" s="43"/>
      <c r="AS1863" s="43"/>
      <c r="AT1863" s="43"/>
      <c r="AU1863" s="43"/>
      <c r="AV1863" s="43"/>
    </row>
    <row r="1864" ht="15.75" spans="1:48">
      <c r="A1864" s="12">
        <v>1860</v>
      </c>
      <c r="B1864" s="53" t="s">
        <v>181</v>
      </c>
      <c r="C1864" s="55" t="s">
        <v>182</v>
      </c>
      <c r="D1864" s="56"/>
      <c r="E1864" s="68"/>
      <c r="F1864" s="48">
        <v>10.67</v>
      </c>
      <c r="G1864" s="38">
        <v>1.33</v>
      </c>
      <c r="H1864" s="39"/>
      <c r="I1864" s="39"/>
      <c r="J1864" s="39"/>
      <c r="K1864" s="39"/>
      <c r="L1864" s="39"/>
      <c r="M1864" s="39"/>
      <c r="N1864" s="39"/>
      <c r="O1864" s="39"/>
      <c r="P1864" s="39"/>
      <c r="Q1864" s="39">
        <v>1.33</v>
      </c>
      <c r="R1864" s="39"/>
      <c r="S1864" s="39"/>
      <c r="T1864" s="39"/>
      <c r="U1864" s="39"/>
      <c r="V1864" s="39"/>
      <c r="W1864" s="39"/>
      <c r="X1864" s="49" t="s">
        <v>103</v>
      </c>
      <c r="Y1864" s="50">
        <v>8962.8</v>
      </c>
      <c r="Z1864" s="51">
        <v>6673</v>
      </c>
      <c r="AA1864" s="52">
        <f t="shared" si="46"/>
        <v>0.744521801222832</v>
      </c>
      <c r="AB1864" s="12">
        <v>6673</v>
      </c>
      <c r="AC1864" s="12">
        <v>0</v>
      </c>
      <c r="AD1864" s="43"/>
      <c r="AE1864" s="43"/>
      <c r="AF1864" s="43"/>
      <c r="AG1864" s="43"/>
      <c r="AH1864" s="43"/>
      <c r="AI1864" s="43"/>
      <c r="AJ1864" s="43"/>
      <c r="AK1864" s="43"/>
      <c r="AL1864" s="43"/>
      <c r="AM1864" s="43"/>
      <c r="AN1864" s="43"/>
      <c r="AO1864" s="43"/>
      <c r="AP1864" s="43"/>
      <c r="AQ1864" s="43"/>
      <c r="AR1864" s="43"/>
      <c r="AS1864" s="43"/>
      <c r="AT1864" s="43"/>
      <c r="AU1864" s="43"/>
      <c r="AV1864" s="43"/>
    </row>
    <row r="1865" ht="15.75" spans="1:48">
      <c r="A1865" s="12">
        <v>1861</v>
      </c>
      <c r="B1865" s="44">
        <v>4360</v>
      </c>
      <c r="C1865" s="45" t="s">
        <v>97</v>
      </c>
      <c r="D1865" s="46"/>
      <c r="E1865" s="47"/>
      <c r="F1865" s="48">
        <v>2</v>
      </c>
      <c r="G1865" s="38">
        <v>0</v>
      </c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  <c r="S1865" s="39"/>
      <c r="T1865" s="39"/>
      <c r="U1865" s="39"/>
      <c r="V1865" s="39"/>
      <c r="W1865" s="39"/>
      <c r="X1865" s="49" t="s">
        <v>103</v>
      </c>
      <c r="Y1865" s="50">
        <v>1680</v>
      </c>
      <c r="Z1865" s="51">
        <v>1633</v>
      </c>
      <c r="AA1865" s="52">
        <f t="shared" si="46"/>
        <v>0.97202380952381</v>
      </c>
      <c r="AB1865" s="12">
        <v>1633</v>
      </c>
      <c r="AC1865" s="12">
        <v>0</v>
      </c>
      <c r="AD1865" s="43"/>
      <c r="AE1865" s="43"/>
      <c r="AF1865" s="43"/>
      <c r="AG1865" s="43"/>
      <c r="AH1865" s="43"/>
      <c r="AI1865" s="43"/>
      <c r="AJ1865" s="43"/>
      <c r="AK1865" s="43"/>
      <c r="AL1865" s="43"/>
      <c r="AM1865" s="43"/>
      <c r="AN1865" s="43"/>
      <c r="AO1865" s="43"/>
      <c r="AP1865" s="43"/>
      <c r="AQ1865" s="43"/>
      <c r="AR1865" s="43"/>
      <c r="AS1865" s="43"/>
      <c r="AT1865" s="43"/>
      <c r="AU1865" s="43"/>
      <c r="AV1865" s="43"/>
    </row>
    <row r="1866" ht="15.75" spans="1:48">
      <c r="A1866" s="12">
        <v>1862</v>
      </c>
      <c r="B1866" s="44" t="s">
        <v>275</v>
      </c>
      <c r="C1866" s="45" t="s">
        <v>253</v>
      </c>
      <c r="D1866" s="46"/>
      <c r="E1866" s="47"/>
      <c r="F1866" s="48">
        <v>7</v>
      </c>
      <c r="G1866" s="38">
        <v>1</v>
      </c>
      <c r="H1866" s="39"/>
      <c r="I1866" s="39"/>
      <c r="J1866" s="39"/>
      <c r="K1866" s="39"/>
      <c r="L1866" s="39"/>
      <c r="M1866" s="39"/>
      <c r="N1866" s="39"/>
      <c r="O1866" s="39"/>
      <c r="P1866" s="39"/>
      <c r="Q1866" s="39">
        <v>1</v>
      </c>
      <c r="R1866" s="39"/>
      <c r="S1866" s="39"/>
      <c r="T1866" s="39"/>
      <c r="U1866" s="39"/>
      <c r="V1866" s="39"/>
      <c r="W1866" s="39"/>
      <c r="X1866" s="49" t="s">
        <v>105</v>
      </c>
      <c r="Y1866" s="50">
        <v>4620</v>
      </c>
      <c r="Z1866" s="51">
        <v>3000</v>
      </c>
      <c r="AA1866" s="52">
        <f t="shared" si="46"/>
        <v>0.649350649350649</v>
      </c>
      <c r="AB1866" s="12">
        <v>3000</v>
      </c>
      <c r="AC1866" s="12">
        <v>0</v>
      </c>
      <c r="AD1866" s="43"/>
      <c r="AE1866" s="43"/>
      <c r="AF1866" s="43"/>
      <c r="AG1866" s="43"/>
      <c r="AH1866" s="43"/>
      <c r="AI1866" s="43"/>
      <c r="AJ1866" s="43"/>
      <c r="AK1866" s="43"/>
      <c r="AL1866" s="43"/>
      <c r="AM1866" s="43"/>
      <c r="AN1866" s="43"/>
      <c r="AO1866" s="43"/>
      <c r="AP1866" s="43"/>
      <c r="AQ1866" s="43"/>
      <c r="AR1866" s="43"/>
      <c r="AS1866" s="43"/>
      <c r="AT1866" s="43"/>
      <c r="AU1866" s="43"/>
      <c r="AV1866" s="43"/>
    </row>
    <row r="1867" ht="15.75" spans="1:48">
      <c r="A1867" s="12">
        <v>1863</v>
      </c>
      <c r="B1867" s="44">
        <v>4324</v>
      </c>
      <c r="C1867" s="45" t="s">
        <v>331</v>
      </c>
      <c r="D1867" s="46"/>
      <c r="E1867" s="47"/>
      <c r="F1867" s="48">
        <v>0.5</v>
      </c>
      <c r="G1867" s="38">
        <v>0</v>
      </c>
      <c r="H1867" s="39"/>
      <c r="I1867" s="39"/>
      <c r="J1867" s="39"/>
      <c r="K1867" s="39"/>
      <c r="L1867" s="39"/>
      <c r="M1867" s="39"/>
      <c r="N1867" s="39"/>
      <c r="O1867" s="39"/>
      <c r="P1867" s="39"/>
      <c r="Q1867" s="39"/>
      <c r="R1867" s="39"/>
      <c r="S1867" s="39"/>
      <c r="T1867" s="39"/>
      <c r="U1867" s="39"/>
      <c r="V1867" s="39"/>
      <c r="W1867" s="39"/>
      <c r="X1867" s="49" t="s">
        <v>105</v>
      </c>
      <c r="Y1867" s="50">
        <v>330</v>
      </c>
      <c r="Z1867" s="51">
        <v>170</v>
      </c>
      <c r="AA1867" s="52">
        <f t="shared" si="46"/>
        <v>0.515151515151515</v>
      </c>
      <c r="AB1867" s="12">
        <v>170</v>
      </c>
      <c r="AC1867" s="12">
        <v>0</v>
      </c>
      <c r="AD1867" s="43"/>
      <c r="AE1867" s="43"/>
      <c r="AF1867" s="43"/>
      <c r="AG1867" s="43"/>
      <c r="AH1867" s="43"/>
      <c r="AI1867" s="43"/>
      <c r="AJ1867" s="43"/>
      <c r="AK1867" s="43"/>
      <c r="AL1867" s="43"/>
      <c r="AM1867" s="43"/>
      <c r="AN1867" s="43"/>
      <c r="AO1867" s="43"/>
      <c r="AP1867" s="43"/>
      <c r="AQ1867" s="43"/>
      <c r="AR1867" s="43"/>
      <c r="AS1867" s="43"/>
      <c r="AT1867" s="43"/>
      <c r="AU1867" s="43"/>
      <c r="AV1867" s="43"/>
    </row>
    <row r="1868" ht="15.75" spans="1:48">
      <c r="A1868" s="12">
        <v>1864</v>
      </c>
      <c r="B1868" s="44">
        <v>761</v>
      </c>
      <c r="C1868" s="45" t="s">
        <v>89</v>
      </c>
      <c r="D1868" s="46"/>
      <c r="E1868" s="47"/>
      <c r="F1868" s="48">
        <v>3.8</v>
      </c>
      <c r="G1868" s="38">
        <v>0.17</v>
      </c>
      <c r="H1868" s="39"/>
      <c r="I1868" s="39"/>
      <c r="J1868" s="39"/>
      <c r="K1868" s="39"/>
      <c r="L1868" s="39"/>
      <c r="M1868" s="39"/>
      <c r="N1868" s="39"/>
      <c r="O1868" s="39"/>
      <c r="P1868" s="39"/>
      <c r="Q1868" s="39"/>
      <c r="R1868" s="39"/>
      <c r="S1868" s="39"/>
      <c r="T1868" s="39"/>
      <c r="U1868" s="39">
        <v>0.17</v>
      </c>
      <c r="V1868" s="39"/>
      <c r="W1868" s="39"/>
      <c r="X1868" s="49" t="s">
        <v>101</v>
      </c>
      <c r="Y1868" s="50">
        <v>7296</v>
      </c>
      <c r="Z1868" s="51">
        <v>5940</v>
      </c>
      <c r="AA1868" s="52">
        <f t="shared" si="46"/>
        <v>0.814144736842105</v>
      </c>
      <c r="AB1868" s="12">
        <v>5940</v>
      </c>
      <c r="AC1868" s="12">
        <v>0</v>
      </c>
      <c r="AD1868" s="43"/>
      <c r="AE1868" s="43"/>
      <c r="AF1868" s="43"/>
      <c r="AG1868" s="43"/>
      <c r="AH1868" s="43"/>
      <c r="AI1868" s="43"/>
      <c r="AJ1868" s="43"/>
      <c r="AK1868" s="43"/>
      <c r="AL1868" s="43"/>
      <c r="AM1868" s="43"/>
      <c r="AN1868" s="43"/>
      <c r="AO1868" s="43"/>
      <c r="AP1868" s="43"/>
      <c r="AQ1868" s="43"/>
      <c r="AR1868" s="43"/>
      <c r="AS1868" s="43"/>
      <c r="AT1868" s="43"/>
      <c r="AU1868" s="43"/>
      <c r="AV1868" s="43"/>
    </row>
    <row r="1869" ht="15.75" spans="1:48">
      <c r="A1869" s="12">
        <v>1865</v>
      </c>
      <c r="B1869" s="44">
        <v>761</v>
      </c>
      <c r="C1869" s="45" t="s">
        <v>89</v>
      </c>
      <c r="D1869" s="46"/>
      <c r="E1869" s="47"/>
      <c r="F1869" s="48">
        <v>1.95</v>
      </c>
      <c r="G1869" s="38">
        <v>0</v>
      </c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  <c r="S1869" s="39"/>
      <c r="T1869" s="39"/>
      <c r="U1869" s="39"/>
      <c r="V1869" s="39"/>
      <c r="W1869" s="39"/>
      <c r="X1869" s="49" t="s">
        <v>229</v>
      </c>
      <c r="Y1869" s="50">
        <v>7254</v>
      </c>
      <c r="Z1869" s="51">
        <v>5850</v>
      </c>
      <c r="AA1869" s="52">
        <f t="shared" si="46"/>
        <v>0.806451612903226</v>
      </c>
      <c r="AB1869" s="12">
        <v>5850</v>
      </c>
      <c r="AC1869" s="12">
        <v>0</v>
      </c>
      <c r="AD1869" s="43"/>
      <c r="AE1869" s="43"/>
      <c r="AF1869" s="43"/>
      <c r="AG1869" s="43"/>
      <c r="AH1869" s="43"/>
      <c r="AI1869" s="43"/>
      <c r="AJ1869" s="43"/>
      <c r="AK1869" s="43"/>
      <c r="AL1869" s="43"/>
      <c r="AM1869" s="43"/>
      <c r="AN1869" s="43"/>
      <c r="AO1869" s="43"/>
      <c r="AP1869" s="43"/>
      <c r="AQ1869" s="43"/>
      <c r="AR1869" s="43"/>
      <c r="AS1869" s="43"/>
      <c r="AT1869" s="43"/>
      <c r="AU1869" s="43"/>
      <c r="AV1869" s="43"/>
    </row>
    <row r="1870" ht="15.75" spans="1:48">
      <c r="A1870" s="12">
        <v>1866</v>
      </c>
      <c r="B1870" s="44">
        <v>761</v>
      </c>
      <c r="C1870" s="45" t="s">
        <v>89</v>
      </c>
      <c r="D1870" s="46"/>
      <c r="E1870" s="47"/>
      <c r="F1870" s="48">
        <v>2.5</v>
      </c>
      <c r="G1870" s="38">
        <v>0</v>
      </c>
      <c r="H1870" s="39"/>
      <c r="I1870" s="39"/>
      <c r="J1870" s="39"/>
      <c r="K1870" s="39"/>
      <c r="L1870" s="39"/>
      <c r="M1870" s="39"/>
      <c r="N1870" s="39"/>
      <c r="O1870" s="39"/>
      <c r="P1870" s="39"/>
      <c r="Q1870" s="39"/>
      <c r="R1870" s="39"/>
      <c r="S1870" s="39"/>
      <c r="T1870" s="39"/>
      <c r="U1870" s="39"/>
      <c r="V1870" s="39"/>
      <c r="W1870" s="39"/>
      <c r="X1870" s="49" t="s">
        <v>102</v>
      </c>
      <c r="Y1870" s="50">
        <v>11250</v>
      </c>
      <c r="Z1870" s="51">
        <v>8500</v>
      </c>
      <c r="AA1870" s="52">
        <f t="shared" si="46"/>
        <v>0.755555555555556</v>
      </c>
      <c r="AB1870" s="12">
        <v>8500</v>
      </c>
      <c r="AC1870" s="12">
        <v>0</v>
      </c>
      <c r="AD1870" s="43"/>
      <c r="AE1870" s="43"/>
      <c r="AF1870" s="43"/>
      <c r="AG1870" s="43"/>
      <c r="AH1870" s="43"/>
      <c r="AI1870" s="43"/>
      <c r="AJ1870" s="43"/>
      <c r="AK1870" s="43"/>
      <c r="AL1870" s="43"/>
      <c r="AM1870" s="43"/>
      <c r="AN1870" s="43"/>
      <c r="AO1870" s="43"/>
      <c r="AP1870" s="43"/>
      <c r="AQ1870" s="43"/>
      <c r="AR1870" s="43"/>
      <c r="AS1870" s="43"/>
      <c r="AT1870" s="43"/>
      <c r="AU1870" s="43"/>
      <c r="AV1870" s="43"/>
    </row>
    <row r="1871" ht="15.75" spans="1:48">
      <c r="A1871" s="12">
        <v>1867</v>
      </c>
      <c r="B1871" s="44">
        <v>761</v>
      </c>
      <c r="C1871" s="45" t="s">
        <v>89</v>
      </c>
      <c r="D1871" s="46"/>
      <c r="E1871" s="47"/>
      <c r="F1871" s="48">
        <v>1.08</v>
      </c>
      <c r="G1871" s="38">
        <v>0</v>
      </c>
      <c r="H1871" s="39"/>
      <c r="I1871" s="39"/>
      <c r="J1871" s="39"/>
      <c r="K1871" s="39"/>
      <c r="L1871" s="39"/>
      <c r="M1871" s="39"/>
      <c r="N1871" s="39"/>
      <c r="O1871" s="39"/>
      <c r="P1871" s="39"/>
      <c r="Q1871" s="39"/>
      <c r="R1871" s="39"/>
      <c r="S1871" s="39"/>
      <c r="T1871" s="39"/>
      <c r="U1871" s="39"/>
      <c r="V1871" s="39"/>
      <c r="W1871" s="39"/>
      <c r="X1871" s="49" t="s">
        <v>383</v>
      </c>
      <c r="Y1871" s="50">
        <v>1836</v>
      </c>
      <c r="Z1871" s="51">
        <v>1320</v>
      </c>
      <c r="AA1871" s="52">
        <f t="shared" si="46"/>
        <v>0.718954248366013</v>
      </c>
      <c r="AB1871" s="12">
        <v>1320</v>
      </c>
      <c r="AC1871" s="12">
        <v>0</v>
      </c>
      <c r="AD1871" s="43"/>
      <c r="AE1871" s="43"/>
      <c r="AF1871" s="43"/>
      <c r="AG1871" s="43"/>
      <c r="AH1871" s="43"/>
      <c r="AI1871" s="43"/>
      <c r="AJ1871" s="43"/>
      <c r="AK1871" s="43"/>
      <c r="AL1871" s="43"/>
      <c r="AM1871" s="43"/>
      <c r="AN1871" s="43"/>
      <c r="AO1871" s="43"/>
      <c r="AP1871" s="43"/>
      <c r="AQ1871" s="43"/>
      <c r="AR1871" s="43"/>
      <c r="AS1871" s="43"/>
      <c r="AT1871" s="43"/>
      <c r="AU1871" s="43"/>
      <c r="AV1871" s="43"/>
    </row>
    <row r="1872" ht="15.75" spans="1:48">
      <c r="A1872" s="12">
        <v>1868</v>
      </c>
      <c r="B1872" s="44" t="s">
        <v>185</v>
      </c>
      <c r="C1872" s="45" t="s">
        <v>179</v>
      </c>
      <c r="D1872" s="46"/>
      <c r="E1872" s="47"/>
      <c r="F1872" s="48">
        <v>1.5</v>
      </c>
      <c r="G1872" s="38">
        <v>0</v>
      </c>
      <c r="H1872" s="39"/>
      <c r="I1872" s="39"/>
      <c r="J1872" s="39"/>
      <c r="K1872" s="39"/>
      <c r="L1872" s="39"/>
      <c r="M1872" s="39"/>
      <c r="N1872" s="39"/>
      <c r="O1872" s="39"/>
      <c r="P1872" s="39"/>
      <c r="Q1872" s="39"/>
      <c r="R1872" s="39"/>
      <c r="S1872" s="39"/>
      <c r="T1872" s="39"/>
      <c r="U1872" s="39"/>
      <c r="V1872" s="39"/>
      <c r="W1872" s="39"/>
      <c r="X1872" s="49" t="s">
        <v>405</v>
      </c>
      <c r="Y1872" s="50">
        <v>8250</v>
      </c>
      <c r="Z1872" s="51">
        <v>6750</v>
      </c>
      <c r="AA1872" s="52">
        <f t="shared" si="46"/>
        <v>0.818181818181818</v>
      </c>
      <c r="AB1872" s="12">
        <v>6750</v>
      </c>
      <c r="AC1872" s="12">
        <v>0</v>
      </c>
      <c r="AD1872" s="43"/>
      <c r="AE1872" s="43"/>
      <c r="AF1872" s="43"/>
      <c r="AG1872" s="43"/>
      <c r="AH1872" s="43"/>
      <c r="AI1872" s="43"/>
      <c r="AJ1872" s="43"/>
      <c r="AK1872" s="43"/>
      <c r="AL1872" s="43"/>
      <c r="AM1872" s="43"/>
      <c r="AN1872" s="43"/>
      <c r="AO1872" s="43"/>
      <c r="AP1872" s="43"/>
      <c r="AQ1872" s="43"/>
      <c r="AR1872" s="43"/>
      <c r="AS1872" s="43"/>
      <c r="AT1872" s="43"/>
      <c r="AU1872" s="43"/>
      <c r="AV1872" s="43"/>
    </row>
    <row r="1873" ht="15.75" spans="1:48">
      <c r="A1873" s="12">
        <v>1869</v>
      </c>
      <c r="B1873" s="44" t="s">
        <v>185</v>
      </c>
      <c r="C1873" s="45" t="s">
        <v>179</v>
      </c>
      <c r="D1873" s="46"/>
      <c r="E1873" s="47"/>
      <c r="F1873" s="48">
        <v>1.5</v>
      </c>
      <c r="G1873" s="38">
        <v>0.33</v>
      </c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  <c r="S1873" s="39"/>
      <c r="T1873" s="39">
        <v>0.33</v>
      </c>
      <c r="U1873" s="39"/>
      <c r="V1873" s="39"/>
      <c r="W1873" s="39"/>
      <c r="X1873" s="49" t="s">
        <v>104</v>
      </c>
      <c r="Y1873" s="50">
        <v>22500</v>
      </c>
      <c r="Z1873" s="51">
        <v>20000</v>
      </c>
      <c r="AA1873" s="52">
        <f t="shared" si="46"/>
        <v>0.888888888888889</v>
      </c>
      <c r="AB1873" s="12">
        <v>20000</v>
      </c>
      <c r="AC1873" s="12">
        <v>0</v>
      </c>
      <c r="AD1873" s="43"/>
      <c r="AE1873" s="43"/>
      <c r="AF1873" s="43"/>
      <c r="AG1873" s="43"/>
      <c r="AH1873" s="43"/>
      <c r="AI1873" s="43"/>
      <c r="AJ1873" s="43"/>
      <c r="AK1873" s="43"/>
      <c r="AL1873" s="43"/>
      <c r="AM1873" s="43"/>
      <c r="AN1873" s="43"/>
      <c r="AO1873" s="43"/>
      <c r="AP1873" s="43"/>
      <c r="AQ1873" s="43"/>
      <c r="AR1873" s="43"/>
      <c r="AS1873" s="43"/>
      <c r="AT1873" s="43"/>
      <c r="AU1873" s="43"/>
      <c r="AV1873" s="43"/>
    </row>
    <row r="1874" ht="15.75" spans="1:48">
      <c r="A1874" s="12">
        <v>1870</v>
      </c>
      <c r="B1874" s="69" t="s">
        <v>308</v>
      </c>
      <c r="C1874" s="45" t="s">
        <v>309</v>
      </c>
      <c r="D1874" s="46"/>
      <c r="E1874" s="47" t="s">
        <v>50</v>
      </c>
      <c r="F1874" s="48">
        <v>7.17</v>
      </c>
      <c r="G1874" s="38">
        <v>0.83</v>
      </c>
      <c r="H1874" s="39"/>
      <c r="I1874" s="39"/>
      <c r="J1874" s="39"/>
      <c r="K1874" s="39"/>
      <c r="L1874" s="39"/>
      <c r="M1874" s="39"/>
      <c r="N1874" s="39"/>
      <c r="O1874" s="39"/>
      <c r="P1874" s="39"/>
      <c r="Q1874" s="39">
        <v>0.83</v>
      </c>
      <c r="R1874" s="39"/>
      <c r="S1874" s="39"/>
      <c r="T1874" s="39"/>
      <c r="U1874" s="39"/>
      <c r="V1874" s="39"/>
      <c r="W1874" s="39"/>
      <c r="X1874" s="49" t="s">
        <v>310</v>
      </c>
      <c r="Y1874" s="50">
        <v>0</v>
      </c>
      <c r="Z1874" s="51"/>
      <c r="AA1874" s="52">
        <f t="shared" si="46"/>
        <v>0</v>
      </c>
      <c r="AB1874" s="12">
        <v>0</v>
      </c>
      <c r="AC1874" s="12">
        <v>0</v>
      </c>
      <c r="AD1874" s="43"/>
      <c r="AE1874" s="43"/>
      <c r="AF1874" s="43"/>
      <c r="AG1874" s="43"/>
      <c r="AH1874" s="43"/>
      <c r="AI1874" s="43"/>
      <c r="AJ1874" s="43"/>
      <c r="AK1874" s="43"/>
      <c r="AL1874" s="43"/>
      <c r="AM1874" s="43"/>
      <c r="AN1874" s="43"/>
      <c r="AO1874" s="43"/>
      <c r="AP1874" s="43"/>
      <c r="AQ1874" s="43"/>
      <c r="AR1874" s="43"/>
      <c r="AS1874" s="43"/>
      <c r="AT1874" s="43"/>
      <c r="AU1874" s="43"/>
      <c r="AV1874" s="43"/>
    </row>
    <row r="1875" ht="15.75" spans="1:48">
      <c r="A1875" s="12">
        <v>1871</v>
      </c>
      <c r="B1875" s="44">
        <v>4496</v>
      </c>
      <c r="C1875" s="45" t="s">
        <v>133</v>
      </c>
      <c r="D1875" s="46" t="s">
        <v>138</v>
      </c>
      <c r="E1875" s="47" t="s">
        <v>50</v>
      </c>
      <c r="F1875" s="48">
        <v>10.67</v>
      </c>
      <c r="G1875" s="38">
        <v>1.34</v>
      </c>
      <c r="H1875" s="39"/>
      <c r="I1875" s="39"/>
      <c r="J1875" s="39"/>
      <c r="K1875" s="39"/>
      <c r="L1875" s="39"/>
      <c r="M1875" s="39"/>
      <c r="N1875" s="39"/>
      <c r="O1875" s="39"/>
      <c r="P1875" s="39"/>
      <c r="Q1875" s="39">
        <v>1.17</v>
      </c>
      <c r="R1875" s="39"/>
      <c r="S1875" s="39"/>
      <c r="T1875" s="39"/>
      <c r="U1875" s="39">
        <v>0.17</v>
      </c>
      <c r="V1875" s="39"/>
      <c r="W1875" s="39"/>
      <c r="X1875" s="49" t="s">
        <v>82</v>
      </c>
      <c r="Y1875" s="50">
        <v>17338.75</v>
      </c>
      <c r="Z1875" s="51">
        <v>16990</v>
      </c>
      <c r="AA1875" s="52">
        <f t="shared" si="46"/>
        <v>0.979886093288155</v>
      </c>
      <c r="AB1875" s="12">
        <v>16980</v>
      </c>
      <c r="AC1875" s="12">
        <v>10</v>
      </c>
      <c r="AD1875" s="43"/>
      <c r="AE1875" s="43"/>
      <c r="AF1875" s="43"/>
      <c r="AG1875" s="19">
        <v>10</v>
      </c>
      <c r="AH1875" s="43"/>
      <c r="AI1875" s="43"/>
      <c r="AJ1875" s="43"/>
      <c r="AK1875" s="43"/>
      <c r="AL1875" s="43"/>
      <c r="AM1875" s="43"/>
      <c r="AN1875" s="43"/>
      <c r="AO1875" s="43"/>
      <c r="AP1875" s="43"/>
      <c r="AQ1875" s="43"/>
      <c r="AR1875" s="43"/>
      <c r="AS1875" s="43"/>
      <c r="AT1875" s="43"/>
      <c r="AU1875" s="43"/>
      <c r="AV1875" s="43"/>
    </row>
    <row r="1876" ht="15.75" spans="1:48">
      <c r="A1876" s="12">
        <v>1872</v>
      </c>
      <c r="B1876" s="44">
        <v>4352</v>
      </c>
      <c r="C1876" s="45" t="s">
        <v>132</v>
      </c>
      <c r="D1876" s="46" t="s">
        <v>129</v>
      </c>
      <c r="E1876" s="47" t="s">
        <v>50</v>
      </c>
      <c r="F1876" s="48">
        <v>10.67</v>
      </c>
      <c r="G1876" s="38">
        <v>1.34</v>
      </c>
      <c r="H1876" s="39"/>
      <c r="I1876" s="39"/>
      <c r="J1876" s="39"/>
      <c r="K1876" s="39"/>
      <c r="L1876" s="39"/>
      <c r="M1876" s="39"/>
      <c r="N1876" s="39"/>
      <c r="O1876" s="39"/>
      <c r="P1876" s="39"/>
      <c r="Q1876" s="39">
        <v>1.17</v>
      </c>
      <c r="R1876" s="39"/>
      <c r="S1876" s="39"/>
      <c r="T1876" s="39"/>
      <c r="U1876" s="39">
        <v>0.17</v>
      </c>
      <c r="V1876" s="39"/>
      <c r="W1876" s="39"/>
      <c r="X1876" s="49" t="s">
        <v>220</v>
      </c>
      <c r="Y1876" s="50">
        <v>19206</v>
      </c>
      <c r="Z1876" s="51">
        <v>16062</v>
      </c>
      <c r="AA1876" s="52">
        <f t="shared" si="46"/>
        <v>0.836301155888785</v>
      </c>
      <c r="AB1876" s="12">
        <v>16044</v>
      </c>
      <c r="AC1876" s="12">
        <v>18</v>
      </c>
      <c r="AD1876" s="43"/>
      <c r="AE1876" s="43"/>
      <c r="AF1876" s="43"/>
      <c r="AG1876" s="19">
        <v>18</v>
      </c>
      <c r="AH1876" s="43"/>
      <c r="AI1876" s="43"/>
      <c r="AJ1876" s="43"/>
      <c r="AK1876" s="43"/>
      <c r="AL1876" s="43"/>
      <c r="AM1876" s="43"/>
      <c r="AN1876" s="43"/>
      <c r="AO1876" s="43"/>
      <c r="AP1876" s="43"/>
      <c r="AQ1876" s="43"/>
      <c r="AR1876" s="43"/>
      <c r="AS1876" s="43"/>
      <c r="AT1876" s="43"/>
      <c r="AU1876" s="43"/>
      <c r="AV1876" s="43"/>
    </row>
    <row r="1877" ht="15.75" spans="1:48">
      <c r="A1877" s="12">
        <v>1873</v>
      </c>
      <c r="B1877" s="44">
        <v>4019</v>
      </c>
      <c r="C1877" s="45" t="s">
        <v>134</v>
      </c>
      <c r="D1877" s="46" t="s">
        <v>83</v>
      </c>
      <c r="E1877" s="47" t="s">
        <v>50</v>
      </c>
      <c r="F1877" s="48">
        <v>6.5</v>
      </c>
      <c r="G1877" s="38">
        <v>5.5</v>
      </c>
      <c r="H1877" s="39"/>
      <c r="I1877" s="39"/>
      <c r="J1877" s="39"/>
      <c r="K1877" s="39">
        <v>4</v>
      </c>
      <c r="L1877" s="39"/>
      <c r="M1877" s="39"/>
      <c r="N1877" s="39"/>
      <c r="O1877" s="39"/>
      <c r="P1877" s="39"/>
      <c r="Q1877" s="39">
        <v>1.17</v>
      </c>
      <c r="R1877" s="39"/>
      <c r="S1877" s="39"/>
      <c r="T1877" s="39"/>
      <c r="U1877" s="39">
        <v>0.33</v>
      </c>
      <c r="V1877" s="39"/>
      <c r="W1877" s="39"/>
      <c r="X1877" s="49" t="s">
        <v>342</v>
      </c>
      <c r="Y1877" s="50">
        <v>29250</v>
      </c>
      <c r="Z1877" s="51">
        <v>30894</v>
      </c>
      <c r="AA1877" s="52">
        <f t="shared" si="46"/>
        <v>1.05620512820513</v>
      </c>
      <c r="AB1877" s="12">
        <v>30828</v>
      </c>
      <c r="AC1877" s="12">
        <v>66</v>
      </c>
      <c r="AD1877" s="43"/>
      <c r="AE1877" s="43"/>
      <c r="AF1877" s="43"/>
      <c r="AG1877" s="19">
        <v>30</v>
      </c>
      <c r="AH1877" s="43"/>
      <c r="AI1877" s="43"/>
      <c r="AJ1877" s="43"/>
      <c r="AK1877" s="43"/>
      <c r="AL1877" s="43"/>
      <c r="AM1877" s="43"/>
      <c r="AN1877" s="19">
        <v>36</v>
      </c>
      <c r="AO1877" s="43"/>
      <c r="AP1877" s="43"/>
      <c r="AQ1877" s="43"/>
      <c r="AR1877" s="43"/>
      <c r="AS1877" s="43"/>
      <c r="AT1877" s="43"/>
      <c r="AU1877" s="43"/>
      <c r="AV1877" s="43"/>
    </row>
    <row r="1878" ht="15.75" spans="1:48">
      <c r="A1878" s="12">
        <v>1874</v>
      </c>
      <c r="B1878" s="44">
        <v>4019</v>
      </c>
      <c r="C1878" s="45" t="s">
        <v>134</v>
      </c>
      <c r="D1878" s="46" t="s">
        <v>78</v>
      </c>
      <c r="E1878" s="47" t="s">
        <v>50</v>
      </c>
      <c r="F1878" s="48">
        <v>10.33</v>
      </c>
      <c r="G1878" s="38">
        <v>1.67</v>
      </c>
      <c r="H1878" s="39"/>
      <c r="I1878" s="39"/>
      <c r="J1878" s="39"/>
      <c r="K1878" s="39">
        <v>0.17</v>
      </c>
      <c r="L1878" s="39"/>
      <c r="M1878" s="39"/>
      <c r="N1878" s="39"/>
      <c r="O1878" s="39"/>
      <c r="P1878" s="39"/>
      <c r="Q1878" s="39">
        <v>1.17</v>
      </c>
      <c r="R1878" s="39"/>
      <c r="S1878" s="39"/>
      <c r="T1878" s="39"/>
      <c r="U1878" s="39">
        <v>0.33</v>
      </c>
      <c r="V1878" s="39"/>
      <c r="W1878" s="39"/>
      <c r="X1878" s="49" t="s">
        <v>79</v>
      </c>
      <c r="Y1878" s="50">
        <v>68797.8</v>
      </c>
      <c r="Z1878" s="51">
        <v>61312</v>
      </c>
      <c r="AA1878" s="52">
        <f t="shared" ref="AA1878:AA1909" si="47">IFERROR(Z1878/Y1878,0)</f>
        <v>0.891191288093515</v>
      </c>
      <c r="AB1878" s="12">
        <v>61184</v>
      </c>
      <c r="AC1878" s="12">
        <v>128</v>
      </c>
      <c r="AD1878" s="43"/>
      <c r="AE1878" s="43"/>
      <c r="AF1878" s="43"/>
      <c r="AG1878" s="19">
        <v>64</v>
      </c>
      <c r="AH1878" s="43"/>
      <c r="AI1878" s="43"/>
      <c r="AJ1878" s="43"/>
      <c r="AK1878" s="43"/>
      <c r="AL1878" s="43"/>
      <c r="AM1878" s="43"/>
      <c r="AN1878" s="19">
        <v>64</v>
      </c>
      <c r="AO1878" s="43"/>
      <c r="AP1878" s="43"/>
      <c r="AQ1878" s="43"/>
      <c r="AR1878" s="43"/>
      <c r="AS1878" s="43"/>
      <c r="AT1878" s="43"/>
      <c r="AU1878" s="43"/>
      <c r="AV1878" s="43"/>
    </row>
    <row r="1879" ht="15.75" spans="1:48">
      <c r="A1879" s="12">
        <v>1875</v>
      </c>
      <c r="B1879" s="44">
        <v>4019</v>
      </c>
      <c r="C1879" s="45" t="s">
        <v>134</v>
      </c>
      <c r="D1879" s="46" t="s">
        <v>207</v>
      </c>
      <c r="E1879" s="47" t="s">
        <v>50</v>
      </c>
      <c r="F1879" s="48">
        <v>3.5</v>
      </c>
      <c r="G1879" s="38">
        <v>1.5</v>
      </c>
      <c r="H1879" s="39"/>
      <c r="I1879" s="39"/>
      <c r="J1879" s="39"/>
      <c r="K1879" s="39"/>
      <c r="L1879" s="39"/>
      <c r="M1879" s="39"/>
      <c r="N1879" s="39"/>
      <c r="O1879" s="39"/>
      <c r="P1879" s="39"/>
      <c r="Q1879" s="39">
        <v>1.17</v>
      </c>
      <c r="R1879" s="39"/>
      <c r="S1879" s="39"/>
      <c r="T1879" s="39"/>
      <c r="U1879" s="39">
        <v>0.33</v>
      </c>
      <c r="V1879" s="39"/>
      <c r="W1879" s="39"/>
      <c r="X1879" s="49" t="s">
        <v>79</v>
      </c>
      <c r="Y1879" s="50">
        <v>23310</v>
      </c>
      <c r="Z1879" s="51">
        <v>23400</v>
      </c>
      <c r="AA1879" s="52">
        <f t="shared" si="47"/>
        <v>1.003861003861</v>
      </c>
      <c r="AB1879" s="12">
        <v>23280</v>
      </c>
      <c r="AC1879" s="12">
        <v>120</v>
      </c>
      <c r="AD1879" s="43"/>
      <c r="AE1879" s="43"/>
      <c r="AF1879" s="43"/>
      <c r="AG1879" s="19">
        <v>24</v>
      </c>
      <c r="AH1879" s="43"/>
      <c r="AI1879" s="43"/>
      <c r="AJ1879" s="43"/>
      <c r="AK1879" s="19">
        <v>64</v>
      </c>
      <c r="AL1879" s="43"/>
      <c r="AM1879" s="43"/>
      <c r="AN1879" s="19">
        <v>32</v>
      </c>
      <c r="AO1879" s="43"/>
      <c r="AP1879" s="43"/>
      <c r="AQ1879" s="43"/>
      <c r="AR1879" s="43"/>
      <c r="AS1879" s="43"/>
      <c r="AT1879" s="43"/>
      <c r="AU1879" s="43"/>
      <c r="AV1879" s="43"/>
    </row>
    <row r="1880" ht="15.75" spans="1:48">
      <c r="A1880" s="12">
        <v>1876</v>
      </c>
      <c r="B1880" s="44">
        <v>4019</v>
      </c>
      <c r="C1880" s="45" t="s">
        <v>134</v>
      </c>
      <c r="D1880" s="46" t="s">
        <v>76</v>
      </c>
      <c r="E1880" s="47" t="s">
        <v>50</v>
      </c>
      <c r="F1880" s="48">
        <v>10.33</v>
      </c>
      <c r="G1880" s="38">
        <v>1.67</v>
      </c>
      <c r="H1880" s="39"/>
      <c r="I1880" s="39"/>
      <c r="J1880" s="39"/>
      <c r="K1880" s="39">
        <v>0.17</v>
      </c>
      <c r="L1880" s="39"/>
      <c r="M1880" s="39"/>
      <c r="N1880" s="39"/>
      <c r="O1880" s="39"/>
      <c r="P1880" s="39"/>
      <c r="Q1880" s="39">
        <v>1.17</v>
      </c>
      <c r="R1880" s="39"/>
      <c r="S1880" s="39"/>
      <c r="T1880" s="39"/>
      <c r="U1880" s="39">
        <v>0.33</v>
      </c>
      <c r="V1880" s="39"/>
      <c r="W1880" s="39"/>
      <c r="X1880" s="49" t="s">
        <v>77</v>
      </c>
      <c r="Y1880" s="50">
        <v>61980</v>
      </c>
      <c r="Z1880" s="51">
        <v>58280</v>
      </c>
      <c r="AA1880" s="52">
        <f t="shared" si="47"/>
        <v>0.940303323652791</v>
      </c>
      <c r="AB1880" s="12">
        <v>58160</v>
      </c>
      <c r="AC1880" s="12">
        <v>120</v>
      </c>
      <c r="AD1880" s="43"/>
      <c r="AE1880" s="43"/>
      <c r="AF1880" s="43"/>
      <c r="AG1880" s="19">
        <v>56</v>
      </c>
      <c r="AH1880" s="43"/>
      <c r="AI1880" s="43"/>
      <c r="AJ1880" s="43"/>
      <c r="AK1880" s="43"/>
      <c r="AL1880" s="43"/>
      <c r="AM1880" s="43"/>
      <c r="AN1880" s="19">
        <v>64</v>
      </c>
      <c r="AO1880" s="43"/>
      <c r="AP1880" s="43"/>
      <c r="AQ1880" s="43"/>
      <c r="AR1880" s="43"/>
      <c r="AS1880" s="43"/>
      <c r="AT1880" s="43"/>
      <c r="AU1880" s="43"/>
      <c r="AV1880" s="43"/>
    </row>
    <row r="1881" ht="15.75" spans="1:48">
      <c r="A1881" s="12">
        <v>1877</v>
      </c>
      <c r="B1881" s="44">
        <v>3919</v>
      </c>
      <c r="C1881" s="45" t="s">
        <v>137</v>
      </c>
      <c r="D1881" s="46"/>
      <c r="E1881" s="47" t="s">
        <v>50</v>
      </c>
      <c r="F1881" s="48">
        <v>10.83</v>
      </c>
      <c r="G1881" s="38">
        <v>1.17</v>
      </c>
      <c r="H1881" s="39"/>
      <c r="I1881" s="39"/>
      <c r="J1881" s="39"/>
      <c r="K1881" s="39"/>
      <c r="L1881" s="39"/>
      <c r="M1881" s="39"/>
      <c r="N1881" s="39"/>
      <c r="O1881" s="39"/>
      <c r="P1881" s="39"/>
      <c r="Q1881" s="39">
        <v>1.17</v>
      </c>
      <c r="R1881" s="39"/>
      <c r="S1881" s="39"/>
      <c r="T1881" s="39"/>
      <c r="U1881" s="39"/>
      <c r="V1881" s="39"/>
      <c r="W1881" s="39"/>
      <c r="X1881" s="49" t="s">
        <v>140</v>
      </c>
      <c r="Y1881" s="50">
        <v>0</v>
      </c>
      <c r="Z1881" s="51"/>
      <c r="AA1881" s="52">
        <f t="shared" si="47"/>
        <v>0</v>
      </c>
      <c r="AB1881" s="12">
        <v>0</v>
      </c>
      <c r="AC1881" s="12">
        <v>0</v>
      </c>
      <c r="AD1881" s="43"/>
      <c r="AE1881" s="43"/>
      <c r="AF1881" s="43"/>
      <c r="AG1881" s="43"/>
      <c r="AH1881" s="43"/>
      <c r="AI1881" s="43"/>
      <c r="AJ1881" s="43"/>
      <c r="AK1881" s="43"/>
      <c r="AL1881" s="43"/>
      <c r="AM1881" s="43"/>
      <c r="AN1881" s="43"/>
      <c r="AO1881" s="43"/>
      <c r="AP1881" s="43"/>
      <c r="AQ1881" s="43"/>
      <c r="AR1881" s="43"/>
      <c r="AS1881" s="43"/>
      <c r="AT1881" s="43"/>
      <c r="AU1881" s="43"/>
      <c r="AV1881" s="43"/>
    </row>
    <row r="1882" ht="15.75" spans="1:48">
      <c r="A1882" s="12">
        <v>1878</v>
      </c>
      <c r="B1882" s="69" t="s">
        <v>333</v>
      </c>
      <c r="C1882" s="45" t="s">
        <v>334</v>
      </c>
      <c r="D1882" s="46">
        <v>21</v>
      </c>
      <c r="E1882" s="47" t="s">
        <v>50</v>
      </c>
      <c r="F1882" s="48">
        <v>7.17</v>
      </c>
      <c r="G1882" s="38">
        <v>0.83</v>
      </c>
      <c r="H1882" s="39"/>
      <c r="I1882" s="39"/>
      <c r="J1882" s="39"/>
      <c r="K1882" s="39"/>
      <c r="L1882" s="39"/>
      <c r="M1882" s="39"/>
      <c r="N1882" s="39"/>
      <c r="O1882" s="39"/>
      <c r="P1882" s="39"/>
      <c r="Q1882" s="39">
        <v>0.83</v>
      </c>
      <c r="R1882" s="39"/>
      <c r="S1882" s="39"/>
      <c r="T1882" s="39"/>
      <c r="U1882" s="39"/>
      <c r="V1882" s="39"/>
      <c r="W1882" s="39"/>
      <c r="X1882" s="49" t="s">
        <v>96</v>
      </c>
      <c r="Y1882" s="50">
        <v>10396.5</v>
      </c>
      <c r="Z1882" s="51">
        <v>6500</v>
      </c>
      <c r="AA1882" s="52">
        <f t="shared" si="47"/>
        <v>0.625210407348627</v>
      </c>
      <c r="AB1882" s="12">
        <v>6500</v>
      </c>
      <c r="AC1882" s="12">
        <v>0</v>
      </c>
      <c r="AD1882" s="43"/>
      <c r="AE1882" s="43"/>
      <c r="AF1882" s="43"/>
      <c r="AG1882" s="43"/>
      <c r="AH1882" s="43"/>
      <c r="AI1882" s="43"/>
      <c r="AJ1882" s="43"/>
      <c r="AK1882" s="43"/>
      <c r="AL1882" s="43"/>
      <c r="AM1882" s="43"/>
      <c r="AN1882" s="43"/>
      <c r="AO1882" s="43"/>
      <c r="AP1882" s="43"/>
      <c r="AQ1882" s="43"/>
      <c r="AR1882" s="43"/>
      <c r="AS1882" s="43"/>
      <c r="AT1882" s="43"/>
      <c r="AU1882" s="43"/>
      <c r="AV1882" s="43"/>
    </row>
    <row r="1883" ht="15.75" spans="1:48">
      <c r="A1883" s="12">
        <v>1879</v>
      </c>
      <c r="B1883" s="69" t="s">
        <v>322</v>
      </c>
      <c r="C1883" s="45" t="s">
        <v>323</v>
      </c>
      <c r="D1883" s="46">
        <v>2</v>
      </c>
      <c r="E1883" s="47" t="s">
        <v>50</v>
      </c>
      <c r="F1883" s="48">
        <v>7.17</v>
      </c>
      <c r="G1883" s="38">
        <v>0.83</v>
      </c>
      <c r="H1883" s="39"/>
      <c r="I1883" s="39"/>
      <c r="J1883" s="39"/>
      <c r="K1883" s="39"/>
      <c r="L1883" s="39"/>
      <c r="M1883" s="39"/>
      <c r="N1883" s="39"/>
      <c r="O1883" s="39"/>
      <c r="P1883" s="39"/>
      <c r="Q1883" s="39">
        <v>0.83</v>
      </c>
      <c r="R1883" s="39"/>
      <c r="S1883" s="39"/>
      <c r="T1883" s="39"/>
      <c r="U1883" s="39"/>
      <c r="V1883" s="39"/>
      <c r="W1883" s="39"/>
      <c r="X1883" s="49">
        <v>8235</v>
      </c>
      <c r="Y1883" s="50">
        <v>4732.2</v>
      </c>
      <c r="Z1883" s="51">
        <v>2275</v>
      </c>
      <c r="AA1883" s="52">
        <f t="shared" si="47"/>
        <v>0.480748911711255</v>
      </c>
      <c r="AB1883" s="12">
        <v>2209</v>
      </c>
      <c r="AC1883" s="12">
        <v>66</v>
      </c>
      <c r="AD1883" s="19">
        <v>66</v>
      </c>
      <c r="AE1883" s="43"/>
      <c r="AF1883" s="43"/>
      <c r="AG1883" s="43"/>
      <c r="AH1883" s="43"/>
      <c r="AI1883" s="43"/>
      <c r="AJ1883" s="43"/>
      <c r="AK1883" s="43"/>
      <c r="AL1883" s="43"/>
      <c r="AM1883" s="43"/>
      <c r="AN1883" s="43"/>
      <c r="AO1883" s="43"/>
      <c r="AP1883" s="43"/>
      <c r="AQ1883" s="43"/>
      <c r="AR1883" s="43"/>
      <c r="AS1883" s="43"/>
      <c r="AT1883" s="43"/>
      <c r="AU1883" s="43"/>
      <c r="AV1883" s="43"/>
    </row>
    <row r="1884" ht="15.75" spans="1:48">
      <c r="A1884" s="12">
        <v>1880</v>
      </c>
      <c r="B1884" s="69" t="s">
        <v>315</v>
      </c>
      <c r="C1884" s="45" t="s">
        <v>316</v>
      </c>
      <c r="D1884" s="46">
        <v>6</v>
      </c>
      <c r="E1884" s="47" t="s">
        <v>50</v>
      </c>
      <c r="F1884" s="48">
        <v>7.17</v>
      </c>
      <c r="G1884" s="38">
        <v>0.83</v>
      </c>
      <c r="H1884" s="39"/>
      <c r="I1884" s="39"/>
      <c r="J1884" s="39"/>
      <c r="K1884" s="39"/>
      <c r="L1884" s="39"/>
      <c r="M1884" s="39"/>
      <c r="N1884" s="39"/>
      <c r="O1884" s="39"/>
      <c r="P1884" s="39"/>
      <c r="Q1884" s="39">
        <v>0.83</v>
      </c>
      <c r="R1884" s="39"/>
      <c r="S1884" s="39"/>
      <c r="T1884" s="39"/>
      <c r="U1884" s="39"/>
      <c r="V1884" s="39"/>
      <c r="W1884" s="39"/>
      <c r="X1884" s="49">
        <v>1080</v>
      </c>
      <c r="Y1884" s="50">
        <v>4732.2</v>
      </c>
      <c r="Z1884" s="51">
        <v>2075</v>
      </c>
      <c r="AA1884" s="52">
        <f t="shared" si="47"/>
        <v>0.438485271121254</v>
      </c>
      <c r="AB1884" s="12">
        <v>2075</v>
      </c>
      <c r="AC1884" s="12">
        <v>0</v>
      </c>
      <c r="AD1884" s="43"/>
      <c r="AE1884" s="43"/>
      <c r="AF1884" s="43"/>
      <c r="AG1884" s="43"/>
      <c r="AH1884" s="43"/>
      <c r="AI1884" s="43"/>
      <c r="AJ1884" s="43"/>
      <c r="AK1884" s="43"/>
      <c r="AL1884" s="43"/>
      <c r="AM1884" s="43"/>
      <c r="AN1884" s="43"/>
      <c r="AO1884" s="43"/>
      <c r="AP1884" s="43"/>
      <c r="AQ1884" s="43"/>
      <c r="AR1884" s="43"/>
      <c r="AS1884" s="43"/>
      <c r="AT1884" s="43"/>
      <c r="AU1884" s="43"/>
      <c r="AV1884" s="43"/>
    </row>
    <row r="1885" ht="15.75" spans="1:48">
      <c r="A1885" s="12">
        <v>1881</v>
      </c>
      <c r="B1885" s="70" t="s">
        <v>317</v>
      </c>
      <c r="C1885" s="45" t="s">
        <v>318</v>
      </c>
      <c r="D1885" s="46">
        <v>5</v>
      </c>
      <c r="E1885" s="47" t="s">
        <v>50</v>
      </c>
      <c r="F1885" s="48">
        <v>7.17</v>
      </c>
      <c r="G1885" s="38">
        <v>0.83</v>
      </c>
      <c r="H1885" s="39"/>
      <c r="I1885" s="39"/>
      <c r="J1885" s="39"/>
      <c r="K1885" s="39"/>
      <c r="L1885" s="39"/>
      <c r="M1885" s="39"/>
      <c r="N1885" s="39"/>
      <c r="O1885" s="39"/>
      <c r="P1885" s="39"/>
      <c r="Q1885" s="39">
        <v>0.83</v>
      </c>
      <c r="R1885" s="39"/>
      <c r="S1885" s="39"/>
      <c r="T1885" s="39"/>
      <c r="U1885" s="39"/>
      <c r="V1885" s="39"/>
      <c r="W1885" s="39"/>
      <c r="X1885" s="49">
        <v>5770</v>
      </c>
      <c r="Y1885" s="50">
        <v>4337.85</v>
      </c>
      <c r="Z1885" s="51">
        <v>2956</v>
      </c>
      <c r="AA1885" s="52">
        <f t="shared" si="47"/>
        <v>0.681443572276589</v>
      </c>
      <c r="AB1885" s="12">
        <v>2887</v>
      </c>
      <c r="AC1885" s="12">
        <v>69</v>
      </c>
      <c r="AD1885" s="19">
        <v>69</v>
      </c>
      <c r="AE1885" s="43"/>
      <c r="AF1885" s="43"/>
      <c r="AG1885" s="43"/>
      <c r="AH1885" s="43"/>
      <c r="AI1885" s="43"/>
      <c r="AJ1885" s="43"/>
      <c r="AK1885" s="43"/>
      <c r="AL1885" s="43"/>
      <c r="AM1885" s="43"/>
      <c r="AN1885" s="43"/>
      <c r="AO1885" s="43"/>
      <c r="AP1885" s="43"/>
      <c r="AQ1885" s="43"/>
      <c r="AR1885" s="43"/>
      <c r="AS1885" s="43"/>
      <c r="AT1885" s="43"/>
      <c r="AU1885" s="43"/>
      <c r="AV1885" s="43"/>
    </row>
    <row r="1886" ht="15.75" spans="1:48">
      <c r="A1886" s="12">
        <v>1882</v>
      </c>
      <c r="B1886" s="69" t="s">
        <v>320</v>
      </c>
      <c r="C1886" s="45" t="s">
        <v>321</v>
      </c>
      <c r="D1886" s="46">
        <v>18</v>
      </c>
      <c r="E1886" s="47" t="s">
        <v>50</v>
      </c>
      <c r="F1886" s="48">
        <v>5.17</v>
      </c>
      <c r="G1886" s="38">
        <v>0.83</v>
      </c>
      <c r="H1886" s="39"/>
      <c r="I1886" s="39"/>
      <c r="J1886" s="39"/>
      <c r="K1886" s="39"/>
      <c r="L1886" s="39"/>
      <c r="M1886" s="39"/>
      <c r="N1886" s="39"/>
      <c r="O1886" s="39"/>
      <c r="P1886" s="39"/>
      <c r="Q1886" s="39">
        <v>0.83</v>
      </c>
      <c r="R1886" s="39"/>
      <c r="S1886" s="39"/>
      <c r="T1886" s="39"/>
      <c r="U1886" s="39"/>
      <c r="V1886" s="39"/>
      <c r="W1886" s="39"/>
      <c r="X1886" s="49">
        <v>9968</v>
      </c>
      <c r="Y1886" s="50">
        <v>3127.85</v>
      </c>
      <c r="Z1886" s="51">
        <v>1560</v>
      </c>
      <c r="AA1886" s="52">
        <f t="shared" si="47"/>
        <v>0.498745144428281</v>
      </c>
      <c r="AB1886" s="12">
        <v>1560</v>
      </c>
      <c r="AC1886" s="12">
        <v>0</v>
      </c>
      <c r="AD1886" s="43"/>
      <c r="AE1886" s="43"/>
      <c r="AF1886" s="43"/>
      <c r="AG1886" s="43"/>
      <c r="AH1886" s="43"/>
      <c r="AI1886" s="43"/>
      <c r="AJ1886" s="43"/>
      <c r="AK1886" s="43"/>
      <c r="AL1886" s="43"/>
      <c r="AM1886" s="43"/>
      <c r="AN1886" s="43"/>
      <c r="AO1886" s="43"/>
      <c r="AP1886" s="43"/>
      <c r="AQ1886" s="43"/>
      <c r="AR1886" s="43"/>
      <c r="AS1886" s="43"/>
      <c r="AT1886" s="43"/>
      <c r="AU1886" s="43"/>
      <c r="AV1886" s="43"/>
    </row>
    <row r="1887" ht="15.75" spans="1:48">
      <c r="A1887" s="12">
        <v>1883</v>
      </c>
      <c r="B1887" s="44">
        <v>4110</v>
      </c>
      <c r="C1887" s="45" t="s">
        <v>135</v>
      </c>
      <c r="D1887" s="46">
        <v>5</v>
      </c>
      <c r="E1887" s="47" t="s">
        <v>50</v>
      </c>
      <c r="F1887" s="48">
        <v>1.17</v>
      </c>
      <c r="G1887" s="38">
        <v>1.34</v>
      </c>
      <c r="H1887" s="39"/>
      <c r="I1887" s="39"/>
      <c r="J1887" s="39"/>
      <c r="K1887" s="39"/>
      <c r="L1887" s="39"/>
      <c r="M1887" s="39"/>
      <c r="N1887" s="39"/>
      <c r="O1887" s="39"/>
      <c r="P1887" s="39"/>
      <c r="Q1887" s="39">
        <v>1.17</v>
      </c>
      <c r="R1887" s="39"/>
      <c r="S1887" s="39"/>
      <c r="T1887" s="39"/>
      <c r="U1887" s="39">
        <v>0.17</v>
      </c>
      <c r="V1887" s="39"/>
      <c r="W1887" s="39"/>
      <c r="X1887" s="49">
        <v>5770</v>
      </c>
      <c r="Y1887" s="50">
        <v>707.85</v>
      </c>
      <c r="Z1887" s="51">
        <v>720</v>
      </c>
      <c r="AA1887" s="52">
        <f t="shared" si="47"/>
        <v>1.01716465352829</v>
      </c>
      <c r="AB1887" s="12">
        <v>720</v>
      </c>
      <c r="AC1887" s="12">
        <v>0</v>
      </c>
      <c r="AD1887" s="43"/>
      <c r="AE1887" s="43"/>
      <c r="AF1887" s="43"/>
      <c r="AG1887" s="43"/>
      <c r="AH1887" s="43"/>
      <c r="AI1887" s="43"/>
      <c r="AJ1887" s="43"/>
      <c r="AK1887" s="43"/>
      <c r="AL1887" s="43"/>
      <c r="AM1887" s="43"/>
      <c r="AN1887" s="43"/>
      <c r="AO1887" s="43"/>
      <c r="AP1887" s="43"/>
      <c r="AQ1887" s="43"/>
      <c r="AR1887" s="43"/>
      <c r="AS1887" s="43"/>
      <c r="AT1887" s="43"/>
      <c r="AU1887" s="43"/>
      <c r="AV1887" s="43"/>
    </row>
    <row r="1888" ht="15.75" spans="1:48">
      <c r="A1888" s="12">
        <v>1884</v>
      </c>
      <c r="B1888" s="44">
        <v>4110</v>
      </c>
      <c r="C1888" s="45" t="s">
        <v>135</v>
      </c>
      <c r="D1888" s="46">
        <v>18</v>
      </c>
      <c r="E1888" s="47" t="s">
        <v>50</v>
      </c>
      <c r="F1888" s="48">
        <v>0.83</v>
      </c>
      <c r="G1888" s="38">
        <v>0.17</v>
      </c>
      <c r="H1888" s="39"/>
      <c r="I1888" s="39"/>
      <c r="J1888" s="39">
        <v>0.17</v>
      </c>
      <c r="K1888" s="39"/>
      <c r="L1888" s="39"/>
      <c r="M1888" s="39"/>
      <c r="N1888" s="39"/>
      <c r="O1888" s="39"/>
      <c r="P1888" s="39"/>
      <c r="Q1888" s="39"/>
      <c r="R1888" s="39"/>
      <c r="S1888" s="39"/>
      <c r="T1888" s="39"/>
      <c r="U1888" s="39"/>
      <c r="V1888" s="39"/>
      <c r="W1888" s="39"/>
      <c r="X1888" s="49">
        <v>9968</v>
      </c>
      <c r="Y1888" s="50">
        <v>502.15</v>
      </c>
      <c r="Z1888" s="51">
        <v>480</v>
      </c>
      <c r="AA1888" s="52">
        <f t="shared" si="47"/>
        <v>0.95588967440008</v>
      </c>
      <c r="AB1888" s="12">
        <v>480</v>
      </c>
      <c r="AC1888" s="12">
        <v>0</v>
      </c>
      <c r="AD1888" s="43"/>
      <c r="AE1888" s="43"/>
      <c r="AF1888" s="43"/>
      <c r="AG1888" s="43"/>
      <c r="AH1888" s="43"/>
      <c r="AI1888" s="43"/>
      <c r="AJ1888" s="43"/>
      <c r="AK1888" s="43"/>
      <c r="AL1888" s="43"/>
      <c r="AM1888" s="43"/>
      <c r="AN1888" s="43"/>
      <c r="AO1888" s="43"/>
      <c r="AP1888" s="43"/>
      <c r="AQ1888" s="43"/>
      <c r="AR1888" s="43"/>
      <c r="AS1888" s="43"/>
      <c r="AT1888" s="43"/>
      <c r="AU1888" s="43"/>
      <c r="AV1888" s="43"/>
    </row>
    <row r="1889" ht="15.75" spans="1:48">
      <c r="A1889" s="12">
        <v>1885</v>
      </c>
      <c r="B1889" s="44">
        <v>666</v>
      </c>
      <c r="C1889" s="45" t="s">
        <v>151</v>
      </c>
      <c r="D1889" s="46"/>
      <c r="E1889" s="47" t="s">
        <v>50</v>
      </c>
      <c r="F1889" s="48">
        <v>9.33</v>
      </c>
      <c r="G1889" s="38">
        <v>2.67</v>
      </c>
      <c r="H1889" s="39"/>
      <c r="I1889" s="39"/>
      <c r="J1889" s="39"/>
      <c r="K1889" s="39"/>
      <c r="L1889" s="39"/>
      <c r="M1889" s="39"/>
      <c r="N1889" s="39"/>
      <c r="O1889" s="39"/>
      <c r="P1889" s="39"/>
      <c r="Q1889" s="39">
        <v>1.17</v>
      </c>
      <c r="R1889" s="39"/>
      <c r="S1889" s="39">
        <v>1.33</v>
      </c>
      <c r="T1889" s="39"/>
      <c r="U1889" s="39">
        <v>0.17</v>
      </c>
      <c r="V1889" s="39"/>
      <c r="W1889" s="39"/>
      <c r="X1889" s="49" t="s">
        <v>98</v>
      </c>
      <c r="Y1889" s="50">
        <v>4385.1</v>
      </c>
      <c r="Z1889" s="51">
        <v>4140</v>
      </c>
      <c r="AA1889" s="52">
        <f t="shared" si="47"/>
        <v>0.94410617773825</v>
      </c>
      <c r="AB1889" s="12">
        <v>4140</v>
      </c>
      <c r="AC1889" s="12">
        <v>0</v>
      </c>
      <c r="AD1889" s="43"/>
      <c r="AE1889" s="43"/>
      <c r="AF1889" s="43"/>
      <c r="AG1889" s="43"/>
      <c r="AH1889" s="43"/>
      <c r="AI1889" s="43"/>
      <c r="AJ1889" s="43"/>
      <c r="AK1889" s="43"/>
      <c r="AL1889" s="43"/>
      <c r="AM1889" s="43"/>
      <c r="AN1889" s="43"/>
      <c r="AO1889" s="43"/>
      <c r="AP1889" s="43"/>
      <c r="AQ1889" s="43"/>
      <c r="AR1889" s="43"/>
      <c r="AS1889" s="43"/>
      <c r="AT1889" s="43"/>
      <c r="AU1889" s="43"/>
      <c r="AV1889" s="43"/>
    </row>
    <row r="1890" ht="15.75" spans="1:48">
      <c r="A1890" s="12">
        <v>1886</v>
      </c>
      <c r="B1890" s="44">
        <v>4342</v>
      </c>
      <c r="C1890" s="45" t="s">
        <v>147</v>
      </c>
      <c r="D1890" s="46"/>
      <c r="E1890" s="47" t="s">
        <v>50</v>
      </c>
      <c r="F1890" s="48">
        <v>10</v>
      </c>
      <c r="G1890" s="38">
        <v>2.01</v>
      </c>
      <c r="H1890" s="39"/>
      <c r="I1890" s="39"/>
      <c r="J1890" s="39"/>
      <c r="K1890" s="39"/>
      <c r="L1890" s="39"/>
      <c r="M1890" s="39"/>
      <c r="N1890" s="39"/>
      <c r="O1890" s="39"/>
      <c r="P1890" s="39"/>
      <c r="Q1890" s="39">
        <v>1.17</v>
      </c>
      <c r="R1890" s="39"/>
      <c r="S1890" s="39">
        <v>0.67</v>
      </c>
      <c r="T1890" s="39"/>
      <c r="U1890" s="39">
        <v>0.17</v>
      </c>
      <c r="V1890" s="39"/>
      <c r="W1890" s="39"/>
      <c r="X1890" s="49" t="s">
        <v>98</v>
      </c>
      <c r="Y1890" s="50">
        <v>4700</v>
      </c>
      <c r="Z1890" s="51">
        <v>4500</v>
      </c>
      <c r="AA1890" s="52">
        <f t="shared" si="47"/>
        <v>0.957446808510638</v>
      </c>
      <c r="AB1890" s="12">
        <v>4500</v>
      </c>
      <c r="AC1890" s="12">
        <v>0</v>
      </c>
      <c r="AD1890" s="43"/>
      <c r="AE1890" s="43"/>
      <c r="AF1890" s="43"/>
      <c r="AG1890" s="43"/>
      <c r="AH1890" s="43"/>
      <c r="AI1890" s="43"/>
      <c r="AJ1890" s="43"/>
      <c r="AK1890" s="43"/>
      <c r="AL1890" s="43"/>
      <c r="AM1890" s="43"/>
      <c r="AN1890" s="43"/>
      <c r="AO1890" s="43"/>
      <c r="AP1890" s="43"/>
      <c r="AQ1890" s="43"/>
      <c r="AR1890" s="43"/>
      <c r="AS1890" s="43"/>
      <c r="AT1890" s="43"/>
      <c r="AU1890" s="43"/>
      <c r="AV1890" s="43"/>
    </row>
    <row r="1891" ht="15.75" spans="1:48">
      <c r="A1891" s="12">
        <v>1887</v>
      </c>
      <c r="B1891" s="44">
        <v>2865</v>
      </c>
      <c r="C1891" s="45" t="s">
        <v>149</v>
      </c>
      <c r="D1891" s="46">
        <v>15</v>
      </c>
      <c r="E1891" s="47" t="s">
        <v>50</v>
      </c>
      <c r="F1891" s="48">
        <v>9</v>
      </c>
      <c r="G1891" s="38">
        <v>2.34</v>
      </c>
      <c r="H1891" s="39"/>
      <c r="I1891" s="39"/>
      <c r="J1891" s="39"/>
      <c r="K1891" s="39">
        <v>0.33</v>
      </c>
      <c r="L1891" s="39"/>
      <c r="M1891" s="39"/>
      <c r="N1891" s="39"/>
      <c r="O1891" s="39"/>
      <c r="P1891" s="39"/>
      <c r="Q1891" s="39">
        <v>1.17</v>
      </c>
      <c r="R1891" s="39"/>
      <c r="S1891" s="39"/>
      <c r="T1891" s="39">
        <v>0.67</v>
      </c>
      <c r="U1891" s="39">
        <v>0.17</v>
      </c>
      <c r="V1891" s="39"/>
      <c r="W1891" s="39"/>
      <c r="X1891" s="49">
        <v>3880</v>
      </c>
      <c r="Y1891" s="50">
        <v>3600</v>
      </c>
      <c r="Z1891" s="51">
        <v>3319</v>
      </c>
      <c r="AA1891" s="52">
        <f t="shared" si="47"/>
        <v>0.921944444444444</v>
      </c>
      <c r="AB1891" s="12">
        <v>3103</v>
      </c>
      <c r="AC1891" s="12">
        <v>216</v>
      </c>
      <c r="AD1891" s="19">
        <v>216</v>
      </c>
      <c r="AE1891" s="43"/>
      <c r="AF1891" s="43"/>
      <c r="AG1891" s="43"/>
      <c r="AH1891" s="43"/>
      <c r="AI1891" s="43"/>
      <c r="AJ1891" s="43"/>
      <c r="AK1891" s="43"/>
      <c r="AL1891" s="43"/>
      <c r="AM1891" s="43"/>
      <c r="AN1891" s="43"/>
      <c r="AO1891" s="43"/>
      <c r="AP1891" s="43"/>
      <c r="AQ1891" s="43"/>
      <c r="AR1891" s="43"/>
      <c r="AS1891" s="43"/>
      <c r="AT1891" s="43"/>
      <c r="AU1891" s="43"/>
      <c r="AV1891" s="43"/>
    </row>
    <row r="1892" ht="15.75" spans="1:48">
      <c r="A1892" s="12">
        <v>1888</v>
      </c>
      <c r="B1892" s="44">
        <v>551</v>
      </c>
      <c r="C1892" s="45" t="s">
        <v>146</v>
      </c>
      <c r="D1892" s="46">
        <v>8</v>
      </c>
      <c r="E1892" s="47" t="s">
        <v>50</v>
      </c>
      <c r="F1892" s="48">
        <v>8.83</v>
      </c>
      <c r="G1892" s="38">
        <v>2.01</v>
      </c>
      <c r="H1892" s="39"/>
      <c r="I1892" s="39"/>
      <c r="J1892" s="39"/>
      <c r="K1892" s="39"/>
      <c r="L1892" s="39"/>
      <c r="M1892" s="39"/>
      <c r="N1892" s="39"/>
      <c r="O1892" s="39"/>
      <c r="P1892" s="39"/>
      <c r="Q1892" s="39">
        <v>1.17</v>
      </c>
      <c r="R1892" s="39"/>
      <c r="S1892" s="39"/>
      <c r="T1892" s="39">
        <v>0.67</v>
      </c>
      <c r="U1892" s="39">
        <v>0.17</v>
      </c>
      <c r="V1892" s="39"/>
      <c r="W1892" s="39"/>
      <c r="X1892" s="49" t="s">
        <v>219</v>
      </c>
      <c r="Y1892" s="50">
        <v>4591.6</v>
      </c>
      <c r="Z1892" s="51">
        <v>3000</v>
      </c>
      <c r="AA1892" s="52">
        <f t="shared" si="47"/>
        <v>0.65336701803293</v>
      </c>
      <c r="AB1892" s="12">
        <v>2831</v>
      </c>
      <c r="AC1892" s="12">
        <v>169</v>
      </c>
      <c r="AD1892" s="19">
        <v>169</v>
      </c>
      <c r="AE1892" s="43"/>
      <c r="AF1892" s="43"/>
      <c r="AG1892" s="43"/>
      <c r="AH1892" s="43"/>
      <c r="AI1892" s="43"/>
      <c r="AJ1892" s="43"/>
      <c r="AK1892" s="43"/>
      <c r="AL1892" s="43"/>
      <c r="AM1892" s="43"/>
      <c r="AN1892" s="43"/>
      <c r="AO1892" s="43"/>
      <c r="AP1892" s="43"/>
      <c r="AQ1892" s="43"/>
      <c r="AR1892" s="43"/>
      <c r="AS1892" s="43"/>
      <c r="AT1892" s="43"/>
      <c r="AU1892" s="43"/>
      <c r="AV1892" s="43"/>
    </row>
    <row r="1893" ht="15.75" spans="1:48">
      <c r="A1893" s="12">
        <v>1889</v>
      </c>
      <c r="B1893" s="44">
        <v>4412</v>
      </c>
      <c r="C1893" s="45" t="s">
        <v>177</v>
      </c>
      <c r="D1893" s="46">
        <v>16</v>
      </c>
      <c r="E1893" s="47" t="s">
        <v>50</v>
      </c>
      <c r="F1893" s="48">
        <v>4.17</v>
      </c>
      <c r="G1893" s="38">
        <v>3.33</v>
      </c>
      <c r="H1893" s="39"/>
      <c r="I1893" s="39"/>
      <c r="J1893" s="39"/>
      <c r="K1893" s="39"/>
      <c r="L1893" s="39"/>
      <c r="M1893" s="39"/>
      <c r="N1893" s="39"/>
      <c r="O1893" s="39"/>
      <c r="P1893" s="39"/>
      <c r="Q1893" s="39">
        <v>0.83</v>
      </c>
      <c r="R1893" s="39"/>
      <c r="S1893" s="39"/>
      <c r="T1893" s="39">
        <v>2.33</v>
      </c>
      <c r="U1893" s="39">
        <v>0.17</v>
      </c>
      <c r="V1893" s="39"/>
      <c r="W1893" s="39"/>
      <c r="X1893" s="49">
        <v>9565</v>
      </c>
      <c r="Y1893" s="50">
        <v>834</v>
      </c>
      <c r="Z1893" s="51">
        <v>870</v>
      </c>
      <c r="AA1893" s="52">
        <f t="shared" si="47"/>
        <v>1.0431654676259</v>
      </c>
      <c r="AB1893" s="12">
        <v>-5</v>
      </c>
      <c r="AC1893" s="12">
        <v>875</v>
      </c>
      <c r="AD1893" s="19">
        <v>875</v>
      </c>
      <c r="AE1893" s="43"/>
      <c r="AF1893" s="43"/>
      <c r="AG1893" s="43"/>
      <c r="AH1893" s="43"/>
      <c r="AI1893" s="43"/>
      <c r="AJ1893" s="43"/>
      <c r="AK1893" s="43"/>
      <c r="AL1893" s="43"/>
      <c r="AM1893" s="43"/>
      <c r="AN1893" s="43"/>
      <c r="AO1893" s="43"/>
      <c r="AP1893" s="43"/>
      <c r="AQ1893" s="43"/>
      <c r="AR1893" s="43"/>
      <c r="AS1893" s="43"/>
      <c r="AT1893" s="43"/>
      <c r="AU1893" s="43"/>
      <c r="AV1893" s="43"/>
    </row>
    <row r="1894" ht="15.75" spans="1:48">
      <c r="A1894" s="12">
        <v>1890</v>
      </c>
      <c r="B1894" s="44">
        <v>4384</v>
      </c>
      <c r="C1894" s="45" t="s">
        <v>145</v>
      </c>
      <c r="D1894" s="46"/>
      <c r="E1894" s="47" t="s">
        <v>50</v>
      </c>
      <c r="F1894" s="48">
        <v>2.33</v>
      </c>
      <c r="G1894" s="38">
        <v>0.84</v>
      </c>
      <c r="H1894" s="39"/>
      <c r="I1894" s="39"/>
      <c r="J1894" s="39"/>
      <c r="K1894" s="39"/>
      <c r="L1894" s="39"/>
      <c r="M1894" s="39"/>
      <c r="N1894" s="39"/>
      <c r="O1894" s="39"/>
      <c r="P1894" s="39"/>
      <c r="Q1894" s="39"/>
      <c r="R1894" s="39"/>
      <c r="S1894" s="39">
        <v>0.67</v>
      </c>
      <c r="T1894" s="39"/>
      <c r="U1894" s="39">
        <v>0.17</v>
      </c>
      <c r="V1894" s="39"/>
      <c r="W1894" s="39"/>
      <c r="X1894" s="49" t="s">
        <v>382</v>
      </c>
      <c r="Y1894" s="50">
        <v>1048.5</v>
      </c>
      <c r="Z1894" s="51">
        <v>960</v>
      </c>
      <c r="AA1894" s="52">
        <f t="shared" si="47"/>
        <v>0.915593705293276</v>
      </c>
      <c r="AB1894" s="12">
        <v>960</v>
      </c>
      <c r="AC1894" s="12">
        <v>0</v>
      </c>
      <c r="AD1894" s="43"/>
      <c r="AE1894" s="43"/>
      <c r="AF1894" s="43"/>
      <c r="AG1894" s="43"/>
      <c r="AH1894" s="43"/>
      <c r="AI1894" s="43"/>
      <c r="AJ1894" s="43"/>
      <c r="AK1894" s="43"/>
      <c r="AL1894" s="43"/>
      <c r="AM1894" s="43"/>
      <c r="AN1894" s="43"/>
      <c r="AO1894" s="43"/>
      <c r="AP1894" s="43"/>
      <c r="AQ1894" s="43"/>
      <c r="AR1894" s="43"/>
      <c r="AS1894" s="43"/>
      <c r="AT1894" s="43"/>
      <c r="AU1894" s="43"/>
      <c r="AV1894" s="43"/>
    </row>
    <row r="1895" ht="15.75" spans="1:48">
      <c r="A1895" s="12">
        <v>1891</v>
      </c>
      <c r="B1895" s="44">
        <v>4335</v>
      </c>
      <c r="C1895" s="45" t="s">
        <v>154</v>
      </c>
      <c r="D1895" s="46"/>
      <c r="E1895" s="47" t="s">
        <v>50</v>
      </c>
      <c r="F1895" s="48">
        <v>10.83</v>
      </c>
      <c r="G1895" s="38">
        <v>1.17</v>
      </c>
      <c r="H1895" s="39"/>
      <c r="I1895" s="39"/>
      <c r="J1895" s="39"/>
      <c r="K1895" s="39"/>
      <c r="L1895" s="39"/>
      <c r="M1895" s="39"/>
      <c r="N1895" s="39"/>
      <c r="O1895" s="39"/>
      <c r="P1895" s="39"/>
      <c r="Q1895" s="39">
        <v>1.17</v>
      </c>
      <c r="R1895" s="39"/>
      <c r="S1895" s="39"/>
      <c r="T1895" s="39"/>
      <c r="U1895" s="39"/>
      <c r="V1895" s="39"/>
      <c r="W1895" s="39"/>
      <c r="X1895" s="49" t="s">
        <v>155</v>
      </c>
      <c r="Y1895" s="50">
        <v>0</v>
      </c>
      <c r="Z1895" s="51"/>
      <c r="AA1895" s="52">
        <f t="shared" si="47"/>
        <v>0</v>
      </c>
      <c r="AB1895" s="12">
        <v>0</v>
      </c>
      <c r="AC1895" s="12">
        <v>0</v>
      </c>
      <c r="AD1895" s="43"/>
      <c r="AE1895" s="43"/>
      <c r="AF1895" s="43"/>
      <c r="AG1895" s="43"/>
      <c r="AH1895" s="43"/>
      <c r="AI1895" s="43"/>
      <c r="AJ1895" s="43"/>
      <c r="AK1895" s="43"/>
      <c r="AL1895" s="43"/>
      <c r="AM1895" s="43"/>
      <c r="AN1895" s="43"/>
      <c r="AO1895" s="43"/>
      <c r="AP1895" s="43"/>
      <c r="AQ1895" s="43"/>
      <c r="AR1895" s="43"/>
      <c r="AS1895" s="43"/>
      <c r="AT1895" s="43"/>
      <c r="AU1895" s="43"/>
      <c r="AV1895" s="43"/>
    </row>
    <row r="1896" ht="15.75" spans="1:48">
      <c r="A1896" s="12">
        <v>1892</v>
      </c>
      <c r="B1896" s="69" t="s">
        <v>312</v>
      </c>
      <c r="C1896" s="45" t="s">
        <v>313</v>
      </c>
      <c r="D1896" s="46"/>
      <c r="E1896" s="47" t="s">
        <v>50</v>
      </c>
      <c r="F1896" s="48">
        <v>7.17</v>
      </c>
      <c r="G1896" s="38">
        <v>0.83</v>
      </c>
      <c r="H1896" s="39"/>
      <c r="I1896" s="39"/>
      <c r="J1896" s="39"/>
      <c r="K1896" s="39"/>
      <c r="L1896" s="39"/>
      <c r="M1896" s="39"/>
      <c r="N1896" s="39"/>
      <c r="O1896" s="39"/>
      <c r="P1896" s="39"/>
      <c r="Q1896" s="39">
        <v>0.83</v>
      </c>
      <c r="R1896" s="39"/>
      <c r="S1896" s="39"/>
      <c r="T1896" s="39"/>
      <c r="U1896" s="39"/>
      <c r="V1896" s="39"/>
      <c r="W1896" s="39"/>
      <c r="X1896" s="49" t="s">
        <v>98</v>
      </c>
      <c r="Y1896" s="50">
        <v>3369.9</v>
      </c>
      <c r="Z1896" s="51">
        <v>360</v>
      </c>
      <c r="AA1896" s="52">
        <f t="shared" si="47"/>
        <v>0.106828095789193</v>
      </c>
      <c r="AB1896" s="12">
        <v>360</v>
      </c>
      <c r="AC1896" s="12">
        <v>0</v>
      </c>
      <c r="AD1896" s="43"/>
      <c r="AE1896" s="43"/>
      <c r="AF1896" s="43"/>
      <c r="AG1896" s="43"/>
      <c r="AH1896" s="43"/>
      <c r="AI1896" s="43"/>
      <c r="AJ1896" s="43"/>
      <c r="AK1896" s="43"/>
      <c r="AL1896" s="43"/>
      <c r="AM1896" s="43"/>
      <c r="AN1896" s="43"/>
      <c r="AO1896" s="43"/>
      <c r="AP1896" s="43"/>
      <c r="AQ1896" s="43"/>
      <c r="AR1896" s="43"/>
      <c r="AS1896" s="43"/>
      <c r="AT1896" s="43"/>
      <c r="AU1896" s="43"/>
      <c r="AV1896" s="43"/>
    </row>
    <row r="1897" ht="15.75" spans="1:48">
      <c r="A1897" s="12">
        <v>1893</v>
      </c>
      <c r="B1897" s="44">
        <v>947</v>
      </c>
      <c r="C1897" s="45" t="s">
        <v>143</v>
      </c>
      <c r="D1897" s="46">
        <v>8</v>
      </c>
      <c r="E1897" s="47" t="s">
        <v>50</v>
      </c>
      <c r="F1897" s="48">
        <v>8.83</v>
      </c>
      <c r="G1897" s="38">
        <v>2.67</v>
      </c>
      <c r="H1897" s="39"/>
      <c r="I1897" s="39"/>
      <c r="J1897" s="39"/>
      <c r="K1897" s="39">
        <v>0.33</v>
      </c>
      <c r="L1897" s="39"/>
      <c r="M1897" s="39"/>
      <c r="N1897" s="39"/>
      <c r="O1897" s="39"/>
      <c r="P1897" s="39"/>
      <c r="Q1897" s="39">
        <v>1.17</v>
      </c>
      <c r="R1897" s="39"/>
      <c r="S1897" s="39"/>
      <c r="T1897" s="39">
        <v>1</v>
      </c>
      <c r="U1897" s="39">
        <v>0.17</v>
      </c>
      <c r="V1897" s="39"/>
      <c r="W1897" s="39"/>
      <c r="X1897" s="49">
        <v>9968</v>
      </c>
      <c r="Y1897" s="50">
        <v>5342.15</v>
      </c>
      <c r="Z1897" s="51">
        <v>5100</v>
      </c>
      <c r="AA1897" s="52">
        <f t="shared" si="47"/>
        <v>0.954671808167124</v>
      </c>
      <c r="AB1897" s="12">
        <v>4914</v>
      </c>
      <c r="AC1897" s="12">
        <v>186</v>
      </c>
      <c r="AD1897" s="19">
        <v>186</v>
      </c>
      <c r="AE1897" s="43"/>
      <c r="AF1897" s="43"/>
      <c r="AG1897" s="43"/>
      <c r="AH1897" s="43"/>
      <c r="AI1897" s="43"/>
      <c r="AJ1897" s="43"/>
      <c r="AK1897" s="43"/>
      <c r="AL1897" s="43"/>
      <c r="AM1897" s="43"/>
      <c r="AN1897" s="43"/>
      <c r="AO1897" s="43"/>
      <c r="AP1897" s="43"/>
      <c r="AQ1897" s="43"/>
      <c r="AR1897" s="43"/>
      <c r="AS1897" s="43"/>
      <c r="AT1897" s="43"/>
      <c r="AU1897" s="43"/>
      <c r="AV1897" s="43"/>
    </row>
    <row r="1898" ht="15.75" spans="1:48">
      <c r="A1898" s="12">
        <v>1894</v>
      </c>
      <c r="B1898" s="44">
        <v>4110</v>
      </c>
      <c r="C1898" s="45" t="s">
        <v>135</v>
      </c>
      <c r="D1898" s="46">
        <v>7</v>
      </c>
      <c r="E1898" s="47" t="s">
        <v>50</v>
      </c>
      <c r="F1898" s="48">
        <v>1.5</v>
      </c>
      <c r="G1898" s="38">
        <v>2.17</v>
      </c>
      <c r="H1898" s="39"/>
      <c r="I1898" s="39"/>
      <c r="J1898" s="39"/>
      <c r="K1898" s="39"/>
      <c r="L1898" s="39"/>
      <c r="M1898" s="39"/>
      <c r="N1898" s="39"/>
      <c r="O1898" s="39"/>
      <c r="P1898" s="39"/>
      <c r="Q1898" s="39"/>
      <c r="R1898" s="39"/>
      <c r="S1898" s="39"/>
      <c r="T1898" s="39"/>
      <c r="U1898" s="39">
        <v>2.17</v>
      </c>
      <c r="V1898" s="39"/>
      <c r="W1898" s="39"/>
      <c r="X1898" s="49" t="s">
        <v>95</v>
      </c>
      <c r="Y1898" s="50">
        <v>2100</v>
      </c>
      <c r="Z1898" s="51">
        <v>2100</v>
      </c>
      <c r="AA1898" s="52">
        <f t="shared" si="47"/>
        <v>1</v>
      </c>
      <c r="AB1898" s="12">
        <v>2100</v>
      </c>
      <c r="AC1898" s="12">
        <v>0</v>
      </c>
      <c r="AD1898" s="43"/>
      <c r="AE1898" s="43"/>
      <c r="AF1898" s="43"/>
      <c r="AG1898" s="43"/>
      <c r="AH1898" s="43"/>
      <c r="AI1898" s="43"/>
      <c r="AJ1898" s="43"/>
      <c r="AK1898" s="43"/>
      <c r="AL1898" s="43"/>
      <c r="AM1898" s="43"/>
      <c r="AN1898" s="43"/>
      <c r="AO1898" s="43"/>
      <c r="AP1898" s="43"/>
      <c r="AQ1898" s="43"/>
      <c r="AR1898" s="43"/>
      <c r="AS1898" s="43"/>
      <c r="AT1898" s="43"/>
      <c r="AU1898" s="43"/>
      <c r="AV1898" s="43"/>
    </row>
    <row r="1899" ht="15.75" spans="1:48">
      <c r="A1899" s="12">
        <v>1895</v>
      </c>
      <c r="B1899" s="44">
        <v>4110</v>
      </c>
      <c r="C1899" s="45" t="s">
        <v>135</v>
      </c>
      <c r="D1899" s="46">
        <v>14</v>
      </c>
      <c r="E1899" s="47" t="s">
        <v>50</v>
      </c>
      <c r="F1899" s="48">
        <v>2.67</v>
      </c>
      <c r="G1899" s="38">
        <v>0.17</v>
      </c>
      <c r="H1899" s="39"/>
      <c r="I1899" s="39"/>
      <c r="J1899" s="39"/>
      <c r="K1899" s="39"/>
      <c r="L1899" s="39"/>
      <c r="M1899" s="39"/>
      <c r="N1899" s="39"/>
      <c r="O1899" s="39"/>
      <c r="P1899" s="39"/>
      <c r="Q1899" s="39"/>
      <c r="R1899" s="39"/>
      <c r="S1899" s="39"/>
      <c r="T1899" s="39">
        <v>0.17</v>
      </c>
      <c r="U1899" s="39"/>
      <c r="V1899" s="39"/>
      <c r="W1899" s="39"/>
      <c r="X1899" s="49">
        <v>8484</v>
      </c>
      <c r="Y1899" s="50">
        <v>1441.8</v>
      </c>
      <c r="Z1899" s="51">
        <v>1320</v>
      </c>
      <c r="AA1899" s="52">
        <f t="shared" si="47"/>
        <v>0.915522263836871</v>
      </c>
      <c r="AB1899" s="12">
        <v>1320</v>
      </c>
      <c r="AC1899" s="12">
        <v>0</v>
      </c>
      <c r="AD1899" s="43"/>
      <c r="AE1899" s="43"/>
      <c r="AF1899" s="43"/>
      <c r="AG1899" s="43"/>
      <c r="AH1899" s="43"/>
      <c r="AI1899" s="43"/>
      <c r="AJ1899" s="43"/>
      <c r="AK1899" s="43"/>
      <c r="AL1899" s="43"/>
      <c r="AM1899" s="43"/>
      <c r="AN1899" s="43"/>
      <c r="AO1899" s="43"/>
      <c r="AP1899" s="43"/>
      <c r="AQ1899" s="43"/>
      <c r="AR1899" s="43"/>
      <c r="AS1899" s="43"/>
      <c r="AT1899" s="43"/>
      <c r="AU1899" s="43"/>
      <c r="AV1899" s="43"/>
    </row>
    <row r="1900" ht="15.75" spans="1:48">
      <c r="A1900" s="12">
        <v>1896</v>
      </c>
      <c r="B1900" s="44">
        <v>4017</v>
      </c>
      <c r="C1900" s="45" t="s">
        <v>148</v>
      </c>
      <c r="D1900" s="46">
        <v>17</v>
      </c>
      <c r="E1900" s="47" t="s">
        <v>50</v>
      </c>
      <c r="F1900" s="48">
        <v>1.83</v>
      </c>
      <c r="G1900" s="38">
        <v>0.83</v>
      </c>
      <c r="H1900" s="39"/>
      <c r="I1900" s="39"/>
      <c r="J1900" s="39">
        <v>0.5</v>
      </c>
      <c r="K1900" s="39"/>
      <c r="L1900" s="39"/>
      <c r="M1900" s="39"/>
      <c r="N1900" s="39"/>
      <c r="O1900" s="39"/>
      <c r="P1900" s="39"/>
      <c r="Q1900" s="39"/>
      <c r="R1900" s="39"/>
      <c r="S1900" s="39"/>
      <c r="T1900" s="39">
        <v>0.33</v>
      </c>
      <c r="U1900" s="39"/>
      <c r="V1900" s="39"/>
      <c r="W1900" s="39"/>
      <c r="X1900" s="49">
        <v>977</v>
      </c>
      <c r="Y1900" s="50">
        <v>549</v>
      </c>
      <c r="Z1900" s="51">
        <v>359</v>
      </c>
      <c r="AA1900" s="52">
        <f t="shared" si="47"/>
        <v>0.65391621129326</v>
      </c>
      <c r="AB1900" s="12">
        <v>314</v>
      </c>
      <c r="AC1900" s="12">
        <v>45</v>
      </c>
      <c r="AD1900" s="19">
        <v>45</v>
      </c>
      <c r="AE1900" s="43"/>
      <c r="AF1900" s="43"/>
      <c r="AG1900" s="43"/>
      <c r="AH1900" s="43"/>
      <c r="AI1900" s="43"/>
      <c r="AJ1900" s="43"/>
      <c r="AK1900" s="43"/>
      <c r="AL1900" s="43"/>
      <c r="AM1900" s="43"/>
      <c r="AN1900" s="43"/>
      <c r="AO1900" s="43"/>
      <c r="AP1900" s="43"/>
      <c r="AQ1900" s="43"/>
      <c r="AR1900" s="43"/>
      <c r="AS1900" s="43"/>
      <c r="AT1900" s="43"/>
      <c r="AU1900" s="43"/>
      <c r="AV1900" s="43"/>
    </row>
    <row r="1901" ht="15.75" spans="1:48">
      <c r="A1901" s="12">
        <v>1897</v>
      </c>
      <c r="B1901" s="53">
        <v>4017</v>
      </c>
      <c r="C1901" s="55" t="s">
        <v>148</v>
      </c>
      <c r="D1901" s="56">
        <v>17</v>
      </c>
      <c r="E1901" s="47" t="s">
        <v>50</v>
      </c>
      <c r="F1901" s="48">
        <v>6.83</v>
      </c>
      <c r="G1901" s="38">
        <v>1.34</v>
      </c>
      <c r="H1901" s="39"/>
      <c r="I1901" s="39"/>
      <c r="J1901" s="39"/>
      <c r="K1901" s="39"/>
      <c r="L1901" s="39"/>
      <c r="M1901" s="39"/>
      <c r="N1901" s="39"/>
      <c r="O1901" s="39"/>
      <c r="P1901" s="39"/>
      <c r="Q1901" s="39">
        <v>1.17</v>
      </c>
      <c r="R1901" s="39"/>
      <c r="S1901" s="39"/>
      <c r="T1901" s="39"/>
      <c r="U1901" s="39">
        <v>0.17</v>
      </c>
      <c r="V1901" s="39"/>
      <c r="W1901" s="39"/>
      <c r="X1901" s="49" t="s">
        <v>222</v>
      </c>
      <c r="Y1901" s="50">
        <v>9903.5</v>
      </c>
      <c r="Z1901" s="51">
        <v>9450</v>
      </c>
      <c r="AA1901" s="52">
        <f t="shared" si="47"/>
        <v>0.95420810824456</v>
      </c>
      <c r="AB1901" s="12">
        <v>9450</v>
      </c>
      <c r="AC1901" s="12">
        <v>0</v>
      </c>
      <c r="AD1901" s="43"/>
      <c r="AE1901" s="43"/>
      <c r="AF1901" s="43"/>
      <c r="AG1901" s="43"/>
      <c r="AH1901" s="43"/>
      <c r="AI1901" s="43"/>
      <c r="AJ1901" s="43"/>
      <c r="AK1901" s="43"/>
      <c r="AL1901" s="43"/>
      <c r="AM1901" s="43"/>
      <c r="AN1901" s="43"/>
      <c r="AO1901" s="43"/>
      <c r="AP1901" s="43"/>
      <c r="AQ1901" s="43"/>
      <c r="AR1901" s="43"/>
      <c r="AS1901" s="43"/>
      <c r="AT1901" s="43"/>
      <c r="AU1901" s="43"/>
      <c r="AV1901" s="43"/>
    </row>
    <row r="1902" ht="15.75" spans="1:48">
      <c r="A1902" s="12">
        <v>1898</v>
      </c>
      <c r="B1902" s="44">
        <v>4384</v>
      </c>
      <c r="C1902" s="45" t="s">
        <v>145</v>
      </c>
      <c r="D1902" s="46">
        <v>5</v>
      </c>
      <c r="E1902" s="47" t="s">
        <v>50</v>
      </c>
      <c r="F1902" s="48">
        <v>1.33</v>
      </c>
      <c r="G1902" s="38">
        <v>1.34</v>
      </c>
      <c r="H1902" s="39"/>
      <c r="I1902" s="39"/>
      <c r="J1902" s="39"/>
      <c r="K1902" s="39"/>
      <c r="L1902" s="39"/>
      <c r="M1902" s="39"/>
      <c r="N1902" s="39"/>
      <c r="O1902" s="39"/>
      <c r="P1902" s="39"/>
      <c r="Q1902" s="39">
        <v>1.17</v>
      </c>
      <c r="R1902" s="39"/>
      <c r="S1902" s="39"/>
      <c r="T1902" s="39">
        <v>0.17</v>
      </c>
      <c r="U1902" s="39"/>
      <c r="V1902" s="39"/>
      <c r="W1902" s="39"/>
      <c r="X1902" s="49">
        <v>5770</v>
      </c>
      <c r="Y1902" s="50">
        <v>804.65</v>
      </c>
      <c r="Z1902" s="51">
        <v>765</v>
      </c>
      <c r="AA1902" s="52">
        <f t="shared" si="47"/>
        <v>0.950723917231094</v>
      </c>
      <c r="AB1902" s="12">
        <v>752</v>
      </c>
      <c r="AC1902" s="12">
        <v>13</v>
      </c>
      <c r="AD1902" s="19">
        <v>13</v>
      </c>
      <c r="AE1902" s="43"/>
      <c r="AF1902" s="43"/>
      <c r="AG1902" s="43"/>
      <c r="AH1902" s="43"/>
      <c r="AI1902" s="43"/>
      <c r="AJ1902" s="43"/>
      <c r="AK1902" s="43"/>
      <c r="AL1902" s="43"/>
      <c r="AM1902" s="43"/>
      <c r="AN1902" s="43"/>
      <c r="AO1902" s="43"/>
      <c r="AP1902" s="43"/>
      <c r="AQ1902" s="43"/>
      <c r="AR1902" s="43"/>
      <c r="AS1902" s="43"/>
      <c r="AT1902" s="43"/>
      <c r="AU1902" s="43"/>
      <c r="AV1902" s="43"/>
    </row>
    <row r="1903" ht="15.75" spans="1:48">
      <c r="A1903" s="12">
        <v>1899</v>
      </c>
      <c r="B1903" s="44">
        <v>4384</v>
      </c>
      <c r="C1903" s="45" t="s">
        <v>145</v>
      </c>
      <c r="D1903" s="46">
        <v>18</v>
      </c>
      <c r="E1903" s="47" t="s">
        <v>50</v>
      </c>
      <c r="F1903" s="48">
        <v>5.33</v>
      </c>
      <c r="G1903" s="38">
        <v>0.83</v>
      </c>
      <c r="H1903" s="39"/>
      <c r="I1903" s="39"/>
      <c r="J1903" s="39"/>
      <c r="K1903" s="39">
        <v>0.33</v>
      </c>
      <c r="L1903" s="39"/>
      <c r="M1903" s="39"/>
      <c r="N1903" s="39"/>
      <c r="O1903" s="39"/>
      <c r="P1903" s="39"/>
      <c r="Q1903" s="39"/>
      <c r="R1903" s="39"/>
      <c r="S1903" s="39"/>
      <c r="T1903" s="39">
        <v>0.33</v>
      </c>
      <c r="U1903" s="39">
        <v>0.17</v>
      </c>
      <c r="V1903" s="39"/>
      <c r="W1903" s="39"/>
      <c r="X1903" s="49">
        <v>9968</v>
      </c>
      <c r="Y1903" s="50">
        <v>3224.65</v>
      </c>
      <c r="Z1903" s="51">
        <v>2760</v>
      </c>
      <c r="AA1903" s="52">
        <f t="shared" si="47"/>
        <v>0.855906842603073</v>
      </c>
      <c r="AB1903" s="12">
        <v>2719</v>
      </c>
      <c r="AC1903" s="12">
        <v>41</v>
      </c>
      <c r="AD1903" s="19">
        <v>41</v>
      </c>
      <c r="AE1903" s="43"/>
      <c r="AF1903" s="43"/>
      <c r="AG1903" s="43"/>
      <c r="AH1903" s="43"/>
      <c r="AI1903" s="43"/>
      <c r="AJ1903" s="43"/>
      <c r="AK1903" s="43"/>
      <c r="AL1903" s="43"/>
      <c r="AM1903" s="43"/>
      <c r="AN1903" s="43"/>
      <c r="AO1903" s="43"/>
      <c r="AP1903" s="43"/>
      <c r="AQ1903" s="43"/>
      <c r="AR1903" s="43"/>
      <c r="AS1903" s="43"/>
      <c r="AT1903" s="43"/>
      <c r="AU1903" s="43"/>
      <c r="AV1903" s="43"/>
    </row>
    <row r="1904" ht="15.75" spans="1:48">
      <c r="A1904" s="12">
        <v>1900</v>
      </c>
      <c r="B1904" s="69" t="s">
        <v>335</v>
      </c>
      <c r="C1904" s="45" t="s">
        <v>336</v>
      </c>
      <c r="D1904" s="46"/>
      <c r="E1904" s="47" t="s">
        <v>50</v>
      </c>
      <c r="F1904" s="48">
        <v>7.17</v>
      </c>
      <c r="G1904" s="38">
        <v>0.83</v>
      </c>
      <c r="H1904" s="39"/>
      <c r="I1904" s="39"/>
      <c r="J1904" s="39"/>
      <c r="K1904" s="39"/>
      <c r="L1904" s="39"/>
      <c r="M1904" s="39"/>
      <c r="N1904" s="39"/>
      <c r="O1904" s="39"/>
      <c r="P1904" s="39"/>
      <c r="Q1904" s="39">
        <v>0.83</v>
      </c>
      <c r="R1904" s="39"/>
      <c r="S1904" s="39"/>
      <c r="T1904" s="39"/>
      <c r="U1904" s="39"/>
      <c r="V1904" s="39"/>
      <c r="W1904" s="39"/>
      <c r="X1904" s="49" t="s">
        <v>105</v>
      </c>
      <c r="Y1904" s="50">
        <v>4732.2</v>
      </c>
      <c r="Z1904" s="51">
        <v>2275</v>
      </c>
      <c r="AA1904" s="52">
        <f t="shared" si="47"/>
        <v>0.480748911711255</v>
      </c>
      <c r="AB1904" s="12">
        <v>2275</v>
      </c>
      <c r="AC1904" s="12">
        <v>0</v>
      </c>
      <c r="AD1904" s="43"/>
      <c r="AE1904" s="43"/>
      <c r="AF1904" s="43"/>
      <c r="AG1904" s="43"/>
      <c r="AH1904" s="43"/>
      <c r="AI1904" s="43"/>
      <c r="AJ1904" s="43"/>
      <c r="AK1904" s="43"/>
      <c r="AL1904" s="43"/>
      <c r="AM1904" s="43"/>
      <c r="AN1904" s="43"/>
      <c r="AO1904" s="43"/>
      <c r="AP1904" s="43"/>
      <c r="AQ1904" s="43"/>
      <c r="AR1904" s="43"/>
      <c r="AS1904" s="43"/>
      <c r="AT1904" s="43"/>
      <c r="AU1904" s="43"/>
      <c r="AV1904" s="43"/>
    </row>
    <row r="1905" ht="15.75" spans="1:48">
      <c r="A1905" s="12">
        <v>1901</v>
      </c>
      <c r="B1905" s="69" t="s">
        <v>325</v>
      </c>
      <c r="C1905" s="45" t="s">
        <v>326</v>
      </c>
      <c r="D1905" s="46"/>
      <c r="E1905" s="47" t="s">
        <v>50</v>
      </c>
      <c r="F1905" s="48">
        <v>7.17</v>
      </c>
      <c r="G1905" s="38">
        <v>0.83</v>
      </c>
      <c r="H1905" s="39"/>
      <c r="I1905" s="39"/>
      <c r="J1905" s="39"/>
      <c r="K1905" s="39"/>
      <c r="L1905" s="39"/>
      <c r="M1905" s="39"/>
      <c r="N1905" s="39"/>
      <c r="O1905" s="39"/>
      <c r="P1905" s="39"/>
      <c r="Q1905" s="39">
        <v>0.83</v>
      </c>
      <c r="R1905" s="39"/>
      <c r="S1905" s="39"/>
      <c r="T1905" s="39"/>
      <c r="U1905" s="39"/>
      <c r="V1905" s="39"/>
      <c r="W1905" s="39"/>
      <c r="X1905" s="49" t="s">
        <v>105</v>
      </c>
      <c r="Y1905" s="50">
        <v>4732.2</v>
      </c>
      <c r="Z1905" s="51">
        <v>2075</v>
      </c>
      <c r="AA1905" s="52">
        <f t="shared" si="47"/>
        <v>0.438485271121254</v>
      </c>
      <c r="AB1905" s="12">
        <v>2075</v>
      </c>
      <c r="AC1905" s="12">
        <v>0</v>
      </c>
      <c r="AD1905" s="43"/>
      <c r="AE1905" s="43"/>
      <c r="AF1905" s="43"/>
      <c r="AG1905" s="43"/>
      <c r="AH1905" s="43"/>
      <c r="AI1905" s="43"/>
      <c r="AJ1905" s="43"/>
      <c r="AK1905" s="43"/>
      <c r="AL1905" s="43"/>
      <c r="AM1905" s="43"/>
      <c r="AN1905" s="43"/>
      <c r="AO1905" s="43"/>
      <c r="AP1905" s="43"/>
      <c r="AQ1905" s="43"/>
      <c r="AR1905" s="43"/>
      <c r="AS1905" s="43"/>
      <c r="AT1905" s="43"/>
      <c r="AU1905" s="43"/>
      <c r="AV1905" s="43"/>
    </row>
    <row r="1906" ht="15.75" spans="1:48">
      <c r="A1906" s="12">
        <v>1902</v>
      </c>
      <c r="B1906" s="69" t="s">
        <v>337</v>
      </c>
      <c r="C1906" s="45" t="s">
        <v>338</v>
      </c>
      <c r="D1906" s="46"/>
      <c r="E1906" s="47" t="s">
        <v>50</v>
      </c>
      <c r="F1906" s="48">
        <v>7.17</v>
      </c>
      <c r="G1906" s="38">
        <v>0.83</v>
      </c>
      <c r="H1906" s="39"/>
      <c r="I1906" s="39"/>
      <c r="J1906" s="39"/>
      <c r="K1906" s="39"/>
      <c r="L1906" s="39"/>
      <c r="M1906" s="39"/>
      <c r="N1906" s="39"/>
      <c r="O1906" s="39"/>
      <c r="P1906" s="39"/>
      <c r="Q1906" s="39">
        <v>0.83</v>
      </c>
      <c r="R1906" s="39"/>
      <c r="S1906" s="39"/>
      <c r="T1906" s="39"/>
      <c r="U1906" s="39"/>
      <c r="V1906" s="39"/>
      <c r="W1906" s="39"/>
      <c r="X1906" s="49" t="s">
        <v>103</v>
      </c>
      <c r="Y1906" s="50">
        <v>6022.8</v>
      </c>
      <c r="Z1906" s="51">
        <v>2280</v>
      </c>
      <c r="AA1906" s="52">
        <f t="shared" si="47"/>
        <v>0.378561466427575</v>
      </c>
      <c r="AB1906" s="12">
        <v>2280</v>
      </c>
      <c r="AC1906" s="12">
        <v>0</v>
      </c>
      <c r="AD1906" s="43"/>
      <c r="AE1906" s="43"/>
      <c r="AF1906" s="43"/>
      <c r="AG1906" s="43"/>
      <c r="AH1906" s="43"/>
      <c r="AI1906" s="43"/>
      <c r="AJ1906" s="43"/>
      <c r="AK1906" s="43"/>
      <c r="AL1906" s="43"/>
      <c r="AM1906" s="43"/>
      <c r="AN1906" s="43"/>
      <c r="AO1906" s="43"/>
      <c r="AP1906" s="43"/>
      <c r="AQ1906" s="43"/>
      <c r="AR1906" s="43"/>
      <c r="AS1906" s="43"/>
      <c r="AT1906" s="43"/>
      <c r="AU1906" s="43"/>
      <c r="AV1906" s="43"/>
    </row>
    <row r="1907" ht="15.75" spans="1:48">
      <c r="A1907" s="12">
        <v>1903</v>
      </c>
      <c r="B1907" s="69" t="s">
        <v>320</v>
      </c>
      <c r="C1907" s="45" t="s">
        <v>321</v>
      </c>
      <c r="D1907" s="46"/>
      <c r="E1907" s="47" t="s">
        <v>50</v>
      </c>
      <c r="F1907" s="48">
        <v>2</v>
      </c>
      <c r="G1907" s="38">
        <v>0</v>
      </c>
      <c r="H1907" s="39"/>
      <c r="I1907" s="39"/>
      <c r="J1907" s="39"/>
      <c r="K1907" s="39"/>
      <c r="L1907" s="39"/>
      <c r="M1907" s="39"/>
      <c r="N1907" s="39"/>
      <c r="O1907" s="39"/>
      <c r="P1907" s="39"/>
      <c r="Q1907" s="39"/>
      <c r="R1907" s="39"/>
      <c r="S1907" s="39"/>
      <c r="T1907" s="39"/>
      <c r="U1907" s="39"/>
      <c r="V1907" s="39"/>
      <c r="W1907" s="39"/>
      <c r="X1907" s="49" t="s">
        <v>103</v>
      </c>
      <c r="Y1907" s="50">
        <v>1680</v>
      </c>
      <c r="Z1907" s="51">
        <v>960</v>
      </c>
      <c r="AA1907" s="52">
        <f t="shared" si="47"/>
        <v>0.571428571428571</v>
      </c>
      <c r="AB1907" s="12">
        <v>960</v>
      </c>
      <c r="AC1907" s="12">
        <v>0</v>
      </c>
      <c r="AD1907" s="43"/>
      <c r="AE1907" s="43"/>
      <c r="AF1907" s="43"/>
      <c r="AG1907" s="43"/>
      <c r="AH1907" s="43"/>
      <c r="AI1907" s="43"/>
      <c r="AJ1907" s="43"/>
      <c r="AK1907" s="43"/>
      <c r="AL1907" s="43"/>
      <c r="AM1907" s="43"/>
      <c r="AN1907" s="43"/>
      <c r="AO1907" s="43"/>
      <c r="AP1907" s="43"/>
      <c r="AQ1907" s="43"/>
      <c r="AR1907" s="43"/>
      <c r="AS1907" s="43"/>
      <c r="AT1907" s="43"/>
      <c r="AU1907" s="43"/>
      <c r="AV1907" s="43"/>
    </row>
    <row r="1908" ht="15.75" spans="1:48">
      <c r="A1908" s="12">
        <v>1904</v>
      </c>
      <c r="B1908" s="44">
        <v>947</v>
      </c>
      <c r="C1908" s="45" t="s">
        <v>143</v>
      </c>
      <c r="D1908" s="46"/>
      <c r="E1908" s="47" t="s">
        <v>50</v>
      </c>
      <c r="F1908" s="48">
        <v>0.5</v>
      </c>
      <c r="G1908" s="38">
        <v>0</v>
      </c>
      <c r="H1908" s="39"/>
      <c r="I1908" s="39"/>
      <c r="J1908" s="39"/>
      <c r="K1908" s="39"/>
      <c r="L1908" s="39"/>
      <c r="M1908" s="39"/>
      <c r="N1908" s="39"/>
      <c r="O1908" s="39"/>
      <c r="P1908" s="39"/>
      <c r="Q1908" s="39"/>
      <c r="R1908" s="39"/>
      <c r="S1908" s="39"/>
      <c r="T1908" s="39"/>
      <c r="U1908" s="39"/>
      <c r="V1908" s="39"/>
      <c r="W1908" s="39"/>
      <c r="X1908" s="49" t="s">
        <v>103</v>
      </c>
      <c r="Y1908" s="50">
        <v>420</v>
      </c>
      <c r="Z1908" s="51">
        <v>360</v>
      </c>
      <c r="AA1908" s="52">
        <f t="shared" si="47"/>
        <v>0.857142857142857</v>
      </c>
      <c r="AB1908" s="12">
        <v>360</v>
      </c>
      <c r="AC1908" s="12">
        <v>0</v>
      </c>
      <c r="AD1908" s="43"/>
      <c r="AE1908" s="43"/>
      <c r="AF1908" s="43"/>
      <c r="AG1908" s="43"/>
      <c r="AH1908" s="43"/>
      <c r="AI1908" s="43"/>
      <c r="AJ1908" s="43"/>
      <c r="AK1908" s="43"/>
      <c r="AL1908" s="43"/>
      <c r="AM1908" s="43"/>
      <c r="AN1908" s="43"/>
      <c r="AO1908" s="43"/>
      <c r="AP1908" s="43"/>
      <c r="AQ1908" s="43"/>
      <c r="AR1908" s="43"/>
      <c r="AS1908" s="43"/>
      <c r="AT1908" s="43"/>
      <c r="AU1908" s="43"/>
      <c r="AV1908" s="43"/>
    </row>
    <row r="1909" ht="15.75" spans="1:48">
      <c r="A1909" s="12">
        <v>1905</v>
      </c>
      <c r="B1909" s="44">
        <v>4110</v>
      </c>
      <c r="C1909" s="45" t="s">
        <v>135</v>
      </c>
      <c r="D1909" s="46"/>
      <c r="E1909" s="47" t="s">
        <v>50</v>
      </c>
      <c r="F1909" s="48">
        <v>2</v>
      </c>
      <c r="G1909" s="38">
        <v>0</v>
      </c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  <c r="S1909" s="39"/>
      <c r="T1909" s="39"/>
      <c r="U1909" s="39"/>
      <c r="V1909" s="39"/>
      <c r="W1909" s="39"/>
      <c r="X1909" s="49" t="s">
        <v>105</v>
      </c>
      <c r="Y1909" s="50">
        <v>1320</v>
      </c>
      <c r="Z1909" s="51">
        <v>1320</v>
      </c>
      <c r="AA1909" s="52">
        <f t="shared" si="47"/>
        <v>1</v>
      </c>
      <c r="AB1909" s="12">
        <v>1320</v>
      </c>
      <c r="AC1909" s="12">
        <v>0</v>
      </c>
      <c r="AD1909" s="43"/>
      <c r="AE1909" s="43"/>
      <c r="AF1909" s="43"/>
      <c r="AG1909" s="43"/>
      <c r="AH1909" s="43"/>
      <c r="AI1909" s="43"/>
      <c r="AJ1909" s="43"/>
      <c r="AK1909" s="43"/>
      <c r="AL1909" s="43"/>
      <c r="AM1909" s="43"/>
      <c r="AN1909" s="43"/>
      <c r="AO1909" s="43"/>
      <c r="AP1909" s="43"/>
      <c r="AQ1909" s="43"/>
      <c r="AR1909" s="43"/>
      <c r="AS1909" s="43"/>
      <c r="AT1909" s="43"/>
      <c r="AU1909" s="43"/>
      <c r="AV1909" s="43"/>
    </row>
    <row r="1910" ht="15.75" spans="1:48">
      <c r="A1910" s="12">
        <v>1906</v>
      </c>
      <c r="B1910" s="44">
        <v>1448</v>
      </c>
      <c r="C1910" s="45" t="s">
        <v>296</v>
      </c>
      <c r="D1910" s="46"/>
      <c r="E1910" s="47" t="s">
        <v>50</v>
      </c>
      <c r="F1910" s="48">
        <v>8</v>
      </c>
      <c r="G1910" s="38">
        <v>4</v>
      </c>
      <c r="H1910" s="39"/>
      <c r="I1910" s="39"/>
      <c r="J1910" s="39"/>
      <c r="K1910" s="39"/>
      <c r="L1910" s="39"/>
      <c r="M1910" s="39"/>
      <c r="N1910" s="39"/>
      <c r="O1910" s="39"/>
      <c r="P1910" s="39"/>
      <c r="Q1910" s="39">
        <v>1.17</v>
      </c>
      <c r="R1910" s="39"/>
      <c r="S1910" s="39"/>
      <c r="T1910" s="39"/>
      <c r="U1910" s="39"/>
      <c r="V1910" s="39">
        <v>2.83</v>
      </c>
      <c r="W1910" s="39"/>
      <c r="X1910" s="49" t="s">
        <v>103</v>
      </c>
      <c r="Y1910" s="50">
        <v>6720</v>
      </c>
      <c r="Z1910" s="51">
        <v>6361</v>
      </c>
      <c r="AA1910" s="52">
        <f t="shared" ref="AA1910:AA1941" si="48">IFERROR(Z1910/Y1910,0)</f>
        <v>0.946577380952381</v>
      </c>
      <c r="AB1910" s="12">
        <v>6361</v>
      </c>
      <c r="AC1910" s="12">
        <v>0</v>
      </c>
      <c r="AD1910" s="43"/>
      <c r="AE1910" s="43"/>
      <c r="AF1910" s="43"/>
      <c r="AG1910" s="43"/>
      <c r="AH1910" s="43"/>
      <c r="AI1910" s="43"/>
      <c r="AJ1910" s="43"/>
      <c r="AK1910" s="43"/>
      <c r="AL1910" s="43"/>
      <c r="AM1910" s="43"/>
      <c r="AN1910" s="43"/>
      <c r="AO1910" s="43"/>
      <c r="AP1910" s="43"/>
      <c r="AQ1910" s="43"/>
      <c r="AR1910" s="43"/>
      <c r="AS1910" s="43"/>
      <c r="AT1910" s="43"/>
      <c r="AU1910" s="43"/>
      <c r="AV1910" s="43"/>
    </row>
    <row r="1911" ht="15.75" spans="1:48">
      <c r="A1911" s="12">
        <v>1907</v>
      </c>
      <c r="B1911" s="44">
        <v>692</v>
      </c>
      <c r="C1911" s="45" t="s">
        <v>142</v>
      </c>
      <c r="D1911" s="46"/>
      <c r="E1911" s="47" t="s">
        <v>50</v>
      </c>
      <c r="F1911" s="48">
        <v>5.1</v>
      </c>
      <c r="G1911" s="38">
        <v>2.01</v>
      </c>
      <c r="H1911" s="39"/>
      <c r="I1911" s="39"/>
      <c r="J1911" s="39"/>
      <c r="K1911" s="39"/>
      <c r="L1911" s="39"/>
      <c r="M1911" s="39"/>
      <c r="N1911" s="39"/>
      <c r="O1911" s="39"/>
      <c r="P1911" s="39"/>
      <c r="Q1911" s="39">
        <v>1.17</v>
      </c>
      <c r="R1911" s="39"/>
      <c r="S1911" s="39">
        <v>0.67</v>
      </c>
      <c r="T1911" s="39"/>
      <c r="U1911" s="39">
        <v>0.17</v>
      </c>
      <c r="V1911" s="39"/>
      <c r="W1911" s="39"/>
      <c r="X1911" s="49" t="s">
        <v>101</v>
      </c>
      <c r="Y1911" s="50">
        <v>9792</v>
      </c>
      <c r="Z1911" s="51">
        <v>7740</v>
      </c>
      <c r="AA1911" s="52">
        <f t="shared" si="48"/>
        <v>0.790441176470588</v>
      </c>
      <c r="AB1911" s="12">
        <v>7740</v>
      </c>
      <c r="AC1911" s="12">
        <v>0</v>
      </c>
      <c r="AD1911" s="43"/>
      <c r="AE1911" s="43"/>
      <c r="AF1911" s="43"/>
      <c r="AG1911" s="43"/>
      <c r="AH1911" s="43"/>
      <c r="AI1911" s="43"/>
      <c r="AJ1911" s="43"/>
      <c r="AK1911" s="43"/>
      <c r="AL1911" s="43"/>
      <c r="AM1911" s="43"/>
      <c r="AN1911" s="43"/>
      <c r="AO1911" s="43"/>
      <c r="AP1911" s="43"/>
      <c r="AQ1911" s="43"/>
      <c r="AR1911" s="43"/>
      <c r="AS1911" s="43"/>
      <c r="AT1911" s="43"/>
      <c r="AU1911" s="43"/>
      <c r="AV1911" s="43"/>
    </row>
    <row r="1912" ht="15.75" spans="1:48">
      <c r="A1912" s="12">
        <v>1908</v>
      </c>
      <c r="B1912" s="44">
        <v>692</v>
      </c>
      <c r="C1912" s="45" t="s">
        <v>142</v>
      </c>
      <c r="D1912" s="46"/>
      <c r="E1912" s="47" t="s">
        <v>50</v>
      </c>
      <c r="F1912" s="48">
        <v>4.5</v>
      </c>
      <c r="G1912" s="38">
        <v>0</v>
      </c>
      <c r="H1912" s="39"/>
      <c r="I1912" s="39"/>
      <c r="J1912" s="39"/>
      <c r="K1912" s="39"/>
      <c r="L1912" s="39"/>
      <c r="M1912" s="39"/>
      <c r="N1912" s="39"/>
      <c r="O1912" s="39"/>
      <c r="P1912" s="39"/>
      <c r="Q1912" s="39"/>
      <c r="R1912" s="39"/>
      <c r="S1912" s="39"/>
      <c r="T1912" s="39"/>
      <c r="U1912" s="39"/>
      <c r="V1912" s="39"/>
      <c r="W1912" s="39"/>
      <c r="X1912" s="49" t="s">
        <v>102</v>
      </c>
      <c r="Y1912" s="50">
        <v>20250</v>
      </c>
      <c r="Z1912" s="51">
        <v>16500</v>
      </c>
      <c r="AA1912" s="52">
        <f t="shared" si="48"/>
        <v>0.814814814814815</v>
      </c>
      <c r="AB1912" s="12">
        <v>16500</v>
      </c>
      <c r="AC1912" s="12">
        <v>0</v>
      </c>
      <c r="AD1912" s="43"/>
      <c r="AE1912" s="43"/>
      <c r="AF1912" s="43"/>
      <c r="AG1912" s="43"/>
      <c r="AH1912" s="43"/>
      <c r="AI1912" s="43"/>
      <c r="AJ1912" s="43"/>
      <c r="AK1912" s="43"/>
      <c r="AL1912" s="43"/>
      <c r="AM1912" s="43"/>
      <c r="AN1912" s="43"/>
      <c r="AO1912" s="43"/>
      <c r="AP1912" s="43"/>
      <c r="AQ1912" s="43"/>
      <c r="AR1912" s="43"/>
      <c r="AS1912" s="43"/>
      <c r="AT1912" s="43"/>
      <c r="AU1912" s="43"/>
      <c r="AV1912" s="43"/>
    </row>
    <row r="1913" ht="15.75" spans="1:48">
      <c r="A1913" s="12">
        <v>1909</v>
      </c>
      <c r="B1913" s="44">
        <v>692</v>
      </c>
      <c r="C1913" s="45" t="s">
        <v>142</v>
      </c>
      <c r="D1913" s="46"/>
      <c r="E1913" s="47" t="s">
        <v>50</v>
      </c>
      <c r="F1913" s="48">
        <v>0.4</v>
      </c>
      <c r="G1913" s="38">
        <v>0</v>
      </c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  <c r="S1913" s="39"/>
      <c r="T1913" s="39"/>
      <c r="U1913" s="39"/>
      <c r="V1913" s="39"/>
      <c r="W1913" s="39"/>
      <c r="X1913" s="49" t="s">
        <v>152</v>
      </c>
      <c r="Y1913" s="50">
        <v>1740</v>
      </c>
      <c r="Z1913" s="51">
        <v>1400</v>
      </c>
      <c r="AA1913" s="52">
        <f t="shared" si="48"/>
        <v>0.804597701149425</v>
      </c>
      <c r="AB1913" s="12">
        <v>1400</v>
      </c>
      <c r="AC1913" s="12">
        <v>0</v>
      </c>
      <c r="AD1913" s="43"/>
      <c r="AE1913" s="43"/>
      <c r="AF1913" s="43"/>
      <c r="AG1913" s="43"/>
      <c r="AH1913" s="43"/>
      <c r="AI1913" s="43"/>
      <c r="AJ1913" s="43"/>
      <c r="AK1913" s="43"/>
      <c r="AL1913" s="43"/>
      <c r="AM1913" s="43"/>
      <c r="AN1913" s="43"/>
      <c r="AO1913" s="43"/>
      <c r="AP1913" s="43"/>
      <c r="AQ1913" s="43"/>
      <c r="AR1913" s="43"/>
      <c r="AS1913" s="43"/>
      <c r="AT1913" s="43"/>
      <c r="AU1913" s="43"/>
      <c r="AV1913" s="43"/>
    </row>
    <row r="1914" ht="15.75" spans="1:48">
      <c r="A1914" s="12">
        <v>1910</v>
      </c>
      <c r="B1914" s="44">
        <v>2865</v>
      </c>
      <c r="C1914" s="45" t="s">
        <v>149</v>
      </c>
      <c r="D1914" s="46"/>
      <c r="E1914" s="47" t="s">
        <v>50</v>
      </c>
      <c r="F1914" s="48">
        <v>0.67</v>
      </c>
      <c r="G1914" s="38">
        <v>0</v>
      </c>
      <c r="H1914" s="39"/>
      <c r="I1914" s="39"/>
      <c r="J1914" s="39"/>
      <c r="K1914" s="39"/>
      <c r="L1914" s="39"/>
      <c r="M1914" s="39"/>
      <c r="N1914" s="39"/>
      <c r="O1914" s="39"/>
      <c r="P1914" s="39"/>
      <c r="Q1914" s="39"/>
      <c r="R1914" s="39"/>
      <c r="S1914" s="39"/>
      <c r="T1914" s="39"/>
      <c r="U1914" s="39"/>
      <c r="V1914" s="39"/>
      <c r="W1914" s="39"/>
      <c r="X1914" s="49" t="s">
        <v>103</v>
      </c>
      <c r="Y1914" s="50">
        <v>562.8</v>
      </c>
      <c r="Z1914" s="51">
        <v>600</v>
      </c>
      <c r="AA1914" s="52">
        <f t="shared" si="48"/>
        <v>1.06609808102345</v>
      </c>
      <c r="AB1914" s="12">
        <v>600</v>
      </c>
      <c r="AC1914" s="12">
        <v>0</v>
      </c>
      <c r="AD1914" s="43"/>
      <c r="AE1914" s="43"/>
      <c r="AF1914" s="43"/>
      <c r="AG1914" s="43"/>
      <c r="AH1914" s="43"/>
      <c r="AI1914" s="43"/>
      <c r="AJ1914" s="43"/>
      <c r="AK1914" s="43"/>
      <c r="AL1914" s="43"/>
      <c r="AM1914" s="43"/>
      <c r="AN1914" s="43"/>
      <c r="AO1914" s="43"/>
      <c r="AP1914" s="43"/>
      <c r="AQ1914" s="43"/>
      <c r="AR1914" s="43"/>
      <c r="AS1914" s="43"/>
      <c r="AT1914" s="43"/>
      <c r="AU1914" s="43"/>
      <c r="AV1914" s="43"/>
    </row>
    <row r="1915" ht="15.75" spans="1:48">
      <c r="A1915" s="12">
        <v>1911</v>
      </c>
      <c r="B1915" s="44">
        <v>1733</v>
      </c>
      <c r="C1915" s="45" t="s">
        <v>153</v>
      </c>
      <c r="D1915" s="46"/>
      <c r="E1915" s="47" t="s">
        <v>50</v>
      </c>
      <c r="F1915" s="48">
        <v>10.83</v>
      </c>
      <c r="G1915" s="38">
        <v>1.17</v>
      </c>
      <c r="H1915" s="39"/>
      <c r="I1915" s="39"/>
      <c r="J1915" s="39"/>
      <c r="K1915" s="39"/>
      <c r="L1915" s="39"/>
      <c r="M1915" s="39"/>
      <c r="N1915" s="39"/>
      <c r="O1915" s="39"/>
      <c r="P1915" s="39"/>
      <c r="Q1915" s="39">
        <v>1.17</v>
      </c>
      <c r="R1915" s="39"/>
      <c r="S1915" s="39"/>
      <c r="T1915" s="39"/>
      <c r="U1915" s="39"/>
      <c r="V1915" s="39"/>
      <c r="W1915" s="39"/>
      <c r="X1915" s="49" t="s">
        <v>103</v>
      </c>
      <c r="Y1915" s="50">
        <v>9097.2</v>
      </c>
      <c r="Z1915" s="51">
        <v>7320</v>
      </c>
      <c r="AA1915" s="52">
        <f t="shared" si="48"/>
        <v>0.804643186914655</v>
      </c>
      <c r="AB1915" s="12">
        <v>7320</v>
      </c>
      <c r="AC1915" s="12">
        <v>0</v>
      </c>
      <c r="AD1915" s="43"/>
      <c r="AE1915" s="43"/>
      <c r="AF1915" s="43"/>
      <c r="AG1915" s="43"/>
      <c r="AH1915" s="43"/>
      <c r="AI1915" s="43"/>
      <c r="AJ1915" s="43"/>
      <c r="AK1915" s="43"/>
      <c r="AL1915" s="43"/>
      <c r="AM1915" s="43"/>
      <c r="AN1915" s="43"/>
      <c r="AO1915" s="43"/>
      <c r="AP1915" s="43"/>
      <c r="AQ1915" s="43"/>
      <c r="AR1915" s="43"/>
      <c r="AS1915" s="43"/>
      <c r="AT1915" s="43"/>
      <c r="AU1915" s="43"/>
      <c r="AV1915" s="43"/>
    </row>
    <row r="1916" ht="15.75" spans="1:48">
      <c r="A1916" s="12">
        <v>1912</v>
      </c>
      <c r="B1916" s="44">
        <v>551</v>
      </c>
      <c r="C1916" s="45" t="s">
        <v>146</v>
      </c>
      <c r="D1916" s="46"/>
      <c r="E1916" s="47" t="s">
        <v>50</v>
      </c>
      <c r="F1916" s="48">
        <v>1.17</v>
      </c>
      <c r="G1916" s="38">
        <v>0</v>
      </c>
      <c r="H1916" s="39"/>
      <c r="I1916" s="39"/>
      <c r="J1916" s="39"/>
      <c r="K1916" s="39"/>
      <c r="L1916" s="39"/>
      <c r="M1916" s="39"/>
      <c r="N1916" s="39"/>
      <c r="O1916" s="39"/>
      <c r="P1916" s="39"/>
      <c r="Q1916" s="39"/>
      <c r="R1916" s="39"/>
      <c r="S1916" s="39"/>
      <c r="T1916" s="39"/>
      <c r="U1916" s="39"/>
      <c r="V1916" s="39"/>
      <c r="W1916" s="39"/>
      <c r="X1916" s="49" t="s">
        <v>103</v>
      </c>
      <c r="Y1916" s="50">
        <v>982.8</v>
      </c>
      <c r="Z1916" s="51">
        <v>840</v>
      </c>
      <c r="AA1916" s="52">
        <f t="shared" si="48"/>
        <v>0.854700854700855</v>
      </c>
      <c r="AB1916" s="12">
        <v>840</v>
      </c>
      <c r="AC1916" s="12">
        <v>0</v>
      </c>
      <c r="AD1916" s="43"/>
      <c r="AE1916" s="43"/>
      <c r="AF1916" s="43"/>
      <c r="AG1916" s="43"/>
      <c r="AH1916" s="43"/>
      <c r="AI1916" s="43"/>
      <c r="AJ1916" s="43"/>
      <c r="AK1916" s="43"/>
      <c r="AL1916" s="43"/>
      <c r="AM1916" s="43"/>
      <c r="AN1916" s="43"/>
      <c r="AO1916" s="43"/>
      <c r="AP1916" s="43"/>
      <c r="AQ1916" s="43"/>
      <c r="AR1916" s="43"/>
      <c r="AS1916" s="43"/>
      <c r="AT1916" s="43"/>
      <c r="AU1916" s="43"/>
      <c r="AV1916" s="43"/>
    </row>
    <row r="1917" ht="15.75" spans="1:48">
      <c r="A1917" s="12">
        <v>1913</v>
      </c>
      <c r="B1917" s="44">
        <v>4017</v>
      </c>
      <c r="C1917" s="45" t="s">
        <v>148</v>
      </c>
      <c r="D1917" s="46"/>
      <c r="E1917" s="47" t="s">
        <v>50</v>
      </c>
      <c r="F1917" s="48">
        <v>1.17</v>
      </c>
      <c r="G1917" s="38">
        <v>0</v>
      </c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  <c r="S1917" s="39"/>
      <c r="T1917" s="39"/>
      <c r="U1917" s="39"/>
      <c r="V1917" s="39"/>
      <c r="W1917" s="39"/>
      <c r="X1917" s="49" t="s">
        <v>103</v>
      </c>
      <c r="Y1917" s="50">
        <v>982.8</v>
      </c>
      <c r="Z1917" s="51">
        <v>919</v>
      </c>
      <c r="AA1917" s="52">
        <f t="shared" si="48"/>
        <v>0.935083435083435</v>
      </c>
      <c r="AB1917" s="12">
        <v>919</v>
      </c>
      <c r="AC1917" s="12">
        <v>0</v>
      </c>
      <c r="AD1917" s="43"/>
      <c r="AE1917" s="43"/>
      <c r="AF1917" s="43"/>
      <c r="AG1917" s="43"/>
      <c r="AH1917" s="43"/>
      <c r="AI1917" s="43"/>
      <c r="AJ1917" s="43"/>
      <c r="AK1917" s="43"/>
      <c r="AL1917" s="43"/>
      <c r="AM1917" s="43"/>
      <c r="AN1917" s="43"/>
      <c r="AO1917" s="43"/>
      <c r="AP1917" s="43"/>
      <c r="AQ1917" s="43"/>
      <c r="AR1917" s="43"/>
      <c r="AS1917" s="43"/>
      <c r="AT1917" s="43"/>
      <c r="AU1917" s="43"/>
      <c r="AV1917" s="43"/>
    </row>
    <row r="1918" ht="15.75" spans="1:48">
      <c r="A1918" s="12">
        <v>1914</v>
      </c>
      <c r="B1918" s="44">
        <v>4412</v>
      </c>
      <c r="C1918" s="45" t="s">
        <v>177</v>
      </c>
      <c r="D1918" s="46"/>
      <c r="E1918" s="47" t="s">
        <v>50</v>
      </c>
      <c r="F1918" s="48">
        <v>4.17</v>
      </c>
      <c r="G1918" s="38">
        <v>0.33</v>
      </c>
      <c r="H1918" s="39"/>
      <c r="I1918" s="39"/>
      <c r="J1918" s="39"/>
      <c r="K1918" s="39"/>
      <c r="L1918" s="39"/>
      <c r="M1918" s="39"/>
      <c r="N1918" s="39"/>
      <c r="O1918" s="39"/>
      <c r="P1918" s="39"/>
      <c r="Q1918" s="39">
        <v>0.33</v>
      </c>
      <c r="R1918" s="39"/>
      <c r="S1918" s="39"/>
      <c r="T1918" s="39"/>
      <c r="U1918" s="39"/>
      <c r="V1918" s="39"/>
      <c r="W1918" s="39"/>
      <c r="X1918" s="49" t="s">
        <v>406</v>
      </c>
      <c r="Y1918" s="50">
        <v>834</v>
      </c>
      <c r="Z1918" s="51">
        <v>870</v>
      </c>
      <c r="AA1918" s="52">
        <f t="shared" si="48"/>
        <v>1.0431654676259</v>
      </c>
      <c r="AB1918" s="12">
        <v>870</v>
      </c>
      <c r="AC1918" s="12">
        <v>0</v>
      </c>
      <c r="AD1918" s="43"/>
      <c r="AE1918" s="43"/>
      <c r="AF1918" s="43"/>
      <c r="AG1918" s="43"/>
      <c r="AH1918" s="43"/>
      <c r="AI1918" s="43"/>
      <c r="AJ1918" s="43"/>
      <c r="AK1918" s="43"/>
      <c r="AL1918" s="43"/>
      <c r="AM1918" s="43"/>
      <c r="AN1918" s="43"/>
      <c r="AO1918" s="43"/>
      <c r="AP1918" s="43"/>
      <c r="AQ1918" s="43"/>
      <c r="AR1918" s="43"/>
      <c r="AS1918" s="43"/>
      <c r="AT1918" s="43"/>
      <c r="AU1918" s="43"/>
      <c r="AV1918" s="43"/>
    </row>
    <row r="1919" ht="15.75" spans="1:48">
      <c r="A1919" s="12">
        <v>1915</v>
      </c>
      <c r="B1919" s="44">
        <v>3187</v>
      </c>
      <c r="C1919" s="45" t="s">
        <v>52</v>
      </c>
      <c r="D1919" s="46" t="s">
        <v>202</v>
      </c>
      <c r="E1919" s="47" t="s">
        <v>50</v>
      </c>
      <c r="F1919" s="48">
        <v>10.33</v>
      </c>
      <c r="G1919" s="38">
        <v>1.67</v>
      </c>
      <c r="H1919" s="39"/>
      <c r="I1919" s="39"/>
      <c r="J1919" s="39"/>
      <c r="K1919" s="39"/>
      <c r="L1919" s="39"/>
      <c r="M1919" s="39"/>
      <c r="N1919" s="39"/>
      <c r="O1919" s="39"/>
      <c r="P1919" s="39"/>
      <c r="Q1919" s="39">
        <v>1.17</v>
      </c>
      <c r="R1919" s="39"/>
      <c r="S1919" s="39"/>
      <c r="T1919" s="39"/>
      <c r="U1919" s="39">
        <v>0.5</v>
      </c>
      <c r="V1919" s="39"/>
      <c r="W1919" s="39"/>
      <c r="X1919" s="49" t="s">
        <v>51</v>
      </c>
      <c r="Y1919" s="50">
        <v>32074.65</v>
      </c>
      <c r="Z1919" s="51">
        <v>32700</v>
      </c>
      <c r="AA1919" s="52">
        <f t="shared" si="48"/>
        <v>1.01949670534207</v>
      </c>
      <c r="AB1919" s="12">
        <v>32700</v>
      </c>
      <c r="AC1919" s="12">
        <v>0</v>
      </c>
      <c r="AD1919" s="43"/>
      <c r="AE1919" s="43"/>
      <c r="AF1919" s="43"/>
      <c r="AG1919" s="43"/>
      <c r="AH1919" s="43"/>
      <c r="AI1919" s="43"/>
      <c r="AJ1919" s="43"/>
      <c r="AK1919" s="43"/>
      <c r="AL1919" s="43"/>
      <c r="AM1919" s="43"/>
      <c r="AN1919" s="43"/>
      <c r="AO1919" s="43"/>
      <c r="AP1919" s="43"/>
      <c r="AQ1919" s="43"/>
      <c r="AR1919" s="43"/>
      <c r="AS1919" s="43"/>
      <c r="AT1919" s="43"/>
      <c r="AU1919" s="43"/>
      <c r="AV1919" s="43"/>
    </row>
    <row r="1920" ht="15.75" spans="1:48">
      <c r="A1920" s="12">
        <v>1916</v>
      </c>
      <c r="B1920" s="44" t="s">
        <v>407</v>
      </c>
      <c r="C1920" s="45" t="e">
        <v>#N/A</v>
      </c>
      <c r="D1920" s="46" t="s">
        <v>49</v>
      </c>
      <c r="E1920" s="47" t="s">
        <v>50</v>
      </c>
      <c r="F1920" s="48">
        <v>7</v>
      </c>
      <c r="G1920" s="38">
        <v>1</v>
      </c>
      <c r="H1920" s="39"/>
      <c r="I1920" s="39"/>
      <c r="J1920" s="39"/>
      <c r="K1920" s="39"/>
      <c r="L1920" s="39"/>
      <c r="M1920" s="39"/>
      <c r="N1920" s="39"/>
      <c r="O1920" s="39"/>
      <c r="P1920" s="39"/>
      <c r="Q1920" s="39">
        <v>0.83</v>
      </c>
      <c r="R1920" s="39"/>
      <c r="S1920" s="39"/>
      <c r="T1920" s="39"/>
      <c r="U1920" s="39">
        <v>0.17</v>
      </c>
      <c r="V1920" s="39"/>
      <c r="W1920" s="39"/>
      <c r="X1920" s="49" t="s">
        <v>395</v>
      </c>
      <c r="Y1920" s="50">
        <v>28616</v>
      </c>
      <c r="Z1920" s="51">
        <v>20080</v>
      </c>
      <c r="AA1920" s="52">
        <f t="shared" si="48"/>
        <v>0.701705339670115</v>
      </c>
      <c r="AB1920" s="12">
        <v>20080</v>
      </c>
      <c r="AC1920" s="12">
        <v>0</v>
      </c>
      <c r="AD1920" s="43"/>
      <c r="AE1920" s="43"/>
      <c r="AF1920" s="43"/>
      <c r="AG1920" s="43"/>
      <c r="AH1920" s="43"/>
      <c r="AI1920" s="43"/>
      <c r="AJ1920" s="43"/>
      <c r="AK1920" s="43"/>
      <c r="AL1920" s="43"/>
      <c r="AM1920" s="43"/>
      <c r="AN1920" s="43"/>
      <c r="AO1920" s="43"/>
      <c r="AP1920" s="43"/>
      <c r="AQ1920" s="43"/>
      <c r="AR1920" s="43"/>
      <c r="AS1920" s="43"/>
      <c r="AT1920" s="43"/>
      <c r="AU1920" s="43"/>
      <c r="AV1920" s="43"/>
    </row>
    <row r="1921" ht="15.75" spans="1:48">
      <c r="A1921" s="12">
        <v>1917</v>
      </c>
      <c r="B1921" s="44">
        <v>3111</v>
      </c>
      <c r="C1921" s="45" t="s">
        <v>124</v>
      </c>
      <c r="D1921" s="46" t="s">
        <v>53</v>
      </c>
      <c r="E1921" s="47" t="s">
        <v>50</v>
      </c>
      <c r="F1921" s="48">
        <v>9.17</v>
      </c>
      <c r="G1921" s="38">
        <v>1.51</v>
      </c>
      <c r="H1921" s="39"/>
      <c r="I1921" s="39"/>
      <c r="J1921" s="39"/>
      <c r="K1921" s="39">
        <v>0.17</v>
      </c>
      <c r="L1921" s="39"/>
      <c r="M1921" s="39"/>
      <c r="N1921" s="39"/>
      <c r="O1921" s="39"/>
      <c r="P1921" s="39"/>
      <c r="Q1921" s="39">
        <v>1.17</v>
      </c>
      <c r="R1921" s="39"/>
      <c r="S1921" s="39"/>
      <c r="T1921" s="39"/>
      <c r="U1921" s="39">
        <v>0.17</v>
      </c>
      <c r="V1921" s="39"/>
      <c r="W1921" s="39"/>
      <c r="X1921" s="49" t="s">
        <v>55</v>
      </c>
      <c r="Y1921" s="50">
        <v>22145.55</v>
      </c>
      <c r="Z1921" s="51">
        <v>22620</v>
      </c>
      <c r="AA1921" s="52">
        <f t="shared" si="48"/>
        <v>1.02142416873819</v>
      </c>
      <c r="AB1921" s="12">
        <v>22620</v>
      </c>
      <c r="AC1921" s="12">
        <v>0</v>
      </c>
      <c r="AD1921" s="43"/>
      <c r="AE1921" s="43"/>
      <c r="AF1921" s="43"/>
      <c r="AG1921" s="43"/>
      <c r="AH1921" s="43"/>
      <c r="AI1921" s="43"/>
      <c r="AJ1921" s="43"/>
      <c r="AK1921" s="43"/>
      <c r="AL1921" s="43"/>
      <c r="AM1921" s="43"/>
      <c r="AN1921" s="43"/>
      <c r="AO1921" s="43"/>
      <c r="AP1921" s="43"/>
      <c r="AQ1921" s="43"/>
      <c r="AR1921" s="43"/>
      <c r="AS1921" s="43"/>
      <c r="AT1921" s="43"/>
      <c r="AU1921" s="43"/>
      <c r="AV1921" s="43"/>
    </row>
    <row r="1922" ht="15.75" spans="1:48">
      <c r="A1922" s="12">
        <v>1918</v>
      </c>
      <c r="B1922" s="71" t="s">
        <v>299</v>
      </c>
      <c r="C1922" s="45" t="s">
        <v>300</v>
      </c>
      <c r="D1922" s="46" t="s">
        <v>49</v>
      </c>
      <c r="E1922" s="47" t="s">
        <v>50</v>
      </c>
      <c r="F1922" s="48">
        <v>6.5</v>
      </c>
      <c r="G1922" s="38">
        <v>1.5</v>
      </c>
      <c r="H1922" s="39"/>
      <c r="I1922" s="39"/>
      <c r="J1922" s="39"/>
      <c r="K1922" s="39"/>
      <c r="L1922" s="39"/>
      <c r="M1922" s="39"/>
      <c r="N1922" s="39"/>
      <c r="O1922" s="39"/>
      <c r="P1922" s="39"/>
      <c r="Q1922" s="39">
        <v>0.83</v>
      </c>
      <c r="R1922" s="39"/>
      <c r="S1922" s="39"/>
      <c r="T1922" s="39"/>
      <c r="U1922" s="39">
        <v>0.17</v>
      </c>
      <c r="V1922" s="39">
        <v>0.5</v>
      </c>
      <c r="W1922" s="39"/>
      <c r="X1922" s="49" t="s">
        <v>194</v>
      </c>
      <c r="Y1922" s="50">
        <v>2177.5</v>
      </c>
      <c r="Z1922" s="51">
        <v>1740</v>
      </c>
      <c r="AA1922" s="52">
        <f t="shared" si="48"/>
        <v>0.799081515499426</v>
      </c>
      <c r="AB1922" s="12">
        <v>1740</v>
      </c>
      <c r="AC1922" s="12">
        <v>0</v>
      </c>
      <c r="AD1922" s="43"/>
      <c r="AE1922" s="43"/>
      <c r="AF1922" s="43"/>
      <c r="AG1922" s="43"/>
      <c r="AH1922" s="43"/>
      <c r="AI1922" s="43"/>
      <c r="AJ1922" s="43"/>
      <c r="AK1922" s="43"/>
      <c r="AL1922" s="43"/>
      <c r="AM1922" s="43"/>
      <c r="AN1922" s="43"/>
      <c r="AO1922" s="43"/>
      <c r="AP1922" s="43"/>
      <c r="AQ1922" s="43"/>
      <c r="AR1922" s="43"/>
      <c r="AS1922" s="43"/>
      <c r="AT1922" s="43"/>
      <c r="AU1922" s="43"/>
      <c r="AV1922" s="43"/>
    </row>
    <row r="1923" ht="15.75" spans="1:48">
      <c r="A1923" s="12">
        <v>1919</v>
      </c>
      <c r="B1923" s="44">
        <v>3111</v>
      </c>
      <c r="C1923" s="45" t="s">
        <v>124</v>
      </c>
      <c r="D1923" s="46" t="s">
        <v>49</v>
      </c>
      <c r="E1923" s="47" t="s">
        <v>50</v>
      </c>
      <c r="F1923" s="48">
        <v>0.83</v>
      </c>
      <c r="G1923" s="38">
        <v>0.5</v>
      </c>
      <c r="H1923" s="39"/>
      <c r="I1923" s="39"/>
      <c r="J1923" s="39"/>
      <c r="K1923" s="39"/>
      <c r="L1923" s="39"/>
      <c r="M1923" s="39"/>
      <c r="N1923" s="39"/>
      <c r="O1923" s="39"/>
      <c r="P1923" s="39"/>
      <c r="Q1923" s="39"/>
      <c r="R1923" s="39"/>
      <c r="S1923" s="39"/>
      <c r="T1923" s="39"/>
      <c r="U1923" s="39">
        <v>0.17</v>
      </c>
      <c r="V1923" s="39">
        <v>0.33</v>
      </c>
      <c r="W1923" s="39"/>
      <c r="X1923" s="49" t="s">
        <v>395</v>
      </c>
      <c r="Y1923" s="50">
        <v>3393.04</v>
      </c>
      <c r="Z1923" s="51">
        <v>3440</v>
      </c>
      <c r="AA1923" s="52">
        <f t="shared" si="48"/>
        <v>1.01384009619692</v>
      </c>
      <c r="AB1923" s="12">
        <v>3440</v>
      </c>
      <c r="AC1923" s="12">
        <v>0</v>
      </c>
      <c r="AD1923" s="43"/>
      <c r="AE1923" s="43"/>
      <c r="AF1923" s="43"/>
      <c r="AG1923" s="43"/>
      <c r="AH1923" s="43"/>
      <c r="AI1923" s="43"/>
      <c r="AJ1923" s="43"/>
      <c r="AK1923" s="43"/>
      <c r="AL1923" s="43"/>
      <c r="AM1923" s="43"/>
      <c r="AN1923" s="43"/>
      <c r="AO1923" s="43"/>
      <c r="AP1923" s="43"/>
      <c r="AQ1923" s="43"/>
      <c r="AR1923" s="43"/>
      <c r="AS1923" s="43"/>
      <c r="AT1923" s="43"/>
      <c r="AU1923" s="43"/>
      <c r="AV1923" s="43"/>
    </row>
    <row r="1924" ht="15.75" spans="1:48">
      <c r="A1924" s="12">
        <v>1920</v>
      </c>
      <c r="B1924" s="44" t="s">
        <v>408</v>
      </c>
      <c r="C1924" s="45" t="s">
        <v>303</v>
      </c>
      <c r="D1924" s="46">
        <v>12</v>
      </c>
      <c r="E1924" s="47" t="s">
        <v>50</v>
      </c>
      <c r="F1924" s="48">
        <v>6.5</v>
      </c>
      <c r="G1924" s="38">
        <v>1.5</v>
      </c>
      <c r="H1924" s="39"/>
      <c r="I1924" s="39"/>
      <c r="J1924" s="39"/>
      <c r="K1924" s="39">
        <v>0.17</v>
      </c>
      <c r="L1924" s="39"/>
      <c r="M1924" s="39"/>
      <c r="N1924" s="39"/>
      <c r="O1924" s="39"/>
      <c r="P1924" s="39"/>
      <c r="Q1924" s="39">
        <v>0.83</v>
      </c>
      <c r="R1924" s="39"/>
      <c r="S1924" s="39"/>
      <c r="T1924" s="39"/>
      <c r="U1924" s="39"/>
      <c r="V1924" s="39">
        <v>0.5</v>
      </c>
      <c r="W1924" s="39"/>
      <c r="X1924" s="49" t="s">
        <v>194</v>
      </c>
      <c r="Y1924" s="50">
        <v>2177.5</v>
      </c>
      <c r="Z1924" s="51">
        <v>1740</v>
      </c>
      <c r="AA1924" s="52">
        <f t="shared" si="48"/>
        <v>0.799081515499426</v>
      </c>
      <c r="AB1924" s="12">
        <v>1740</v>
      </c>
      <c r="AC1924" s="12">
        <v>0</v>
      </c>
      <c r="AD1924" s="43"/>
      <c r="AE1924" s="43"/>
      <c r="AF1924" s="43"/>
      <c r="AG1924" s="43"/>
      <c r="AH1924" s="43"/>
      <c r="AI1924" s="43"/>
      <c r="AJ1924" s="43"/>
      <c r="AK1924" s="43"/>
      <c r="AL1924" s="43"/>
      <c r="AM1924" s="43"/>
      <c r="AN1924" s="43"/>
      <c r="AO1924" s="43"/>
      <c r="AP1924" s="43"/>
      <c r="AQ1924" s="43"/>
      <c r="AR1924" s="43"/>
      <c r="AS1924" s="43"/>
      <c r="AT1924" s="43"/>
      <c r="AU1924" s="43"/>
      <c r="AV1924" s="43"/>
    </row>
    <row r="1925" ht="15.75" spans="1:48">
      <c r="A1925" s="12">
        <v>1921</v>
      </c>
      <c r="B1925" s="44">
        <v>656</v>
      </c>
      <c r="C1925" s="45" t="s">
        <v>195</v>
      </c>
      <c r="D1925" s="46"/>
      <c r="E1925" s="47" t="s">
        <v>50</v>
      </c>
      <c r="F1925" s="48">
        <v>10.17</v>
      </c>
      <c r="G1925" s="38">
        <v>1.84</v>
      </c>
      <c r="H1925" s="39"/>
      <c r="I1925" s="39"/>
      <c r="J1925" s="39"/>
      <c r="K1925" s="39"/>
      <c r="L1925" s="39"/>
      <c r="M1925" s="39"/>
      <c r="N1925" s="39"/>
      <c r="O1925" s="39"/>
      <c r="P1925" s="39"/>
      <c r="Q1925" s="39">
        <v>1.17</v>
      </c>
      <c r="R1925" s="39"/>
      <c r="S1925" s="39"/>
      <c r="T1925" s="39"/>
      <c r="U1925" s="39"/>
      <c r="V1925" s="39">
        <v>0.67</v>
      </c>
      <c r="W1925" s="39"/>
      <c r="X1925" s="49">
        <v>9276</v>
      </c>
      <c r="Y1925" s="50">
        <v>5085</v>
      </c>
      <c r="Z1925" s="51">
        <v>5044</v>
      </c>
      <c r="AA1925" s="52">
        <f t="shared" si="48"/>
        <v>0.991937069813176</v>
      </c>
      <c r="AB1925" s="12">
        <v>5044</v>
      </c>
      <c r="AC1925" s="12">
        <v>0</v>
      </c>
      <c r="AD1925" s="43"/>
      <c r="AE1925" s="43"/>
      <c r="AF1925" s="43"/>
      <c r="AG1925" s="43"/>
      <c r="AH1925" s="43"/>
      <c r="AI1925" s="43"/>
      <c r="AJ1925" s="43"/>
      <c r="AK1925" s="43"/>
      <c r="AL1925" s="43"/>
      <c r="AM1925" s="43"/>
      <c r="AN1925" s="43"/>
      <c r="AO1925" s="43"/>
      <c r="AP1925" s="43"/>
      <c r="AQ1925" s="43"/>
      <c r="AR1925" s="43"/>
      <c r="AS1925" s="43"/>
      <c r="AT1925" s="43"/>
      <c r="AU1925" s="43"/>
      <c r="AV1925" s="43"/>
    </row>
    <row r="1926" ht="15.75" spans="1:48">
      <c r="A1926" s="12">
        <v>1922</v>
      </c>
      <c r="B1926" s="44">
        <v>3959</v>
      </c>
      <c r="C1926" s="45" t="s">
        <v>123</v>
      </c>
      <c r="D1926" s="46"/>
      <c r="E1926" s="47" t="s">
        <v>50</v>
      </c>
      <c r="F1926" s="48">
        <v>10.83</v>
      </c>
      <c r="G1926" s="38">
        <v>1.17</v>
      </c>
      <c r="H1926" s="39"/>
      <c r="I1926" s="39"/>
      <c r="J1926" s="39"/>
      <c r="K1926" s="39"/>
      <c r="L1926" s="39"/>
      <c r="M1926" s="39"/>
      <c r="N1926" s="39"/>
      <c r="O1926" s="39"/>
      <c r="P1926" s="39"/>
      <c r="Q1926" s="39">
        <v>1.17</v>
      </c>
      <c r="R1926" s="39"/>
      <c r="S1926" s="39"/>
      <c r="T1926" s="39"/>
      <c r="U1926" s="39"/>
      <c r="V1926" s="39"/>
      <c r="W1926" s="39"/>
      <c r="X1926" s="49" t="s">
        <v>67</v>
      </c>
      <c r="Y1926" s="50">
        <v>2707.5</v>
      </c>
      <c r="Z1926" s="51">
        <v>2700</v>
      </c>
      <c r="AA1926" s="52">
        <f t="shared" si="48"/>
        <v>0.997229916897507</v>
      </c>
      <c r="AB1926" s="12">
        <v>2700</v>
      </c>
      <c r="AC1926" s="12">
        <v>0</v>
      </c>
      <c r="AD1926" s="43"/>
      <c r="AE1926" s="43"/>
      <c r="AF1926" s="43"/>
      <c r="AG1926" s="43"/>
      <c r="AH1926" s="43"/>
      <c r="AI1926" s="43"/>
      <c r="AJ1926" s="43"/>
      <c r="AK1926" s="43"/>
      <c r="AL1926" s="43"/>
      <c r="AM1926" s="43"/>
      <c r="AN1926" s="43"/>
      <c r="AO1926" s="43"/>
      <c r="AP1926" s="43"/>
      <c r="AQ1926" s="43"/>
      <c r="AR1926" s="43"/>
      <c r="AS1926" s="43"/>
      <c r="AT1926" s="43"/>
      <c r="AU1926" s="43"/>
      <c r="AV1926" s="43"/>
    </row>
    <row r="1927" ht="15.75" spans="1:48">
      <c r="A1927" s="12">
        <v>1923</v>
      </c>
      <c r="B1927" s="44">
        <v>2649</v>
      </c>
      <c r="C1927" s="45" t="s">
        <v>121</v>
      </c>
      <c r="D1927" s="46"/>
      <c r="E1927" s="47" t="s">
        <v>50</v>
      </c>
      <c r="F1927" s="48">
        <v>10.83</v>
      </c>
      <c r="G1927" s="38">
        <v>1.17</v>
      </c>
      <c r="H1927" s="39"/>
      <c r="I1927" s="39"/>
      <c r="J1927" s="39"/>
      <c r="K1927" s="39"/>
      <c r="L1927" s="39"/>
      <c r="M1927" s="39"/>
      <c r="N1927" s="39"/>
      <c r="O1927" s="39"/>
      <c r="P1927" s="39"/>
      <c r="Q1927" s="39">
        <v>1.17</v>
      </c>
      <c r="R1927" s="39"/>
      <c r="S1927" s="39"/>
      <c r="T1927" s="39"/>
      <c r="U1927" s="39"/>
      <c r="V1927" s="39"/>
      <c r="W1927" s="39"/>
      <c r="X1927" s="49" t="s">
        <v>409</v>
      </c>
      <c r="Y1927" s="50">
        <v>0</v>
      </c>
      <c r="Z1927" s="51"/>
      <c r="AA1927" s="52">
        <f t="shared" si="48"/>
        <v>0</v>
      </c>
      <c r="AB1927" s="12">
        <v>0</v>
      </c>
      <c r="AC1927" s="12">
        <v>0</v>
      </c>
      <c r="AD1927" s="43"/>
      <c r="AE1927" s="43"/>
      <c r="AF1927" s="43"/>
      <c r="AG1927" s="43"/>
      <c r="AH1927" s="43"/>
      <c r="AI1927" s="43"/>
      <c r="AJ1927" s="43"/>
      <c r="AK1927" s="43"/>
      <c r="AL1927" s="43"/>
      <c r="AM1927" s="43"/>
      <c r="AN1927" s="43"/>
      <c r="AO1927" s="43"/>
      <c r="AP1927" s="43"/>
      <c r="AQ1927" s="43"/>
      <c r="AR1927" s="43"/>
      <c r="AS1927" s="43"/>
      <c r="AT1927" s="43"/>
      <c r="AU1927" s="43"/>
      <c r="AV1927" s="43"/>
    </row>
    <row r="1928" ht="15.75" spans="1:48">
      <c r="A1928" s="12">
        <v>1924</v>
      </c>
      <c r="B1928" s="44">
        <v>655</v>
      </c>
      <c r="C1928" s="45" t="s">
        <v>198</v>
      </c>
      <c r="D1928" s="46">
        <v>10</v>
      </c>
      <c r="E1928" s="47" t="s">
        <v>50</v>
      </c>
      <c r="F1928" s="48">
        <v>10.67</v>
      </c>
      <c r="G1928" s="38">
        <v>1.34</v>
      </c>
      <c r="H1928" s="39"/>
      <c r="I1928" s="39"/>
      <c r="J1928" s="39"/>
      <c r="K1928" s="39"/>
      <c r="L1928" s="39"/>
      <c r="M1928" s="39"/>
      <c r="N1928" s="39"/>
      <c r="O1928" s="39"/>
      <c r="P1928" s="39"/>
      <c r="Q1928" s="39">
        <v>1.17</v>
      </c>
      <c r="R1928" s="39"/>
      <c r="S1928" s="39"/>
      <c r="T1928" s="39"/>
      <c r="U1928" s="39">
        <v>0.17</v>
      </c>
      <c r="V1928" s="39"/>
      <c r="W1928" s="39"/>
      <c r="X1928" s="49">
        <v>127</v>
      </c>
      <c r="Y1928" s="50">
        <v>5335</v>
      </c>
      <c r="Z1928" s="51">
        <v>5400</v>
      </c>
      <c r="AA1928" s="52">
        <f t="shared" si="48"/>
        <v>1.01218369259606</v>
      </c>
      <c r="AB1928" s="12">
        <v>5400</v>
      </c>
      <c r="AC1928" s="12">
        <v>0</v>
      </c>
      <c r="AD1928" s="43"/>
      <c r="AE1928" s="43"/>
      <c r="AF1928" s="43"/>
      <c r="AG1928" s="43"/>
      <c r="AH1928" s="43"/>
      <c r="AI1928" s="43"/>
      <c r="AJ1928" s="43"/>
      <c r="AK1928" s="43"/>
      <c r="AL1928" s="43"/>
      <c r="AM1928" s="43"/>
      <c r="AN1928" s="43"/>
      <c r="AO1928" s="43"/>
      <c r="AP1928" s="43"/>
      <c r="AQ1928" s="43"/>
      <c r="AR1928" s="43"/>
      <c r="AS1928" s="43"/>
      <c r="AT1928" s="43"/>
      <c r="AU1928" s="43"/>
      <c r="AV1928" s="43"/>
    </row>
    <row r="1929" ht="15.75" spans="1:48">
      <c r="A1929" s="12">
        <v>1925</v>
      </c>
      <c r="B1929" s="53" t="s">
        <v>396</v>
      </c>
      <c r="C1929" s="45" t="s">
        <v>397</v>
      </c>
      <c r="D1929" s="46">
        <v>1</v>
      </c>
      <c r="E1929" s="47" t="s">
        <v>50</v>
      </c>
      <c r="F1929" s="48">
        <v>8.17</v>
      </c>
      <c r="G1929" s="38">
        <v>1.84</v>
      </c>
      <c r="H1929" s="39"/>
      <c r="I1929" s="39"/>
      <c r="J1929" s="39"/>
      <c r="K1929" s="39"/>
      <c r="L1929" s="39"/>
      <c r="M1929" s="39"/>
      <c r="N1929" s="39"/>
      <c r="O1929" s="39"/>
      <c r="P1929" s="39"/>
      <c r="Q1929" s="39">
        <v>1</v>
      </c>
      <c r="R1929" s="39"/>
      <c r="S1929" s="39">
        <v>0.67</v>
      </c>
      <c r="T1929" s="39"/>
      <c r="U1929" s="39">
        <v>0.17</v>
      </c>
      <c r="V1929" s="39"/>
      <c r="W1929" s="39"/>
      <c r="X1929" s="49">
        <v>9116</v>
      </c>
      <c r="Y1929" s="50">
        <v>2451</v>
      </c>
      <c r="Z1929" s="51">
        <v>2450</v>
      </c>
      <c r="AA1929" s="52">
        <f t="shared" si="48"/>
        <v>0.999592003263974</v>
      </c>
      <c r="AB1929" s="12">
        <v>2450</v>
      </c>
      <c r="AC1929" s="12">
        <v>0</v>
      </c>
      <c r="AD1929" s="43"/>
      <c r="AE1929" s="43"/>
      <c r="AF1929" s="43"/>
      <c r="AG1929" s="43"/>
      <c r="AH1929" s="43"/>
      <c r="AI1929" s="43"/>
      <c r="AJ1929" s="43"/>
      <c r="AK1929" s="43"/>
      <c r="AL1929" s="43"/>
      <c r="AM1929" s="43"/>
      <c r="AN1929" s="43"/>
      <c r="AO1929" s="43"/>
      <c r="AP1929" s="43"/>
      <c r="AQ1929" s="43"/>
      <c r="AR1929" s="43"/>
      <c r="AS1929" s="43"/>
      <c r="AT1929" s="43"/>
      <c r="AU1929" s="43"/>
      <c r="AV1929" s="43"/>
    </row>
    <row r="1930" ht="15.75" spans="1:48">
      <c r="A1930" s="12">
        <v>1926</v>
      </c>
      <c r="B1930" s="44">
        <v>4418</v>
      </c>
      <c r="C1930" s="45" t="s">
        <v>125</v>
      </c>
      <c r="D1930" s="46">
        <v>1</v>
      </c>
      <c r="E1930" s="47" t="s">
        <v>50</v>
      </c>
      <c r="F1930" s="48">
        <v>6.83</v>
      </c>
      <c r="G1930" s="38">
        <v>1.17</v>
      </c>
      <c r="H1930" s="39"/>
      <c r="I1930" s="39"/>
      <c r="J1930" s="39"/>
      <c r="K1930" s="39">
        <v>0.17</v>
      </c>
      <c r="L1930" s="39"/>
      <c r="M1930" s="39"/>
      <c r="N1930" s="39"/>
      <c r="O1930" s="39"/>
      <c r="P1930" s="39"/>
      <c r="Q1930" s="39">
        <v>0.83</v>
      </c>
      <c r="R1930" s="39"/>
      <c r="S1930" s="39"/>
      <c r="T1930" s="39"/>
      <c r="U1930" s="39">
        <v>0.17</v>
      </c>
      <c r="V1930" s="39"/>
      <c r="W1930" s="39"/>
      <c r="X1930" s="49" t="s">
        <v>58</v>
      </c>
      <c r="Y1930" s="50">
        <v>2390.5</v>
      </c>
      <c r="Z1930" s="51">
        <v>2400</v>
      </c>
      <c r="AA1930" s="52">
        <f t="shared" si="48"/>
        <v>1.00397406400335</v>
      </c>
      <c r="AB1930" s="12">
        <v>2328</v>
      </c>
      <c r="AC1930" s="12">
        <v>72</v>
      </c>
      <c r="AD1930" s="19">
        <v>72</v>
      </c>
      <c r="AE1930" s="43"/>
      <c r="AF1930" s="43"/>
      <c r="AG1930" s="43"/>
      <c r="AH1930" s="43"/>
      <c r="AI1930" s="43"/>
      <c r="AJ1930" s="43"/>
      <c r="AK1930" s="43"/>
      <c r="AL1930" s="43"/>
      <c r="AM1930" s="43"/>
      <c r="AN1930" s="43"/>
      <c r="AO1930" s="43"/>
      <c r="AP1930" s="43"/>
      <c r="AQ1930" s="43"/>
      <c r="AR1930" s="43"/>
      <c r="AS1930" s="43"/>
      <c r="AT1930" s="43"/>
      <c r="AU1930" s="43"/>
      <c r="AV1930" s="43"/>
    </row>
    <row r="1931" ht="15.75" spans="1:48">
      <c r="A1931" s="12">
        <v>1927</v>
      </c>
      <c r="B1931" s="44">
        <v>4325</v>
      </c>
      <c r="C1931" s="45" t="s">
        <v>118</v>
      </c>
      <c r="D1931" s="46"/>
      <c r="E1931" s="47" t="s">
        <v>50</v>
      </c>
      <c r="F1931" s="48">
        <v>10.83</v>
      </c>
      <c r="G1931" s="38">
        <v>1.17</v>
      </c>
      <c r="H1931" s="39"/>
      <c r="I1931" s="39"/>
      <c r="J1931" s="39"/>
      <c r="K1931" s="39"/>
      <c r="L1931" s="39"/>
      <c r="M1931" s="39"/>
      <c r="N1931" s="39"/>
      <c r="O1931" s="39"/>
      <c r="P1931" s="39"/>
      <c r="Q1931" s="39">
        <v>1.17</v>
      </c>
      <c r="R1931" s="39"/>
      <c r="S1931" s="39"/>
      <c r="T1931" s="39"/>
      <c r="U1931" s="39"/>
      <c r="V1931" s="39"/>
      <c r="W1931" s="39"/>
      <c r="X1931" s="49" t="s">
        <v>282</v>
      </c>
      <c r="Y1931" s="50">
        <v>1299.6</v>
      </c>
      <c r="Z1931" s="51">
        <v>1320</v>
      </c>
      <c r="AA1931" s="52">
        <f t="shared" si="48"/>
        <v>1.01569713758079</v>
      </c>
      <c r="AB1931" s="12">
        <v>1320</v>
      </c>
      <c r="AC1931" s="12">
        <v>0</v>
      </c>
      <c r="AD1931" s="43"/>
      <c r="AE1931" s="43"/>
      <c r="AF1931" s="43"/>
      <c r="AG1931" s="43"/>
      <c r="AH1931" s="43"/>
      <c r="AI1931" s="43"/>
      <c r="AJ1931" s="43"/>
      <c r="AK1931" s="43"/>
      <c r="AL1931" s="43"/>
      <c r="AM1931" s="43"/>
      <c r="AN1931" s="43"/>
      <c r="AO1931" s="43"/>
      <c r="AP1931" s="43"/>
      <c r="AQ1931" s="43"/>
      <c r="AR1931" s="43"/>
      <c r="AS1931" s="43"/>
      <c r="AT1931" s="43"/>
      <c r="AU1931" s="43"/>
      <c r="AV1931" s="43"/>
    </row>
    <row r="1932" ht="15.75" spans="1:48">
      <c r="A1932" s="12">
        <v>1928</v>
      </c>
      <c r="B1932" s="44">
        <v>4504</v>
      </c>
      <c r="C1932" s="45" t="s">
        <v>304</v>
      </c>
      <c r="D1932" s="46">
        <v>19</v>
      </c>
      <c r="E1932" s="47" t="s">
        <v>50</v>
      </c>
      <c r="F1932" s="48">
        <v>2</v>
      </c>
      <c r="G1932" s="38">
        <v>0</v>
      </c>
      <c r="H1932" s="39"/>
      <c r="I1932" s="39"/>
      <c r="J1932" s="39"/>
      <c r="K1932" s="39"/>
      <c r="L1932" s="39"/>
      <c r="M1932" s="39"/>
      <c r="N1932" s="39"/>
      <c r="O1932" s="39"/>
      <c r="P1932" s="39"/>
      <c r="Q1932" s="39"/>
      <c r="R1932" s="39"/>
      <c r="S1932" s="39"/>
      <c r="T1932" s="39"/>
      <c r="U1932" s="39"/>
      <c r="V1932" s="39"/>
      <c r="W1932" s="39"/>
      <c r="X1932" s="49" t="s">
        <v>410</v>
      </c>
      <c r="Y1932" s="50">
        <v>670</v>
      </c>
      <c r="Z1932" s="51">
        <v>660</v>
      </c>
      <c r="AA1932" s="52">
        <f t="shared" si="48"/>
        <v>0.985074626865672</v>
      </c>
      <c r="AB1932" s="12">
        <v>660</v>
      </c>
      <c r="AC1932" s="12">
        <v>0</v>
      </c>
      <c r="AD1932" s="43"/>
      <c r="AE1932" s="43"/>
      <c r="AF1932" s="43"/>
      <c r="AG1932" s="43"/>
      <c r="AH1932" s="43"/>
      <c r="AI1932" s="43"/>
      <c r="AJ1932" s="43"/>
      <c r="AK1932" s="43"/>
      <c r="AL1932" s="43"/>
      <c r="AM1932" s="43"/>
      <c r="AN1932" s="43"/>
      <c r="AO1932" s="43"/>
      <c r="AP1932" s="43"/>
      <c r="AQ1932" s="43"/>
      <c r="AR1932" s="43"/>
      <c r="AS1932" s="43"/>
      <c r="AT1932" s="43"/>
      <c r="AU1932" s="43"/>
      <c r="AV1932" s="43"/>
    </row>
    <row r="1933" ht="15.75" spans="1:48">
      <c r="A1933" s="12">
        <v>1929</v>
      </c>
      <c r="B1933" s="44">
        <v>4504</v>
      </c>
      <c r="C1933" s="45" t="s">
        <v>304</v>
      </c>
      <c r="D1933" s="46"/>
      <c r="E1933" s="47" t="s">
        <v>50</v>
      </c>
      <c r="F1933" s="48">
        <v>3.665</v>
      </c>
      <c r="G1933" s="38">
        <v>2.67</v>
      </c>
      <c r="H1933" s="39"/>
      <c r="I1933" s="39"/>
      <c r="J1933" s="39"/>
      <c r="K1933" s="39"/>
      <c r="L1933" s="39"/>
      <c r="M1933" s="39"/>
      <c r="N1933" s="39"/>
      <c r="O1933" s="39"/>
      <c r="P1933" s="39"/>
      <c r="Q1933" s="39">
        <v>1.17</v>
      </c>
      <c r="R1933" s="39"/>
      <c r="S1933" s="39">
        <v>1.5</v>
      </c>
      <c r="T1933" s="39"/>
      <c r="U1933" s="39"/>
      <c r="V1933" s="39"/>
      <c r="W1933" s="39"/>
      <c r="X1933" s="49" t="s">
        <v>63</v>
      </c>
      <c r="Y1933" s="50">
        <v>659.7</v>
      </c>
      <c r="Z1933" s="51">
        <v>665</v>
      </c>
      <c r="AA1933" s="52">
        <f t="shared" si="48"/>
        <v>1.00803395482795</v>
      </c>
      <c r="AB1933" s="12">
        <v>665</v>
      </c>
      <c r="AC1933" s="12">
        <v>0</v>
      </c>
      <c r="AD1933" s="43"/>
      <c r="AE1933" s="43"/>
      <c r="AF1933" s="43"/>
      <c r="AG1933" s="43"/>
      <c r="AH1933" s="43"/>
      <c r="AI1933" s="43"/>
      <c r="AJ1933" s="43"/>
      <c r="AK1933" s="43"/>
      <c r="AL1933" s="43"/>
      <c r="AM1933" s="43"/>
      <c r="AN1933" s="43"/>
      <c r="AO1933" s="43"/>
      <c r="AP1933" s="43"/>
      <c r="AQ1933" s="43"/>
      <c r="AR1933" s="43"/>
      <c r="AS1933" s="43"/>
      <c r="AT1933" s="43"/>
      <c r="AU1933" s="43"/>
      <c r="AV1933" s="43"/>
    </row>
    <row r="1934" ht="15.75" spans="1:48">
      <c r="A1934" s="12">
        <v>1930</v>
      </c>
      <c r="B1934" s="44">
        <v>4504</v>
      </c>
      <c r="C1934" s="45" t="s">
        <v>304</v>
      </c>
      <c r="D1934" s="46"/>
      <c r="E1934" s="47" t="s">
        <v>50</v>
      </c>
      <c r="F1934" s="48">
        <v>3.665</v>
      </c>
      <c r="G1934" s="38">
        <v>0</v>
      </c>
      <c r="H1934" s="39"/>
      <c r="I1934" s="39"/>
      <c r="J1934" s="39"/>
      <c r="K1934" s="39"/>
      <c r="L1934" s="39"/>
      <c r="M1934" s="39"/>
      <c r="N1934" s="39"/>
      <c r="O1934" s="39"/>
      <c r="P1934" s="39"/>
      <c r="Q1934" s="39"/>
      <c r="R1934" s="39"/>
      <c r="S1934" s="39"/>
      <c r="T1934" s="39"/>
      <c r="U1934" s="39"/>
      <c r="V1934" s="39"/>
      <c r="W1934" s="39"/>
      <c r="X1934" s="49" t="s">
        <v>62</v>
      </c>
      <c r="Y1934" s="50">
        <v>659.7</v>
      </c>
      <c r="Z1934" s="51">
        <v>665</v>
      </c>
      <c r="AA1934" s="52">
        <f t="shared" si="48"/>
        <v>1.00803395482795</v>
      </c>
      <c r="AB1934" s="12">
        <v>665</v>
      </c>
      <c r="AC1934" s="12">
        <v>0</v>
      </c>
      <c r="AD1934" s="43"/>
      <c r="AE1934" s="43"/>
      <c r="AF1934" s="43"/>
      <c r="AG1934" s="43"/>
      <c r="AH1934" s="43"/>
      <c r="AI1934" s="43"/>
      <c r="AJ1934" s="43"/>
      <c r="AK1934" s="43"/>
      <c r="AL1934" s="43"/>
      <c r="AM1934" s="43"/>
      <c r="AN1934" s="43"/>
      <c r="AO1934" s="43"/>
      <c r="AP1934" s="43"/>
      <c r="AQ1934" s="43"/>
      <c r="AR1934" s="43"/>
      <c r="AS1934" s="43"/>
      <c r="AT1934" s="43"/>
      <c r="AU1934" s="43"/>
      <c r="AV1934" s="43"/>
    </row>
    <row r="1935" ht="15.75" spans="1:48">
      <c r="A1935" s="12">
        <v>1931</v>
      </c>
      <c r="B1935" s="44">
        <v>3919</v>
      </c>
      <c r="C1935" s="45" t="s">
        <v>137</v>
      </c>
      <c r="D1935" s="46"/>
      <c r="E1935" s="47" t="s">
        <v>50</v>
      </c>
      <c r="F1935" s="48">
        <v>10.83</v>
      </c>
      <c r="G1935" s="38">
        <v>1.17</v>
      </c>
      <c r="H1935" s="39"/>
      <c r="I1935" s="39"/>
      <c r="J1935" s="39"/>
      <c r="K1935" s="39"/>
      <c r="L1935" s="39"/>
      <c r="M1935" s="39"/>
      <c r="N1935" s="39"/>
      <c r="O1935" s="39"/>
      <c r="P1935" s="39"/>
      <c r="Q1935" s="39">
        <v>1.17</v>
      </c>
      <c r="R1935" s="39"/>
      <c r="S1935" s="39"/>
      <c r="T1935" s="39"/>
      <c r="U1935" s="39"/>
      <c r="V1935" s="39"/>
      <c r="W1935" s="39"/>
      <c r="X1935" s="49" t="s">
        <v>409</v>
      </c>
      <c r="Y1935" s="50">
        <v>0</v>
      </c>
      <c r="Z1935" s="51"/>
      <c r="AA1935" s="52">
        <f t="shared" si="48"/>
        <v>0</v>
      </c>
      <c r="AB1935" s="12">
        <v>0</v>
      </c>
      <c r="AC1935" s="12">
        <v>0</v>
      </c>
      <c r="AD1935" s="43"/>
      <c r="AE1935" s="43"/>
      <c r="AF1935" s="43"/>
      <c r="AG1935" s="43"/>
      <c r="AH1935" s="43"/>
      <c r="AI1935" s="43"/>
      <c r="AJ1935" s="43"/>
      <c r="AK1935" s="43"/>
      <c r="AL1935" s="43"/>
      <c r="AM1935" s="43"/>
      <c r="AN1935" s="43"/>
      <c r="AO1935" s="43"/>
      <c r="AP1935" s="43"/>
      <c r="AQ1935" s="43"/>
      <c r="AR1935" s="43"/>
      <c r="AS1935" s="43"/>
      <c r="AT1935" s="43"/>
      <c r="AU1935" s="43"/>
      <c r="AV1935" s="43"/>
    </row>
    <row r="1936" ht="15.75" spans="1:48">
      <c r="A1936" s="12">
        <v>1932</v>
      </c>
      <c r="B1936" s="69" t="s">
        <v>308</v>
      </c>
      <c r="C1936" s="45" t="s">
        <v>309</v>
      </c>
      <c r="D1936" s="46"/>
      <c r="E1936" s="47" t="s">
        <v>50</v>
      </c>
      <c r="F1936" s="48">
        <v>7.17</v>
      </c>
      <c r="G1936" s="38">
        <v>0.83</v>
      </c>
      <c r="H1936" s="39"/>
      <c r="I1936" s="39"/>
      <c r="J1936" s="39"/>
      <c r="K1936" s="39"/>
      <c r="L1936" s="39"/>
      <c r="M1936" s="39"/>
      <c r="N1936" s="39"/>
      <c r="O1936" s="39"/>
      <c r="P1936" s="39"/>
      <c r="Q1936" s="39">
        <v>0.83</v>
      </c>
      <c r="R1936" s="39"/>
      <c r="S1936" s="39"/>
      <c r="T1936" s="39"/>
      <c r="U1936" s="39"/>
      <c r="V1936" s="39"/>
      <c r="W1936" s="39"/>
      <c r="X1936" s="49" t="s">
        <v>310</v>
      </c>
      <c r="Y1936" s="50">
        <v>0</v>
      </c>
      <c r="Z1936" s="51"/>
      <c r="AA1936" s="52">
        <f t="shared" si="48"/>
        <v>0</v>
      </c>
      <c r="AB1936" s="12">
        <v>0</v>
      </c>
      <c r="AC1936" s="12">
        <v>0</v>
      </c>
      <c r="AD1936" s="43"/>
      <c r="AE1936" s="43"/>
      <c r="AF1936" s="43"/>
      <c r="AG1936" s="43"/>
      <c r="AH1936" s="43"/>
      <c r="AI1936" s="43"/>
      <c r="AJ1936" s="43"/>
      <c r="AK1936" s="43"/>
      <c r="AL1936" s="43"/>
      <c r="AM1936" s="43"/>
      <c r="AN1936" s="43"/>
      <c r="AO1936" s="43"/>
      <c r="AP1936" s="43"/>
      <c r="AQ1936" s="43"/>
      <c r="AR1936" s="43"/>
      <c r="AS1936" s="43"/>
      <c r="AT1936" s="43"/>
      <c r="AU1936" s="43"/>
      <c r="AV1936" s="43"/>
    </row>
    <row r="1937" ht="15.75" spans="1:48">
      <c r="A1937" s="12">
        <v>1933</v>
      </c>
      <c r="B1937" s="44">
        <v>4110</v>
      </c>
      <c r="C1937" s="45" t="s">
        <v>135</v>
      </c>
      <c r="D1937" s="46" t="s">
        <v>73</v>
      </c>
      <c r="E1937" s="47" t="s">
        <v>50</v>
      </c>
      <c r="F1937" s="48">
        <v>4.33</v>
      </c>
      <c r="G1937" s="38">
        <v>0.17</v>
      </c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  <c r="S1937" s="39"/>
      <c r="T1937" s="39"/>
      <c r="U1937" s="39">
        <v>0.17</v>
      </c>
      <c r="V1937" s="39"/>
      <c r="W1937" s="39"/>
      <c r="X1937" s="49" t="s">
        <v>139</v>
      </c>
      <c r="Y1937" s="50">
        <v>6603.25</v>
      </c>
      <c r="Z1937" s="51">
        <v>6552</v>
      </c>
      <c r="AA1937" s="52">
        <f t="shared" si="48"/>
        <v>0.992238670351721</v>
      </c>
      <c r="AB1937" s="12">
        <v>6552</v>
      </c>
      <c r="AC1937" s="12">
        <v>0</v>
      </c>
      <c r="AD1937" s="43"/>
      <c r="AE1937" s="43"/>
      <c r="AF1937" s="43"/>
      <c r="AG1937" s="43"/>
      <c r="AH1937" s="43"/>
      <c r="AI1937" s="43"/>
      <c r="AJ1937" s="43"/>
      <c r="AK1937" s="43"/>
      <c r="AL1937" s="43"/>
      <c r="AM1937" s="43"/>
      <c r="AN1937" s="43"/>
      <c r="AO1937" s="43"/>
      <c r="AP1937" s="43"/>
      <c r="AQ1937" s="43"/>
      <c r="AR1937" s="43"/>
      <c r="AS1937" s="43"/>
      <c r="AT1937" s="43"/>
      <c r="AU1937" s="43"/>
      <c r="AV1937" s="43"/>
    </row>
    <row r="1938" ht="15.75" spans="1:48">
      <c r="A1938" s="12">
        <v>1934</v>
      </c>
      <c r="B1938" s="44">
        <v>4019</v>
      </c>
      <c r="C1938" s="45" t="s">
        <v>134</v>
      </c>
      <c r="D1938" s="46" t="s">
        <v>207</v>
      </c>
      <c r="E1938" s="47" t="s">
        <v>50</v>
      </c>
      <c r="F1938" s="48">
        <v>9.33</v>
      </c>
      <c r="G1938" s="38">
        <v>1.67</v>
      </c>
      <c r="H1938" s="39"/>
      <c r="I1938" s="39"/>
      <c r="J1938" s="39"/>
      <c r="K1938" s="39">
        <v>0.17</v>
      </c>
      <c r="L1938" s="39"/>
      <c r="M1938" s="39"/>
      <c r="N1938" s="39"/>
      <c r="O1938" s="39"/>
      <c r="P1938" s="39"/>
      <c r="Q1938" s="39">
        <v>1.17</v>
      </c>
      <c r="R1938" s="39"/>
      <c r="S1938" s="39"/>
      <c r="T1938" s="39"/>
      <c r="U1938" s="39">
        <v>0.33</v>
      </c>
      <c r="V1938" s="39"/>
      <c r="W1938" s="39"/>
      <c r="X1938" s="49" t="s">
        <v>79</v>
      </c>
      <c r="Y1938" s="50">
        <v>62137.8</v>
      </c>
      <c r="Z1938" s="51">
        <v>59568</v>
      </c>
      <c r="AA1938" s="52">
        <f t="shared" si="48"/>
        <v>0.958643530990798</v>
      </c>
      <c r="AB1938" s="12">
        <v>59416</v>
      </c>
      <c r="AC1938" s="12">
        <v>152</v>
      </c>
      <c r="AD1938" s="43"/>
      <c r="AE1938" s="43"/>
      <c r="AF1938" s="43"/>
      <c r="AG1938" s="19">
        <v>72</v>
      </c>
      <c r="AH1938" s="43"/>
      <c r="AI1938" s="43"/>
      <c r="AJ1938" s="43"/>
      <c r="AK1938" s="43"/>
      <c r="AL1938" s="43"/>
      <c r="AM1938" s="43"/>
      <c r="AN1938" s="19">
        <v>80</v>
      </c>
      <c r="AO1938" s="43"/>
      <c r="AP1938" s="43"/>
      <c r="AQ1938" s="43"/>
      <c r="AR1938" s="43"/>
      <c r="AS1938" s="43"/>
      <c r="AT1938" s="43"/>
      <c r="AU1938" s="43"/>
      <c r="AV1938" s="43"/>
    </row>
    <row r="1939" ht="15.75" spans="1:48">
      <c r="A1939" s="12">
        <v>1935</v>
      </c>
      <c r="B1939" s="44">
        <v>4019</v>
      </c>
      <c r="C1939" s="45" t="s">
        <v>134</v>
      </c>
      <c r="D1939" s="46" t="s">
        <v>78</v>
      </c>
      <c r="E1939" s="47" t="s">
        <v>50</v>
      </c>
      <c r="F1939" s="48">
        <v>10.33</v>
      </c>
      <c r="G1939" s="38">
        <v>1.67</v>
      </c>
      <c r="H1939" s="39"/>
      <c r="I1939" s="39"/>
      <c r="J1939" s="39"/>
      <c r="K1939" s="39">
        <v>0.17</v>
      </c>
      <c r="L1939" s="39"/>
      <c r="M1939" s="39"/>
      <c r="N1939" s="39"/>
      <c r="O1939" s="39"/>
      <c r="P1939" s="39"/>
      <c r="Q1939" s="39">
        <v>1.17</v>
      </c>
      <c r="R1939" s="39"/>
      <c r="S1939" s="39"/>
      <c r="T1939" s="39"/>
      <c r="U1939" s="39">
        <v>0.33</v>
      </c>
      <c r="V1939" s="39"/>
      <c r="W1939" s="39"/>
      <c r="X1939" s="49" t="s">
        <v>79</v>
      </c>
      <c r="Y1939" s="50">
        <v>68797.8</v>
      </c>
      <c r="Z1939" s="51">
        <v>61328</v>
      </c>
      <c r="AA1939" s="52">
        <f t="shared" si="48"/>
        <v>0.891423853669739</v>
      </c>
      <c r="AB1939" s="12">
        <v>61216</v>
      </c>
      <c r="AC1939" s="12">
        <v>112</v>
      </c>
      <c r="AD1939" s="43"/>
      <c r="AE1939" s="43"/>
      <c r="AF1939" s="43"/>
      <c r="AG1939" s="19">
        <v>48</v>
      </c>
      <c r="AH1939" s="43"/>
      <c r="AI1939" s="43"/>
      <c r="AJ1939" s="43"/>
      <c r="AK1939" s="43"/>
      <c r="AL1939" s="43"/>
      <c r="AM1939" s="43"/>
      <c r="AN1939" s="19">
        <v>64</v>
      </c>
      <c r="AO1939" s="43"/>
      <c r="AP1939" s="43"/>
      <c r="AQ1939" s="43"/>
      <c r="AR1939" s="43"/>
      <c r="AS1939" s="43"/>
      <c r="AT1939" s="43"/>
      <c r="AU1939" s="43"/>
      <c r="AV1939" s="43"/>
    </row>
    <row r="1940" ht="15.75" spans="1:48">
      <c r="A1940" s="12">
        <v>1936</v>
      </c>
      <c r="B1940" s="44">
        <v>4019</v>
      </c>
      <c r="C1940" s="45" t="s">
        <v>134</v>
      </c>
      <c r="D1940" s="46" t="s">
        <v>83</v>
      </c>
      <c r="E1940" s="47" t="s">
        <v>50</v>
      </c>
      <c r="F1940" s="48">
        <v>10.17</v>
      </c>
      <c r="G1940" s="38">
        <v>1.83</v>
      </c>
      <c r="H1940" s="39"/>
      <c r="I1940" s="39"/>
      <c r="J1940" s="39"/>
      <c r="K1940" s="39">
        <v>0.33</v>
      </c>
      <c r="L1940" s="39"/>
      <c r="M1940" s="39"/>
      <c r="N1940" s="39"/>
      <c r="O1940" s="39"/>
      <c r="P1940" s="39"/>
      <c r="Q1940" s="39">
        <v>1.17</v>
      </c>
      <c r="R1940" s="39"/>
      <c r="S1940" s="39"/>
      <c r="T1940" s="39"/>
      <c r="U1940" s="39">
        <v>0.33</v>
      </c>
      <c r="V1940" s="39"/>
      <c r="W1940" s="39"/>
      <c r="X1940" s="49" t="s">
        <v>342</v>
      </c>
      <c r="Y1940" s="50">
        <v>45765</v>
      </c>
      <c r="Z1940" s="51">
        <v>46824</v>
      </c>
      <c r="AA1940" s="52">
        <f t="shared" si="48"/>
        <v>1.02313995411341</v>
      </c>
      <c r="AB1940" s="12">
        <v>46728</v>
      </c>
      <c r="AC1940" s="12">
        <v>96</v>
      </c>
      <c r="AD1940" s="43"/>
      <c r="AE1940" s="43"/>
      <c r="AF1940" s="43"/>
      <c r="AG1940" s="19">
        <v>42</v>
      </c>
      <c r="AH1940" s="43"/>
      <c r="AI1940" s="43"/>
      <c r="AJ1940" s="43"/>
      <c r="AK1940" s="43"/>
      <c r="AL1940" s="43"/>
      <c r="AM1940" s="43"/>
      <c r="AN1940" s="19">
        <v>54</v>
      </c>
      <c r="AO1940" s="43"/>
      <c r="AP1940" s="43"/>
      <c r="AQ1940" s="43"/>
      <c r="AR1940" s="43"/>
      <c r="AS1940" s="43"/>
      <c r="AT1940" s="43"/>
      <c r="AU1940" s="43"/>
      <c r="AV1940" s="43"/>
    </row>
    <row r="1941" ht="15.75" spans="1:48">
      <c r="A1941" s="12">
        <v>1937</v>
      </c>
      <c r="B1941" s="44">
        <v>4019</v>
      </c>
      <c r="C1941" s="45" t="s">
        <v>134</v>
      </c>
      <c r="D1941" s="46" t="s">
        <v>76</v>
      </c>
      <c r="E1941" s="47" t="s">
        <v>50</v>
      </c>
      <c r="F1941" s="48">
        <v>7.67</v>
      </c>
      <c r="G1941" s="38">
        <v>1.5</v>
      </c>
      <c r="H1941" s="39"/>
      <c r="I1941" s="39"/>
      <c r="J1941" s="39"/>
      <c r="K1941" s="39"/>
      <c r="L1941" s="39"/>
      <c r="M1941" s="39"/>
      <c r="N1941" s="39"/>
      <c r="O1941" s="39"/>
      <c r="P1941" s="39"/>
      <c r="Q1941" s="39">
        <v>1.17</v>
      </c>
      <c r="R1941" s="39"/>
      <c r="S1941" s="39"/>
      <c r="T1941" s="39"/>
      <c r="U1941" s="39">
        <v>0.33</v>
      </c>
      <c r="V1941" s="39"/>
      <c r="W1941" s="39"/>
      <c r="X1941" s="49" t="s">
        <v>77</v>
      </c>
      <c r="Y1941" s="50">
        <v>46020</v>
      </c>
      <c r="Z1941" s="51">
        <v>44680</v>
      </c>
      <c r="AA1941" s="52">
        <f t="shared" si="48"/>
        <v>0.970882225119513</v>
      </c>
      <c r="AB1941" s="12">
        <v>44560</v>
      </c>
      <c r="AC1941" s="12">
        <v>120</v>
      </c>
      <c r="AD1941" s="43"/>
      <c r="AE1941" s="43"/>
      <c r="AF1941" s="43"/>
      <c r="AG1941" s="19">
        <v>64</v>
      </c>
      <c r="AH1941" s="43"/>
      <c r="AI1941" s="43"/>
      <c r="AJ1941" s="43"/>
      <c r="AK1941" s="43"/>
      <c r="AL1941" s="43"/>
      <c r="AM1941" s="43"/>
      <c r="AN1941" s="19">
        <v>56</v>
      </c>
      <c r="AO1941" s="43"/>
      <c r="AP1941" s="43"/>
      <c r="AQ1941" s="43"/>
      <c r="AR1941" s="43"/>
      <c r="AS1941" s="43"/>
      <c r="AT1941" s="43"/>
      <c r="AU1941" s="43"/>
      <c r="AV1941" s="43"/>
    </row>
    <row r="1942" ht="15.75" spans="1:48">
      <c r="A1942" s="12">
        <v>1938</v>
      </c>
      <c r="B1942" s="44">
        <v>4352</v>
      </c>
      <c r="C1942" s="45" t="s">
        <v>132</v>
      </c>
      <c r="D1942" s="46" t="s">
        <v>129</v>
      </c>
      <c r="E1942" s="47" t="s">
        <v>50</v>
      </c>
      <c r="F1942" s="48">
        <v>10.33</v>
      </c>
      <c r="G1942" s="38">
        <v>1.67</v>
      </c>
      <c r="H1942" s="39"/>
      <c r="I1942" s="39"/>
      <c r="J1942" s="39"/>
      <c r="K1942" s="39">
        <v>0.33</v>
      </c>
      <c r="L1942" s="39"/>
      <c r="M1942" s="39"/>
      <c r="N1942" s="39"/>
      <c r="O1942" s="39"/>
      <c r="P1942" s="39"/>
      <c r="Q1942" s="39">
        <v>1.17</v>
      </c>
      <c r="R1942" s="39"/>
      <c r="S1942" s="39"/>
      <c r="T1942" s="39"/>
      <c r="U1942" s="39">
        <v>0.17</v>
      </c>
      <c r="V1942" s="39"/>
      <c r="W1942" s="39"/>
      <c r="X1942" s="49" t="s">
        <v>220</v>
      </c>
      <c r="Y1942" s="50">
        <v>18594</v>
      </c>
      <c r="Z1942" s="51">
        <v>15642</v>
      </c>
      <c r="AA1942" s="52">
        <f t="shared" ref="AA1942:AA1971" si="49">IFERROR(Z1942/Y1942,0)</f>
        <v>0.841239109390126</v>
      </c>
      <c r="AB1942" s="12">
        <v>15624</v>
      </c>
      <c r="AC1942" s="12">
        <v>18</v>
      </c>
      <c r="AD1942" s="43"/>
      <c r="AE1942" s="43"/>
      <c r="AF1942" s="43"/>
      <c r="AG1942" s="19">
        <v>18</v>
      </c>
      <c r="AH1942" s="43"/>
      <c r="AI1942" s="43"/>
      <c r="AJ1942" s="43"/>
      <c r="AK1942" s="43"/>
      <c r="AL1942" s="43"/>
      <c r="AM1942" s="43"/>
      <c r="AN1942" s="43"/>
      <c r="AO1942" s="43"/>
      <c r="AP1942" s="43"/>
      <c r="AQ1942" s="43"/>
      <c r="AR1942" s="43"/>
      <c r="AS1942" s="43"/>
      <c r="AT1942" s="43"/>
      <c r="AU1942" s="43"/>
      <c r="AV1942" s="43"/>
    </row>
    <row r="1943" ht="15.75" spans="1:48">
      <c r="A1943" s="12">
        <v>1939</v>
      </c>
      <c r="B1943" s="44">
        <v>4496</v>
      </c>
      <c r="C1943" s="45" t="s">
        <v>133</v>
      </c>
      <c r="D1943" s="46" t="s">
        <v>138</v>
      </c>
      <c r="E1943" s="47" t="s">
        <v>50</v>
      </c>
      <c r="F1943" s="48">
        <v>4.33</v>
      </c>
      <c r="G1943" s="38">
        <v>1.33</v>
      </c>
      <c r="H1943" s="39"/>
      <c r="I1943" s="39"/>
      <c r="J1943" s="39"/>
      <c r="K1943" s="39">
        <v>0.33</v>
      </c>
      <c r="L1943" s="39"/>
      <c r="M1943" s="39"/>
      <c r="N1943" s="39"/>
      <c r="O1943" s="39"/>
      <c r="P1943" s="39"/>
      <c r="Q1943" s="39">
        <v>0.83</v>
      </c>
      <c r="R1943" s="39"/>
      <c r="S1943" s="39"/>
      <c r="T1943" s="39"/>
      <c r="U1943" s="39">
        <v>0.17</v>
      </c>
      <c r="V1943" s="39"/>
      <c r="W1943" s="39"/>
      <c r="X1943" s="49" t="s">
        <v>82</v>
      </c>
      <c r="Y1943" s="50">
        <v>7036.25</v>
      </c>
      <c r="Z1943" s="51">
        <v>7160</v>
      </c>
      <c r="AA1943" s="52">
        <f t="shared" si="49"/>
        <v>1.01758749333807</v>
      </c>
      <c r="AB1943" s="12">
        <v>7160</v>
      </c>
      <c r="AC1943" s="12">
        <v>0</v>
      </c>
      <c r="AD1943" s="43"/>
      <c r="AE1943" s="43"/>
      <c r="AF1943" s="43"/>
      <c r="AG1943" s="43"/>
      <c r="AH1943" s="43"/>
      <c r="AI1943" s="43"/>
      <c r="AJ1943" s="43"/>
      <c r="AK1943" s="43"/>
      <c r="AL1943" s="43"/>
      <c r="AM1943" s="43"/>
      <c r="AN1943" s="43"/>
      <c r="AO1943" s="43"/>
      <c r="AP1943" s="43"/>
      <c r="AQ1943" s="43"/>
      <c r="AR1943" s="43"/>
      <c r="AS1943" s="43"/>
      <c r="AT1943" s="43"/>
      <c r="AU1943" s="43"/>
      <c r="AV1943" s="43"/>
    </row>
    <row r="1944" ht="15.75" spans="1:48">
      <c r="A1944" s="12">
        <v>1940</v>
      </c>
      <c r="B1944" s="44">
        <v>4496</v>
      </c>
      <c r="C1944" s="45" t="s">
        <v>133</v>
      </c>
      <c r="D1944" s="46" t="s">
        <v>138</v>
      </c>
      <c r="E1944" s="47" t="s">
        <v>50</v>
      </c>
      <c r="F1944" s="48">
        <v>2.33</v>
      </c>
      <c r="G1944" s="38">
        <v>0</v>
      </c>
      <c r="H1944" s="39"/>
      <c r="I1944" s="39"/>
      <c r="J1944" s="39"/>
      <c r="K1944" s="39"/>
      <c r="L1944" s="39"/>
      <c r="M1944" s="39"/>
      <c r="N1944" s="39"/>
      <c r="O1944" s="39"/>
      <c r="P1944" s="39"/>
      <c r="Q1944" s="39"/>
      <c r="R1944" s="39"/>
      <c r="S1944" s="39"/>
      <c r="T1944" s="39"/>
      <c r="U1944" s="39"/>
      <c r="V1944" s="39"/>
      <c r="W1944" s="39"/>
      <c r="X1944" s="49" t="s">
        <v>74</v>
      </c>
      <c r="Y1944" s="50">
        <v>3786.25</v>
      </c>
      <c r="Z1944" s="51">
        <v>3680</v>
      </c>
      <c r="AA1944" s="52">
        <f t="shared" si="49"/>
        <v>0.971937933311324</v>
      </c>
      <c r="AB1944" s="12">
        <v>3680</v>
      </c>
      <c r="AC1944" s="12">
        <v>0</v>
      </c>
      <c r="AD1944" s="43"/>
      <c r="AE1944" s="43"/>
      <c r="AF1944" s="43"/>
      <c r="AG1944" s="43"/>
      <c r="AH1944" s="43"/>
      <c r="AI1944" s="43"/>
      <c r="AJ1944" s="43"/>
      <c r="AK1944" s="43"/>
      <c r="AL1944" s="43"/>
      <c r="AM1944" s="43"/>
      <c r="AN1944" s="43"/>
      <c r="AO1944" s="43"/>
      <c r="AP1944" s="43"/>
      <c r="AQ1944" s="43"/>
      <c r="AR1944" s="43"/>
      <c r="AS1944" s="43"/>
      <c r="AT1944" s="43"/>
      <c r="AU1944" s="43"/>
      <c r="AV1944" s="43"/>
    </row>
    <row r="1945" ht="15.75" spans="1:48">
      <c r="A1945" s="12">
        <v>1941</v>
      </c>
      <c r="B1945" s="44">
        <v>4335</v>
      </c>
      <c r="C1945" s="45" t="s">
        <v>154</v>
      </c>
      <c r="D1945" s="46"/>
      <c r="E1945" s="47" t="s">
        <v>50</v>
      </c>
      <c r="F1945" s="48">
        <v>7.17</v>
      </c>
      <c r="G1945" s="38">
        <v>0.83</v>
      </c>
      <c r="H1945" s="39"/>
      <c r="I1945" s="39"/>
      <c r="J1945" s="39"/>
      <c r="K1945" s="39"/>
      <c r="L1945" s="39"/>
      <c r="M1945" s="39"/>
      <c r="N1945" s="39"/>
      <c r="O1945" s="39"/>
      <c r="P1945" s="39"/>
      <c r="Q1945" s="39">
        <v>0.83</v>
      </c>
      <c r="R1945" s="39"/>
      <c r="S1945" s="39"/>
      <c r="T1945" s="39"/>
      <c r="U1945" s="39"/>
      <c r="V1945" s="39"/>
      <c r="W1945" s="39"/>
      <c r="X1945" s="49" t="s">
        <v>155</v>
      </c>
      <c r="Y1945" s="50">
        <v>0</v>
      </c>
      <c r="Z1945" s="51"/>
      <c r="AA1945" s="52">
        <f t="shared" si="49"/>
        <v>0</v>
      </c>
      <c r="AB1945" s="12">
        <v>0</v>
      </c>
      <c r="AC1945" s="12">
        <v>0</v>
      </c>
      <c r="AD1945" s="43"/>
      <c r="AE1945" s="43"/>
      <c r="AF1945" s="43"/>
      <c r="AG1945" s="43"/>
      <c r="AH1945" s="43"/>
      <c r="AI1945" s="43"/>
      <c r="AJ1945" s="43"/>
      <c r="AK1945" s="43"/>
      <c r="AL1945" s="43"/>
      <c r="AM1945" s="43"/>
      <c r="AN1945" s="43"/>
      <c r="AO1945" s="43"/>
      <c r="AP1945" s="43"/>
      <c r="AQ1945" s="43"/>
      <c r="AR1945" s="43"/>
      <c r="AS1945" s="43"/>
      <c r="AT1945" s="43"/>
      <c r="AU1945" s="43"/>
      <c r="AV1945" s="43"/>
    </row>
    <row r="1946" ht="15.75" spans="1:48">
      <c r="A1946" s="12">
        <v>1942</v>
      </c>
      <c r="B1946" s="69" t="s">
        <v>312</v>
      </c>
      <c r="C1946" s="45" t="s">
        <v>313</v>
      </c>
      <c r="D1946" s="46"/>
      <c r="E1946" s="47" t="s">
        <v>50</v>
      </c>
      <c r="F1946" s="48">
        <v>4.67</v>
      </c>
      <c r="G1946" s="38">
        <v>0.83</v>
      </c>
      <c r="H1946" s="39"/>
      <c r="I1946" s="39"/>
      <c r="J1946" s="39"/>
      <c r="K1946" s="39"/>
      <c r="L1946" s="39"/>
      <c r="M1946" s="39"/>
      <c r="N1946" s="39"/>
      <c r="O1946" s="39"/>
      <c r="P1946" s="39"/>
      <c r="Q1946" s="39">
        <v>0.83</v>
      </c>
      <c r="R1946" s="39"/>
      <c r="S1946" s="39"/>
      <c r="T1946" s="39"/>
      <c r="U1946" s="39"/>
      <c r="V1946" s="39"/>
      <c r="W1946" s="39"/>
      <c r="X1946" s="49" t="s">
        <v>90</v>
      </c>
      <c r="Y1946" s="50">
        <v>2194.9</v>
      </c>
      <c r="Z1946" s="51">
        <v>720</v>
      </c>
      <c r="AA1946" s="52">
        <f t="shared" si="49"/>
        <v>0.328033167798077</v>
      </c>
      <c r="AB1946" s="12">
        <v>720</v>
      </c>
      <c r="AC1946" s="12">
        <v>0</v>
      </c>
      <c r="AD1946" s="43"/>
      <c r="AE1946" s="43"/>
      <c r="AF1946" s="43"/>
      <c r="AG1946" s="43"/>
      <c r="AH1946" s="43"/>
      <c r="AI1946" s="43"/>
      <c r="AJ1946" s="43"/>
      <c r="AK1946" s="43"/>
      <c r="AL1946" s="43"/>
      <c r="AM1946" s="43"/>
      <c r="AN1946" s="43"/>
      <c r="AO1946" s="43"/>
      <c r="AP1946" s="43"/>
      <c r="AQ1946" s="43"/>
      <c r="AR1946" s="43"/>
      <c r="AS1946" s="43"/>
      <c r="AT1946" s="43"/>
      <c r="AU1946" s="43"/>
      <c r="AV1946" s="43"/>
    </row>
    <row r="1947" ht="15.75" spans="1:48">
      <c r="A1947" s="12">
        <v>1943</v>
      </c>
      <c r="B1947" s="69" t="s">
        <v>333</v>
      </c>
      <c r="C1947" s="45" t="s">
        <v>334</v>
      </c>
      <c r="D1947" s="46">
        <v>21</v>
      </c>
      <c r="E1947" s="47" t="s">
        <v>50</v>
      </c>
      <c r="F1947" s="48">
        <v>7.17</v>
      </c>
      <c r="G1947" s="38">
        <v>0.83</v>
      </c>
      <c r="H1947" s="39"/>
      <c r="I1947" s="39"/>
      <c r="J1947" s="39"/>
      <c r="K1947" s="39"/>
      <c r="L1947" s="39"/>
      <c r="M1947" s="39"/>
      <c r="N1947" s="39"/>
      <c r="O1947" s="39"/>
      <c r="P1947" s="39"/>
      <c r="Q1947" s="39">
        <v>0.83</v>
      </c>
      <c r="R1947" s="39"/>
      <c r="S1947" s="39"/>
      <c r="T1947" s="39"/>
      <c r="U1947" s="39"/>
      <c r="V1947" s="39"/>
      <c r="W1947" s="39"/>
      <c r="X1947" s="49" t="s">
        <v>96</v>
      </c>
      <c r="Y1947" s="50">
        <v>10396.5</v>
      </c>
      <c r="Z1947" s="51">
        <v>5900</v>
      </c>
      <c r="AA1947" s="52">
        <f t="shared" si="49"/>
        <v>0.567498677439523</v>
      </c>
      <c r="AB1947" s="12">
        <v>5900</v>
      </c>
      <c r="AC1947" s="12">
        <v>0</v>
      </c>
      <c r="AD1947" s="43"/>
      <c r="AE1947" s="43"/>
      <c r="AF1947" s="43"/>
      <c r="AG1947" s="43"/>
      <c r="AH1947" s="43"/>
      <c r="AI1947" s="43"/>
      <c r="AJ1947" s="43"/>
      <c r="AK1947" s="43"/>
      <c r="AL1947" s="43"/>
      <c r="AM1947" s="43"/>
      <c r="AN1947" s="43"/>
      <c r="AO1947" s="43"/>
      <c r="AP1947" s="43"/>
      <c r="AQ1947" s="43"/>
      <c r="AR1947" s="43"/>
      <c r="AS1947" s="43"/>
      <c r="AT1947" s="43"/>
      <c r="AU1947" s="43"/>
      <c r="AV1947" s="43"/>
    </row>
    <row r="1948" ht="15.75" spans="1:48">
      <c r="A1948" s="12">
        <v>1944</v>
      </c>
      <c r="B1948" s="69" t="s">
        <v>320</v>
      </c>
      <c r="C1948" s="45" t="s">
        <v>321</v>
      </c>
      <c r="D1948" s="46">
        <v>18</v>
      </c>
      <c r="E1948" s="47" t="s">
        <v>50</v>
      </c>
      <c r="F1948" s="48">
        <v>7.17</v>
      </c>
      <c r="G1948" s="38">
        <v>0.83</v>
      </c>
      <c r="H1948" s="39"/>
      <c r="I1948" s="39"/>
      <c r="J1948" s="39"/>
      <c r="K1948" s="39"/>
      <c r="L1948" s="39"/>
      <c r="M1948" s="39"/>
      <c r="N1948" s="39"/>
      <c r="O1948" s="39"/>
      <c r="P1948" s="39"/>
      <c r="Q1948" s="39">
        <v>0.83</v>
      </c>
      <c r="R1948" s="39"/>
      <c r="S1948" s="39"/>
      <c r="T1948" s="39"/>
      <c r="U1948" s="39"/>
      <c r="V1948" s="39"/>
      <c r="W1948" s="39"/>
      <c r="X1948" s="49">
        <v>9968</v>
      </c>
      <c r="Y1948" s="50">
        <v>4337.85</v>
      </c>
      <c r="Z1948" s="51">
        <v>2183</v>
      </c>
      <c r="AA1948" s="52">
        <f t="shared" si="49"/>
        <v>0.503244694952569</v>
      </c>
      <c r="AB1948" s="12">
        <v>2128</v>
      </c>
      <c r="AC1948" s="12">
        <v>55</v>
      </c>
      <c r="AD1948" s="19">
        <v>55</v>
      </c>
      <c r="AE1948" s="43"/>
      <c r="AF1948" s="43"/>
      <c r="AG1948" s="43"/>
      <c r="AH1948" s="43"/>
      <c r="AI1948" s="43"/>
      <c r="AJ1948" s="43"/>
      <c r="AK1948" s="43"/>
      <c r="AL1948" s="43"/>
      <c r="AM1948" s="43"/>
      <c r="AN1948" s="43"/>
      <c r="AO1948" s="43"/>
      <c r="AP1948" s="43"/>
      <c r="AQ1948" s="43"/>
      <c r="AR1948" s="43"/>
      <c r="AS1948" s="43"/>
      <c r="AT1948" s="43"/>
      <c r="AU1948" s="43"/>
      <c r="AV1948" s="43"/>
    </row>
    <row r="1949" ht="15.75" spans="1:48">
      <c r="A1949" s="12">
        <v>1945</v>
      </c>
      <c r="B1949" s="70" t="s">
        <v>317</v>
      </c>
      <c r="C1949" s="45" t="s">
        <v>318</v>
      </c>
      <c r="D1949" s="46">
        <v>5</v>
      </c>
      <c r="E1949" s="47" t="s">
        <v>50</v>
      </c>
      <c r="F1949" s="48">
        <v>7.17</v>
      </c>
      <c r="G1949" s="38">
        <v>0.83</v>
      </c>
      <c r="H1949" s="39"/>
      <c r="I1949" s="39"/>
      <c r="J1949" s="39"/>
      <c r="K1949" s="39"/>
      <c r="L1949" s="39"/>
      <c r="M1949" s="39"/>
      <c r="N1949" s="39"/>
      <c r="O1949" s="39"/>
      <c r="P1949" s="39"/>
      <c r="Q1949" s="39">
        <v>0.83</v>
      </c>
      <c r="R1949" s="39"/>
      <c r="S1949" s="39"/>
      <c r="T1949" s="39"/>
      <c r="U1949" s="39"/>
      <c r="V1949" s="39"/>
      <c r="W1949" s="39"/>
      <c r="X1949" s="49">
        <v>5770</v>
      </c>
      <c r="Y1949" s="50">
        <v>4337.85</v>
      </c>
      <c r="Z1949" s="51">
        <v>2663</v>
      </c>
      <c r="AA1949" s="52">
        <f t="shared" si="49"/>
        <v>0.613898590315479</v>
      </c>
      <c r="AB1949" s="12">
        <v>2568</v>
      </c>
      <c r="AC1949" s="12">
        <v>95</v>
      </c>
      <c r="AD1949" s="19">
        <v>95</v>
      </c>
      <c r="AE1949" s="43"/>
      <c r="AF1949" s="43"/>
      <c r="AG1949" s="43"/>
      <c r="AH1949" s="43"/>
      <c r="AI1949" s="43"/>
      <c r="AJ1949" s="43"/>
      <c r="AK1949" s="43"/>
      <c r="AL1949" s="43"/>
      <c r="AM1949" s="43"/>
      <c r="AN1949" s="43"/>
      <c r="AO1949" s="43"/>
      <c r="AP1949" s="43"/>
      <c r="AQ1949" s="43"/>
      <c r="AR1949" s="43"/>
      <c r="AS1949" s="43"/>
      <c r="AT1949" s="43"/>
      <c r="AU1949" s="43"/>
      <c r="AV1949" s="43"/>
    </row>
    <row r="1950" ht="15.75" spans="1:48">
      <c r="A1950" s="12">
        <v>1946</v>
      </c>
      <c r="B1950" s="69" t="s">
        <v>315</v>
      </c>
      <c r="C1950" s="45" t="s">
        <v>316</v>
      </c>
      <c r="D1950" s="46">
        <v>6</v>
      </c>
      <c r="E1950" s="47" t="s">
        <v>50</v>
      </c>
      <c r="F1950" s="48">
        <v>6.17</v>
      </c>
      <c r="G1950" s="38">
        <v>0.83</v>
      </c>
      <c r="H1950" s="39"/>
      <c r="I1950" s="39"/>
      <c r="J1950" s="39"/>
      <c r="K1950" s="39"/>
      <c r="L1950" s="39"/>
      <c r="M1950" s="39"/>
      <c r="N1950" s="39"/>
      <c r="O1950" s="39"/>
      <c r="P1950" s="39"/>
      <c r="Q1950" s="39">
        <v>0.83</v>
      </c>
      <c r="R1950" s="39"/>
      <c r="S1950" s="39"/>
      <c r="T1950" s="39"/>
      <c r="U1950" s="39"/>
      <c r="V1950" s="39"/>
      <c r="W1950" s="39"/>
      <c r="X1950" s="49">
        <v>5770</v>
      </c>
      <c r="Y1950" s="50">
        <v>3732.85</v>
      </c>
      <c r="Z1950" s="51">
        <v>1110</v>
      </c>
      <c r="AA1950" s="52">
        <f t="shared" si="49"/>
        <v>0.297359926061856</v>
      </c>
      <c r="AB1950" s="12">
        <v>1020</v>
      </c>
      <c r="AC1950" s="12">
        <v>90</v>
      </c>
      <c r="AD1950" s="19">
        <v>90</v>
      </c>
      <c r="AE1950" s="43"/>
      <c r="AF1950" s="43"/>
      <c r="AG1950" s="43"/>
      <c r="AH1950" s="43"/>
      <c r="AI1950" s="43"/>
      <c r="AJ1950" s="43"/>
      <c r="AK1950" s="43"/>
      <c r="AL1950" s="43"/>
      <c r="AM1950" s="43"/>
      <c r="AN1950" s="43"/>
      <c r="AO1950" s="43"/>
      <c r="AP1950" s="43"/>
      <c r="AQ1950" s="43"/>
      <c r="AR1950" s="43"/>
      <c r="AS1950" s="43"/>
      <c r="AT1950" s="43"/>
      <c r="AU1950" s="43"/>
      <c r="AV1950" s="43"/>
    </row>
    <row r="1951" ht="15.75" spans="1:48">
      <c r="A1951" s="12">
        <v>1947</v>
      </c>
      <c r="B1951" s="70" t="s">
        <v>322</v>
      </c>
      <c r="C1951" s="45" t="s">
        <v>323</v>
      </c>
      <c r="D1951" s="46">
        <v>2</v>
      </c>
      <c r="E1951" s="47" t="s">
        <v>50</v>
      </c>
      <c r="F1951" s="48">
        <v>7.17</v>
      </c>
      <c r="G1951" s="38">
        <v>0.83</v>
      </c>
      <c r="H1951" s="39"/>
      <c r="I1951" s="39"/>
      <c r="J1951" s="39"/>
      <c r="K1951" s="39"/>
      <c r="L1951" s="39"/>
      <c r="M1951" s="39"/>
      <c r="N1951" s="39"/>
      <c r="O1951" s="39"/>
      <c r="P1951" s="39"/>
      <c r="Q1951" s="39">
        <v>0.83</v>
      </c>
      <c r="R1951" s="39"/>
      <c r="S1951" s="39"/>
      <c r="T1951" s="39"/>
      <c r="U1951" s="39"/>
      <c r="V1951" s="39"/>
      <c r="W1951" s="39"/>
      <c r="X1951" s="49">
        <v>1080</v>
      </c>
      <c r="Y1951" s="50">
        <v>4732.2</v>
      </c>
      <c r="Z1951" s="51">
        <v>1500</v>
      </c>
      <c r="AA1951" s="52">
        <f t="shared" si="49"/>
        <v>0.316977304425003</v>
      </c>
      <c r="AB1951" s="12">
        <v>1445</v>
      </c>
      <c r="AC1951" s="12">
        <v>55</v>
      </c>
      <c r="AD1951" s="19">
        <v>55</v>
      </c>
      <c r="AE1951" s="43"/>
      <c r="AF1951" s="43"/>
      <c r="AG1951" s="43"/>
      <c r="AH1951" s="43"/>
      <c r="AI1951" s="43"/>
      <c r="AJ1951" s="43"/>
      <c r="AK1951" s="43"/>
      <c r="AL1951" s="43"/>
      <c r="AM1951" s="43"/>
      <c r="AN1951" s="43"/>
      <c r="AO1951" s="43"/>
      <c r="AP1951" s="43"/>
      <c r="AQ1951" s="43"/>
      <c r="AR1951" s="43"/>
      <c r="AS1951" s="43"/>
      <c r="AT1951" s="43"/>
      <c r="AU1951" s="43"/>
      <c r="AV1951" s="43"/>
    </row>
    <row r="1952" ht="15.75" spans="1:48">
      <c r="A1952" s="12">
        <v>1948</v>
      </c>
      <c r="B1952" s="44">
        <v>2865</v>
      </c>
      <c r="C1952" s="45" t="s">
        <v>149</v>
      </c>
      <c r="D1952" s="46">
        <v>15</v>
      </c>
      <c r="E1952" s="47" t="s">
        <v>50</v>
      </c>
      <c r="F1952" s="48">
        <v>7.83</v>
      </c>
      <c r="G1952" s="38">
        <v>3.17</v>
      </c>
      <c r="H1952" s="39"/>
      <c r="I1952" s="39"/>
      <c r="J1952" s="39"/>
      <c r="K1952" s="39">
        <v>0.33</v>
      </c>
      <c r="L1952" s="39"/>
      <c r="M1952" s="39"/>
      <c r="N1952" s="39"/>
      <c r="O1952" s="39"/>
      <c r="P1952" s="39"/>
      <c r="Q1952" s="39">
        <v>1.17</v>
      </c>
      <c r="R1952" s="39"/>
      <c r="S1952" s="39">
        <v>0.83</v>
      </c>
      <c r="T1952" s="39">
        <v>0.67</v>
      </c>
      <c r="U1952" s="39">
        <v>0.17</v>
      </c>
      <c r="V1952" s="39"/>
      <c r="W1952" s="39"/>
      <c r="X1952" s="49">
        <v>3880</v>
      </c>
      <c r="Y1952" s="50">
        <v>3132</v>
      </c>
      <c r="Z1952" s="51">
        <v>2815</v>
      </c>
      <c r="AA1952" s="52">
        <f t="shared" si="49"/>
        <v>0.898786717752235</v>
      </c>
      <c r="AB1952" s="12">
        <v>2599</v>
      </c>
      <c r="AC1952" s="12">
        <v>216</v>
      </c>
      <c r="AD1952" s="19">
        <v>216</v>
      </c>
      <c r="AE1952" s="43"/>
      <c r="AF1952" s="43"/>
      <c r="AG1952" s="43"/>
      <c r="AH1952" s="43"/>
      <c r="AI1952" s="43"/>
      <c r="AJ1952" s="43"/>
      <c r="AK1952" s="43"/>
      <c r="AL1952" s="43"/>
      <c r="AM1952" s="43"/>
      <c r="AN1952" s="43"/>
      <c r="AO1952" s="43"/>
      <c r="AP1952" s="43"/>
      <c r="AQ1952" s="43"/>
      <c r="AR1952" s="43"/>
      <c r="AS1952" s="43"/>
      <c r="AT1952" s="43"/>
      <c r="AU1952" s="43"/>
      <c r="AV1952" s="43"/>
    </row>
    <row r="1953" ht="15.75" spans="1:48">
      <c r="A1953" s="12">
        <v>1949</v>
      </c>
      <c r="B1953" s="44">
        <v>551</v>
      </c>
      <c r="C1953" s="45" t="s">
        <v>146</v>
      </c>
      <c r="D1953" s="46"/>
      <c r="E1953" s="47" t="s">
        <v>50</v>
      </c>
      <c r="F1953" s="48">
        <v>9</v>
      </c>
      <c r="G1953" s="38">
        <v>1.34</v>
      </c>
      <c r="H1953" s="39"/>
      <c r="I1953" s="39"/>
      <c r="J1953" s="39"/>
      <c r="K1953" s="39"/>
      <c r="L1953" s="39"/>
      <c r="M1953" s="39"/>
      <c r="N1953" s="39"/>
      <c r="O1953" s="39"/>
      <c r="P1953" s="39"/>
      <c r="Q1953" s="39">
        <v>1.17</v>
      </c>
      <c r="R1953" s="39"/>
      <c r="S1953" s="39"/>
      <c r="T1953" s="39"/>
      <c r="U1953" s="39">
        <v>0.17</v>
      </c>
      <c r="V1953" s="39"/>
      <c r="W1953" s="39"/>
      <c r="X1953" s="49" t="s">
        <v>222</v>
      </c>
      <c r="Y1953" s="50">
        <v>13050</v>
      </c>
      <c r="Z1953" s="51">
        <v>13050</v>
      </c>
      <c r="AA1953" s="52">
        <f t="shared" si="49"/>
        <v>1</v>
      </c>
      <c r="AB1953" s="12">
        <v>13027</v>
      </c>
      <c r="AC1953" s="12">
        <v>23</v>
      </c>
      <c r="AD1953" s="19">
        <v>23</v>
      </c>
      <c r="AE1953" s="43"/>
      <c r="AF1953" s="43"/>
      <c r="AG1953" s="43"/>
      <c r="AH1953" s="43"/>
      <c r="AI1953" s="43"/>
      <c r="AJ1953" s="43"/>
      <c r="AK1953" s="43"/>
      <c r="AL1953" s="43"/>
      <c r="AM1953" s="43"/>
      <c r="AN1953" s="43"/>
      <c r="AO1953" s="43"/>
      <c r="AP1953" s="43"/>
      <c r="AQ1953" s="43"/>
      <c r="AR1953" s="43"/>
      <c r="AS1953" s="43"/>
      <c r="AT1953" s="43"/>
      <c r="AU1953" s="43"/>
      <c r="AV1953" s="43"/>
    </row>
    <row r="1954" ht="15.75" spans="1:48">
      <c r="A1954" s="12">
        <v>1950</v>
      </c>
      <c r="B1954" s="44">
        <v>4384</v>
      </c>
      <c r="C1954" s="45" t="s">
        <v>145</v>
      </c>
      <c r="D1954" s="46">
        <v>5</v>
      </c>
      <c r="E1954" s="47" t="s">
        <v>50</v>
      </c>
      <c r="F1954" s="48">
        <v>1.17</v>
      </c>
      <c r="G1954" s="38">
        <v>1.5</v>
      </c>
      <c r="H1954" s="39"/>
      <c r="I1954" s="39"/>
      <c r="J1954" s="39"/>
      <c r="K1954" s="39"/>
      <c r="L1954" s="39"/>
      <c r="M1954" s="39"/>
      <c r="N1954" s="39"/>
      <c r="O1954" s="39"/>
      <c r="P1954" s="39"/>
      <c r="Q1954" s="39">
        <v>1.17</v>
      </c>
      <c r="R1954" s="39"/>
      <c r="S1954" s="39"/>
      <c r="T1954" s="39">
        <v>0.33</v>
      </c>
      <c r="U1954" s="39"/>
      <c r="V1954" s="39"/>
      <c r="W1954" s="39"/>
      <c r="X1954" s="49">
        <v>5770</v>
      </c>
      <c r="Y1954" s="50">
        <v>707.85</v>
      </c>
      <c r="Z1954" s="51">
        <v>720</v>
      </c>
      <c r="AA1954" s="52">
        <f t="shared" si="49"/>
        <v>1.01716465352829</v>
      </c>
      <c r="AB1954" s="12">
        <v>720</v>
      </c>
      <c r="AC1954" s="12">
        <v>0</v>
      </c>
      <c r="AD1954" s="43"/>
      <c r="AE1954" s="43"/>
      <c r="AF1954" s="43"/>
      <c r="AG1954" s="43"/>
      <c r="AH1954" s="43"/>
      <c r="AI1954" s="43"/>
      <c r="AJ1954" s="43"/>
      <c r="AK1954" s="43"/>
      <c r="AL1954" s="43"/>
      <c r="AM1954" s="43"/>
      <c r="AN1954" s="43"/>
      <c r="AO1954" s="43"/>
      <c r="AP1954" s="43"/>
      <c r="AQ1954" s="43"/>
      <c r="AR1954" s="43"/>
      <c r="AS1954" s="43"/>
      <c r="AT1954" s="43"/>
      <c r="AU1954" s="43"/>
      <c r="AV1954" s="43"/>
    </row>
    <row r="1955" ht="15.75" spans="1:48">
      <c r="A1955" s="12">
        <v>1951</v>
      </c>
      <c r="B1955" s="44">
        <v>4342</v>
      </c>
      <c r="C1955" s="45" t="s">
        <v>147</v>
      </c>
      <c r="D1955" s="46"/>
      <c r="E1955" s="47" t="s">
        <v>50</v>
      </c>
      <c r="F1955" s="48">
        <v>10</v>
      </c>
      <c r="G1955" s="38">
        <v>2.01</v>
      </c>
      <c r="H1955" s="39"/>
      <c r="I1955" s="39"/>
      <c r="J1955" s="39"/>
      <c r="K1955" s="39"/>
      <c r="L1955" s="39"/>
      <c r="M1955" s="39"/>
      <c r="N1955" s="39"/>
      <c r="O1955" s="39"/>
      <c r="P1955" s="39"/>
      <c r="Q1955" s="39">
        <v>1.17</v>
      </c>
      <c r="R1955" s="39"/>
      <c r="S1955" s="39">
        <v>0.67</v>
      </c>
      <c r="T1955" s="39"/>
      <c r="U1955" s="39">
        <v>0.17</v>
      </c>
      <c r="V1955" s="39"/>
      <c r="W1955" s="39"/>
      <c r="X1955" s="49" t="s">
        <v>98</v>
      </c>
      <c r="Y1955" s="50">
        <v>4700</v>
      </c>
      <c r="Z1955" s="51">
        <v>4500</v>
      </c>
      <c r="AA1955" s="52">
        <f t="shared" si="49"/>
        <v>0.957446808510638</v>
      </c>
      <c r="AB1955" s="12">
        <v>4500</v>
      </c>
      <c r="AC1955" s="12">
        <v>0</v>
      </c>
      <c r="AD1955" s="43"/>
      <c r="AE1955" s="43"/>
      <c r="AF1955" s="43"/>
      <c r="AG1955" s="43"/>
      <c r="AH1955" s="43"/>
      <c r="AI1955" s="43"/>
      <c r="AJ1955" s="43"/>
      <c r="AK1955" s="43"/>
      <c r="AL1955" s="43"/>
      <c r="AM1955" s="43"/>
      <c r="AN1955" s="43"/>
      <c r="AO1955" s="43"/>
      <c r="AP1955" s="43"/>
      <c r="AQ1955" s="43"/>
      <c r="AR1955" s="43"/>
      <c r="AS1955" s="43"/>
      <c r="AT1955" s="43"/>
      <c r="AU1955" s="43"/>
      <c r="AV1955" s="43"/>
    </row>
    <row r="1956" ht="15.75" spans="1:48">
      <c r="A1956" s="12">
        <v>1952</v>
      </c>
      <c r="B1956" s="44">
        <v>4110</v>
      </c>
      <c r="C1956" s="45" t="s">
        <v>135</v>
      </c>
      <c r="D1956" s="46">
        <v>18</v>
      </c>
      <c r="E1956" s="47" t="s">
        <v>50</v>
      </c>
      <c r="F1956" s="48">
        <v>0.83</v>
      </c>
      <c r="G1956" s="38">
        <v>3.17</v>
      </c>
      <c r="H1956" s="39"/>
      <c r="I1956" s="39"/>
      <c r="J1956" s="39">
        <v>0.17</v>
      </c>
      <c r="K1956" s="39"/>
      <c r="L1956" s="39"/>
      <c r="M1956" s="39"/>
      <c r="N1956" s="39"/>
      <c r="O1956" s="39"/>
      <c r="P1956" s="39"/>
      <c r="Q1956" s="39">
        <v>1.17</v>
      </c>
      <c r="R1956" s="39"/>
      <c r="S1956" s="39">
        <v>0.83</v>
      </c>
      <c r="T1956" s="39"/>
      <c r="U1956" s="39">
        <v>1</v>
      </c>
      <c r="V1956" s="39"/>
      <c r="W1956" s="39"/>
      <c r="X1956" s="49">
        <v>9968</v>
      </c>
      <c r="Y1956" s="50">
        <v>502.15</v>
      </c>
      <c r="Z1956" s="51">
        <v>480</v>
      </c>
      <c r="AA1956" s="52">
        <f t="shared" si="49"/>
        <v>0.95588967440008</v>
      </c>
      <c r="AB1956" s="12">
        <v>480</v>
      </c>
      <c r="AC1956" s="12">
        <v>0</v>
      </c>
      <c r="AD1956" s="43"/>
      <c r="AE1956" s="43"/>
      <c r="AF1956" s="43"/>
      <c r="AG1956" s="43"/>
      <c r="AH1956" s="43"/>
      <c r="AI1956" s="43"/>
      <c r="AJ1956" s="43"/>
      <c r="AK1956" s="43"/>
      <c r="AL1956" s="43"/>
      <c r="AM1956" s="43"/>
      <c r="AN1956" s="43"/>
      <c r="AO1956" s="43"/>
      <c r="AP1956" s="43"/>
      <c r="AQ1956" s="43"/>
      <c r="AR1956" s="43"/>
      <c r="AS1956" s="43"/>
      <c r="AT1956" s="43"/>
      <c r="AU1956" s="43"/>
      <c r="AV1956" s="43"/>
    </row>
    <row r="1957" ht="15.75" spans="1:48">
      <c r="A1957" s="12">
        <v>1953</v>
      </c>
      <c r="B1957" s="44">
        <v>4110</v>
      </c>
      <c r="C1957" s="45" t="s">
        <v>135</v>
      </c>
      <c r="D1957" s="46">
        <v>7</v>
      </c>
      <c r="E1957" s="47" t="s">
        <v>50</v>
      </c>
      <c r="F1957" s="48">
        <v>3.5</v>
      </c>
      <c r="G1957" s="38">
        <v>0</v>
      </c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  <c r="S1957" s="39"/>
      <c r="T1957" s="39"/>
      <c r="U1957" s="39"/>
      <c r="V1957" s="39"/>
      <c r="W1957" s="39"/>
      <c r="X1957" s="49" t="s">
        <v>95</v>
      </c>
      <c r="Y1957" s="50">
        <v>4900</v>
      </c>
      <c r="Z1957" s="51">
        <v>4900</v>
      </c>
      <c r="AA1957" s="52">
        <f t="shared" si="49"/>
        <v>1</v>
      </c>
      <c r="AB1957" s="12">
        <v>4900</v>
      </c>
      <c r="AC1957" s="12">
        <v>0</v>
      </c>
      <c r="AD1957" s="43"/>
      <c r="AE1957" s="43"/>
      <c r="AF1957" s="43"/>
      <c r="AG1957" s="43"/>
      <c r="AH1957" s="43"/>
      <c r="AI1957" s="43"/>
      <c r="AJ1957" s="43"/>
      <c r="AK1957" s="43"/>
      <c r="AL1957" s="43"/>
      <c r="AM1957" s="43"/>
      <c r="AN1957" s="43"/>
      <c r="AO1957" s="43"/>
      <c r="AP1957" s="43"/>
      <c r="AQ1957" s="43"/>
      <c r="AR1957" s="43"/>
      <c r="AS1957" s="43"/>
      <c r="AT1957" s="43"/>
      <c r="AU1957" s="43"/>
      <c r="AV1957" s="43"/>
    </row>
    <row r="1958" ht="15.75" spans="1:48">
      <c r="A1958" s="12">
        <v>1954</v>
      </c>
      <c r="B1958" s="44">
        <v>4412</v>
      </c>
      <c r="C1958" s="45" t="s">
        <v>177</v>
      </c>
      <c r="D1958" s="46">
        <v>16</v>
      </c>
      <c r="E1958" s="47" t="s">
        <v>50</v>
      </c>
      <c r="F1958" s="48">
        <v>3.17</v>
      </c>
      <c r="G1958" s="38">
        <v>3</v>
      </c>
      <c r="H1958" s="39"/>
      <c r="I1958" s="39"/>
      <c r="J1958" s="39"/>
      <c r="K1958" s="39"/>
      <c r="L1958" s="39"/>
      <c r="M1958" s="39"/>
      <c r="N1958" s="39"/>
      <c r="O1958" s="39"/>
      <c r="P1958" s="39"/>
      <c r="Q1958" s="39">
        <v>1</v>
      </c>
      <c r="R1958" s="39"/>
      <c r="S1958" s="39">
        <v>0.5</v>
      </c>
      <c r="T1958" s="39">
        <v>1.5</v>
      </c>
      <c r="U1958" s="39"/>
      <c r="V1958" s="39"/>
      <c r="W1958" s="39"/>
      <c r="X1958" s="49">
        <v>9565</v>
      </c>
      <c r="Y1958" s="50">
        <v>634</v>
      </c>
      <c r="Z1958" s="51">
        <v>625</v>
      </c>
      <c r="AA1958" s="52">
        <f t="shared" si="49"/>
        <v>0.985804416403785</v>
      </c>
      <c r="AB1958" s="12">
        <v>-7</v>
      </c>
      <c r="AC1958" s="12">
        <v>632</v>
      </c>
      <c r="AD1958" s="19">
        <v>632</v>
      </c>
      <c r="AE1958" s="43"/>
      <c r="AF1958" s="43"/>
      <c r="AG1958" s="43"/>
      <c r="AH1958" s="43"/>
      <c r="AI1958" s="43"/>
      <c r="AJ1958" s="43"/>
      <c r="AK1958" s="43"/>
      <c r="AL1958" s="43"/>
      <c r="AM1958" s="43"/>
      <c r="AN1958" s="43"/>
      <c r="AO1958" s="43"/>
      <c r="AP1958" s="43"/>
      <c r="AQ1958" s="43"/>
      <c r="AR1958" s="43"/>
      <c r="AS1958" s="43"/>
      <c r="AT1958" s="43"/>
      <c r="AU1958" s="43"/>
      <c r="AV1958" s="43"/>
    </row>
    <row r="1959" ht="15.75" spans="1:48">
      <c r="A1959" s="12">
        <v>1955</v>
      </c>
      <c r="B1959" s="44">
        <v>4412</v>
      </c>
      <c r="C1959" s="45" t="s">
        <v>177</v>
      </c>
      <c r="D1959" s="46">
        <v>6</v>
      </c>
      <c r="E1959" s="47" t="s">
        <v>50</v>
      </c>
      <c r="F1959" s="48">
        <v>2.5</v>
      </c>
      <c r="G1959" s="38">
        <v>0.17</v>
      </c>
      <c r="H1959" s="39"/>
      <c r="I1959" s="39"/>
      <c r="J1959" s="39"/>
      <c r="K1959" s="39"/>
      <c r="L1959" s="39"/>
      <c r="M1959" s="39"/>
      <c r="N1959" s="39"/>
      <c r="O1959" s="39"/>
      <c r="P1959" s="39"/>
      <c r="Q1959" s="39"/>
      <c r="R1959" s="39"/>
      <c r="S1959" s="39"/>
      <c r="T1959" s="39"/>
      <c r="U1959" s="39">
        <v>0.17</v>
      </c>
      <c r="V1959" s="39"/>
      <c r="W1959" s="39"/>
      <c r="X1959" s="49">
        <v>5770</v>
      </c>
      <c r="Y1959" s="50">
        <v>1512.5</v>
      </c>
      <c r="Z1959" s="51">
        <v>1653</v>
      </c>
      <c r="AA1959" s="52">
        <f t="shared" si="49"/>
        <v>1.09289256198347</v>
      </c>
      <c r="AB1959" s="12">
        <v>1644</v>
      </c>
      <c r="AC1959" s="12">
        <v>9</v>
      </c>
      <c r="AD1959" s="19">
        <v>9</v>
      </c>
      <c r="AE1959" s="43"/>
      <c r="AF1959" s="43"/>
      <c r="AG1959" s="43"/>
      <c r="AH1959" s="43"/>
      <c r="AI1959" s="43"/>
      <c r="AJ1959" s="43"/>
      <c r="AK1959" s="43"/>
      <c r="AL1959" s="43"/>
      <c r="AM1959" s="43"/>
      <c r="AN1959" s="43"/>
      <c r="AO1959" s="43"/>
      <c r="AP1959" s="43"/>
      <c r="AQ1959" s="43"/>
      <c r="AR1959" s="43"/>
      <c r="AS1959" s="43"/>
      <c r="AT1959" s="43"/>
      <c r="AU1959" s="43"/>
      <c r="AV1959" s="43"/>
    </row>
    <row r="1960" ht="15.75" spans="1:48">
      <c r="A1960" s="12">
        <v>1956</v>
      </c>
      <c r="B1960" s="44">
        <v>947</v>
      </c>
      <c r="C1960" s="45" t="s">
        <v>143</v>
      </c>
      <c r="D1960" s="46">
        <v>8</v>
      </c>
      <c r="E1960" s="47" t="s">
        <v>50</v>
      </c>
      <c r="F1960" s="48">
        <v>10</v>
      </c>
      <c r="G1960" s="38">
        <v>2</v>
      </c>
      <c r="H1960" s="39"/>
      <c r="I1960" s="39"/>
      <c r="J1960" s="39">
        <v>0.33</v>
      </c>
      <c r="K1960" s="39">
        <v>0.33</v>
      </c>
      <c r="L1960" s="39"/>
      <c r="M1960" s="39"/>
      <c r="N1960" s="39"/>
      <c r="O1960" s="39"/>
      <c r="P1960" s="39"/>
      <c r="Q1960" s="39">
        <v>0.67</v>
      </c>
      <c r="R1960" s="39"/>
      <c r="S1960" s="39"/>
      <c r="T1960" s="39">
        <v>0.5</v>
      </c>
      <c r="U1960" s="39">
        <v>0.17</v>
      </c>
      <c r="V1960" s="39"/>
      <c r="W1960" s="39"/>
      <c r="X1960" s="49">
        <v>9968</v>
      </c>
      <c r="Y1960" s="50">
        <v>6050</v>
      </c>
      <c r="Z1960" s="51">
        <v>5445</v>
      </c>
      <c r="AA1960" s="52">
        <f t="shared" si="49"/>
        <v>0.9</v>
      </c>
      <c r="AB1960" s="12">
        <v>5394</v>
      </c>
      <c r="AC1960" s="12">
        <v>51</v>
      </c>
      <c r="AD1960" s="19">
        <v>51</v>
      </c>
      <c r="AE1960" s="43"/>
      <c r="AF1960" s="43"/>
      <c r="AG1960" s="43"/>
      <c r="AH1960" s="43"/>
      <c r="AI1960" s="43"/>
      <c r="AJ1960" s="43"/>
      <c r="AK1960" s="43"/>
      <c r="AL1960" s="43"/>
      <c r="AM1960" s="43"/>
      <c r="AN1960" s="43"/>
      <c r="AO1960" s="43"/>
      <c r="AP1960" s="43"/>
      <c r="AQ1960" s="43"/>
      <c r="AR1960" s="43"/>
      <c r="AS1960" s="43"/>
      <c r="AT1960" s="43"/>
      <c r="AU1960" s="43"/>
      <c r="AV1960" s="43"/>
    </row>
    <row r="1961" ht="15.75" spans="1:48">
      <c r="A1961" s="12">
        <v>1957</v>
      </c>
      <c r="B1961" s="44">
        <v>4384</v>
      </c>
      <c r="C1961" s="45" t="s">
        <v>145</v>
      </c>
      <c r="D1961" s="46"/>
      <c r="E1961" s="47" t="s">
        <v>50</v>
      </c>
      <c r="F1961" s="48">
        <v>5.67</v>
      </c>
      <c r="G1961" s="38">
        <v>1</v>
      </c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  <c r="S1961" s="39">
        <v>1</v>
      </c>
      <c r="T1961" s="39"/>
      <c r="U1961" s="39"/>
      <c r="V1961" s="39"/>
      <c r="W1961" s="39"/>
      <c r="X1961" s="49" t="s">
        <v>90</v>
      </c>
      <c r="Y1961" s="50">
        <v>2664.9</v>
      </c>
      <c r="Z1961" s="51">
        <v>2520</v>
      </c>
      <c r="AA1961" s="52">
        <f t="shared" si="49"/>
        <v>0.945626477541371</v>
      </c>
      <c r="AB1961" s="12">
        <v>2520</v>
      </c>
      <c r="AC1961" s="12">
        <v>0</v>
      </c>
      <c r="AD1961" s="43"/>
      <c r="AE1961" s="43"/>
      <c r="AF1961" s="43"/>
      <c r="AG1961" s="43"/>
      <c r="AH1961" s="43"/>
      <c r="AI1961" s="43"/>
      <c r="AJ1961" s="43"/>
      <c r="AK1961" s="43"/>
      <c r="AL1961" s="43"/>
      <c r="AM1961" s="43"/>
      <c r="AN1961" s="43"/>
      <c r="AO1961" s="43"/>
      <c r="AP1961" s="43"/>
      <c r="AQ1961" s="43"/>
      <c r="AR1961" s="43"/>
      <c r="AS1961" s="43"/>
      <c r="AT1961" s="43"/>
      <c r="AU1961" s="43"/>
      <c r="AV1961" s="43"/>
    </row>
    <row r="1962" ht="15.75" spans="1:48">
      <c r="A1962" s="12">
        <v>1958</v>
      </c>
      <c r="B1962" s="53">
        <v>4384</v>
      </c>
      <c r="C1962" s="55" t="s">
        <v>145</v>
      </c>
      <c r="D1962" s="56"/>
      <c r="E1962" s="47" t="s">
        <v>50</v>
      </c>
      <c r="F1962" s="48">
        <v>1.17</v>
      </c>
      <c r="G1962" s="38">
        <v>0</v>
      </c>
      <c r="H1962" s="39"/>
      <c r="I1962" s="39"/>
      <c r="J1962" s="39"/>
      <c r="K1962" s="39"/>
      <c r="L1962" s="39"/>
      <c r="M1962" s="39"/>
      <c r="N1962" s="39"/>
      <c r="O1962" s="39"/>
      <c r="P1962" s="39"/>
      <c r="Q1962" s="39"/>
      <c r="R1962" s="39"/>
      <c r="S1962" s="39"/>
      <c r="T1962" s="39"/>
      <c r="U1962" s="39"/>
      <c r="V1962" s="39"/>
      <c r="W1962" s="39"/>
      <c r="X1962" s="49" t="s">
        <v>98</v>
      </c>
      <c r="Y1962" s="50">
        <v>549.9</v>
      </c>
      <c r="Z1962" s="51">
        <v>540</v>
      </c>
      <c r="AA1962" s="52">
        <f t="shared" si="49"/>
        <v>0.981996726677578</v>
      </c>
      <c r="AB1962" s="12">
        <v>540</v>
      </c>
      <c r="AC1962" s="12">
        <v>0</v>
      </c>
      <c r="AD1962" s="43"/>
      <c r="AE1962" s="43"/>
      <c r="AF1962" s="43"/>
      <c r="AG1962" s="43"/>
      <c r="AH1962" s="43"/>
      <c r="AI1962" s="43"/>
      <c r="AJ1962" s="43"/>
      <c r="AK1962" s="43"/>
      <c r="AL1962" s="43"/>
      <c r="AM1962" s="43"/>
      <c r="AN1962" s="43"/>
      <c r="AO1962" s="43"/>
      <c r="AP1962" s="43"/>
      <c r="AQ1962" s="43"/>
      <c r="AR1962" s="43"/>
      <c r="AS1962" s="43"/>
      <c r="AT1962" s="43"/>
      <c r="AU1962" s="43"/>
      <c r="AV1962" s="43"/>
    </row>
    <row r="1963" ht="15.75" spans="1:48">
      <c r="A1963" s="12">
        <v>1959</v>
      </c>
      <c r="B1963" s="44">
        <v>4017</v>
      </c>
      <c r="C1963" s="45" t="s">
        <v>148</v>
      </c>
      <c r="D1963" s="46">
        <v>3</v>
      </c>
      <c r="E1963" s="47" t="s">
        <v>50</v>
      </c>
      <c r="F1963" s="48">
        <v>4.67</v>
      </c>
      <c r="G1963" s="38">
        <v>2</v>
      </c>
      <c r="H1963" s="39"/>
      <c r="I1963" s="39"/>
      <c r="J1963" s="39"/>
      <c r="K1963" s="39"/>
      <c r="L1963" s="39"/>
      <c r="M1963" s="39"/>
      <c r="N1963" s="39"/>
      <c r="O1963" s="39"/>
      <c r="P1963" s="39"/>
      <c r="Q1963" s="39">
        <v>1.17</v>
      </c>
      <c r="R1963" s="39"/>
      <c r="S1963" s="39"/>
      <c r="T1963" s="39">
        <v>0.83</v>
      </c>
      <c r="U1963" s="39"/>
      <c r="V1963" s="39"/>
      <c r="W1963" s="39"/>
      <c r="X1963" s="49" t="s">
        <v>219</v>
      </c>
      <c r="Y1963" s="50">
        <v>2428.4</v>
      </c>
      <c r="Z1963" s="51">
        <v>2215</v>
      </c>
      <c r="AA1963" s="52">
        <f t="shared" si="49"/>
        <v>0.912123208697085</v>
      </c>
      <c r="AB1963" s="12">
        <v>1951</v>
      </c>
      <c r="AC1963" s="12">
        <v>264</v>
      </c>
      <c r="AD1963" s="19">
        <v>264</v>
      </c>
      <c r="AE1963" s="43"/>
      <c r="AF1963" s="43"/>
      <c r="AG1963" s="43"/>
      <c r="AH1963" s="43"/>
      <c r="AI1963" s="43"/>
      <c r="AJ1963" s="43"/>
      <c r="AK1963" s="43"/>
      <c r="AL1963" s="43"/>
      <c r="AM1963" s="43"/>
      <c r="AN1963" s="43"/>
      <c r="AO1963" s="43"/>
      <c r="AP1963" s="43"/>
      <c r="AQ1963" s="43"/>
      <c r="AR1963" s="43"/>
      <c r="AS1963" s="43"/>
      <c r="AT1963" s="43"/>
      <c r="AU1963" s="43"/>
      <c r="AV1963" s="43"/>
    </row>
    <row r="1964" ht="15.75" spans="1:48">
      <c r="A1964" s="12">
        <v>1960</v>
      </c>
      <c r="B1964" s="44">
        <v>4017</v>
      </c>
      <c r="C1964" s="45" t="s">
        <v>148</v>
      </c>
      <c r="D1964" s="46">
        <v>5</v>
      </c>
      <c r="E1964" s="47" t="s">
        <v>50</v>
      </c>
      <c r="F1964" s="48">
        <v>2.17</v>
      </c>
      <c r="G1964" s="38">
        <v>0.34</v>
      </c>
      <c r="H1964" s="39"/>
      <c r="I1964" s="39"/>
      <c r="J1964" s="39"/>
      <c r="K1964" s="39"/>
      <c r="L1964" s="39"/>
      <c r="M1964" s="39"/>
      <c r="N1964" s="39"/>
      <c r="O1964" s="39"/>
      <c r="P1964" s="39"/>
      <c r="Q1964" s="39"/>
      <c r="R1964" s="39"/>
      <c r="S1964" s="39"/>
      <c r="T1964" s="39">
        <v>0.17</v>
      </c>
      <c r="U1964" s="39">
        <v>0.17</v>
      </c>
      <c r="V1964" s="39"/>
      <c r="W1964" s="39"/>
      <c r="X1964" s="49">
        <v>5770</v>
      </c>
      <c r="Y1964" s="50">
        <v>1312.85</v>
      </c>
      <c r="Z1964" s="51">
        <v>1231</v>
      </c>
      <c r="AA1964" s="52">
        <f t="shared" si="49"/>
        <v>0.937654720645923</v>
      </c>
      <c r="AB1964" s="12">
        <v>1200</v>
      </c>
      <c r="AC1964" s="12">
        <v>31</v>
      </c>
      <c r="AD1964" s="19">
        <v>31</v>
      </c>
      <c r="AE1964" s="43"/>
      <c r="AF1964" s="43"/>
      <c r="AG1964" s="43"/>
      <c r="AH1964" s="43"/>
      <c r="AI1964" s="43"/>
      <c r="AJ1964" s="43"/>
      <c r="AK1964" s="43"/>
      <c r="AL1964" s="43"/>
      <c r="AM1964" s="43"/>
      <c r="AN1964" s="43"/>
      <c r="AO1964" s="43"/>
      <c r="AP1964" s="43"/>
      <c r="AQ1964" s="43"/>
      <c r="AR1964" s="43"/>
      <c r="AS1964" s="43"/>
      <c r="AT1964" s="43"/>
      <c r="AU1964" s="43"/>
      <c r="AV1964" s="43"/>
    </row>
    <row r="1965" ht="15.75" spans="1:48">
      <c r="A1965" s="12">
        <v>1961</v>
      </c>
      <c r="B1965" s="69" t="s">
        <v>335</v>
      </c>
      <c r="C1965" s="45" t="s">
        <v>336</v>
      </c>
      <c r="D1965" s="46"/>
      <c r="E1965" s="47" t="s">
        <v>50</v>
      </c>
      <c r="F1965" s="48">
        <v>7.17</v>
      </c>
      <c r="G1965" s="38">
        <v>0.83</v>
      </c>
      <c r="H1965" s="39"/>
      <c r="I1965" s="39"/>
      <c r="J1965" s="39"/>
      <c r="K1965" s="39"/>
      <c r="L1965" s="39"/>
      <c r="M1965" s="39"/>
      <c r="N1965" s="39"/>
      <c r="O1965" s="39"/>
      <c r="P1965" s="39"/>
      <c r="Q1965" s="39">
        <v>0.83</v>
      </c>
      <c r="R1965" s="39"/>
      <c r="S1965" s="39"/>
      <c r="T1965" s="39"/>
      <c r="U1965" s="39"/>
      <c r="V1965" s="39"/>
      <c r="W1965" s="39"/>
      <c r="X1965" s="49" t="s">
        <v>105</v>
      </c>
      <c r="Y1965" s="50">
        <v>4732.2</v>
      </c>
      <c r="Z1965" s="51">
        <v>1350</v>
      </c>
      <c r="AA1965" s="52">
        <f t="shared" si="49"/>
        <v>0.285279573982503</v>
      </c>
      <c r="AB1965" s="12">
        <v>1350</v>
      </c>
      <c r="AC1965" s="12">
        <v>0</v>
      </c>
      <c r="AD1965" s="43"/>
      <c r="AE1965" s="43"/>
      <c r="AF1965" s="43"/>
      <c r="AG1965" s="43"/>
      <c r="AH1965" s="43"/>
      <c r="AI1965" s="43"/>
      <c r="AJ1965" s="43"/>
      <c r="AK1965" s="43"/>
      <c r="AL1965" s="43"/>
      <c r="AM1965" s="43"/>
      <c r="AN1965" s="43"/>
      <c r="AO1965" s="43"/>
      <c r="AP1965" s="43"/>
      <c r="AQ1965" s="43"/>
      <c r="AR1965" s="43"/>
      <c r="AS1965" s="43"/>
      <c r="AT1965" s="43"/>
      <c r="AU1965" s="43"/>
      <c r="AV1965" s="43"/>
    </row>
    <row r="1966" ht="15.75" spans="1:48">
      <c r="A1966" s="12">
        <v>1962</v>
      </c>
      <c r="B1966" s="69" t="s">
        <v>312</v>
      </c>
      <c r="C1966" s="45" t="s">
        <v>313</v>
      </c>
      <c r="D1966" s="46"/>
      <c r="E1966" s="47" t="s">
        <v>50</v>
      </c>
      <c r="F1966" s="48">
        <v>2</v>
      </c>
      <c r="G1966" s="38">
        <v>0</v>
      </c>
      <c r="H1966" s="39"/>
      <c r="I1966" s="39"/>
      <c r="J1966" s="39"/>
      <c r="K1966" s="39"/>
      <c r="L1966" s="39"/>
      <c r="M1966" s="39"/>
      <c r="N1966" s="39"/>
      <c r="O1966" s="39"/>
      <c r="P1966" s="39"/>
      <c r="Q1966" s="39"/>
      <c r="R1966" s="39"/>
      <c r="S1966" s="39"/>
      <c r="T1966" s="39"/>
      <c r="U1966" s="39"/>
      <c r="V1966" s="39"/>
      <c r="W1966" s="39"/>
      <c r="X1966" s="49" t="s">
        <v>152</v>
      </c>
      <c r="Y1966" s="50">
        <v>8700</v>
      </c>
      <c r="Z1966" s="51">
        <v>2100</v>
      </c>
      <c r="AA1966" s="52">
        <f t="shared" si="49"/>
        <v>0.241379310344828</v>
      </c>
      <c r="AB1966" s="12">
        <v>2100</v>
      </c>
      <c r="AC1966" s="12">
        <v>0</v>
      </c>
      <c r="AD1966" s="43"/>
      <c r="AE1966" s="43"/>
      <c r="AF1966" s="43"/>
      <c r="AG1966" s="43"/>
      <c r="AH1966" s="43"/>
      <c r="AI1966" s="43"/>
      <c r="AJ1966" s="43"/>
      <c r="AK1966" s="43"/>
      <c r="AL1966" s="43"/>
      <c r="AM1966" s="43"/>
      <c r="AN1966" s="43"/>
      <c r="AO1966" s="43"/>
      <c r="AP1966" s="43"/>
      <c r="AQ1966" s="43"/>
      <c r="AR1966" s="43"/>
      <c r="AS1966" s="43"/>
      <c r="AT1966" s="43"/>
      <c r="AU1966" s="43"/>
      <c r="AV1966" s="43"/>
    </row>
    <row r="1967" ht="15.75" spans="1:48">
      <c r="A1967" s="12">
        <v>1963</v>
      </c>
      <c r="B1967" s="69" t="s">
        <v>312</v>
      </c>
      <c r="C1967" s="45" t="s">
        <v>313</v>
      </c>
      <c r="D1967" s="46"/>
      <c r="E1967" s="47" t="s">
        <v>50</v>
      </c>
      <c r="F1967" s="48">
        <v>0.5</v>
      </c>
      <c r="G1967" s="38">
        <v>0</v>
      </c>
      <c r="H1967" s="39"/>
      <c r="I1967" s="39"/>
      <c r="J1967" s="39"/>
      <c r="K1967" s="39"/>
      <c r="L1967" s="39"/>
      <c r="M1967" s="39"/>
      <c r="N1967" s="39"/>
      <c r="O1967" s="39"/>
      <c r="P1967" s="39"/>
      <c r="Q1967" s="39"/>
      <c r="R1967" s="39"/>
      <c r="S1967" s="39"/>
      <c r="T1967" s="39"/>
      <c r="U1967" s="39"/>
      <c r="V1967" s="39"/>
      <c r="W1967" s="39"/>
      <c r="X1967" s="49" t="s">
        <v>229</v>
      </c>
      <c r="Y1967" s="50">
        <v>1860</v>
      </c>
      <c r="Z1967" s="51">
        <v>450</v>
      </c>
      <c r="AA1967" s="52">
        <f t="shared" si="49"/>
        <v>0.241935483870968</v>
      </c>
      <c r="AB1967" s="12">
        <v>450</v>
      </c>
      <c r="AC1967" s="12">
        <v>0</v>
      </c>
      <c r="AD1967" s="43"/>
      <c r="AE1967" s="43"/>
      <c r="AF1967" s="43"/>
      <c r="AG1967" s="43"/>
      <c r="AH1967" s="43"/>
      <c r="AI1967" s="43"/>
      <c r="AJ1967" s="43"/>
      <c r="AK1967" s="43"/>
      <c r="AL1967" s="43"/>
      <c r="AM1967" s="43"/>
      <c r="AN1967" s="43"/>
      <c r="AO1967" s="43"/>
      <c r="AP1967" s="43"/>
      <c r="AQ1967" s="43"/>
      <c r="AR1967" s="43"/>
      <c r="AS1967" s="43"/>
      <c r="AT1967" s="43"/>
      <c r="AU1967" s="43"/>
      <c r="AV1967" s="43"/>
    </row>
    <row r="1968" ht="15.75" spans="1:48">
      <c r="A1968" s="12">
        <v>1964</v>
      </c>
      <c r="B1968" s="69" t="s">
        <v>337</v>
      </c>
      <c r="C1968" s="45" t="s">
        <v>338</v>
      </c>
      <c r="D1968" s="46"/>
      <c r="E1968" s="47" t="s">
        <v>50</v>
      </c>
      <c r="F1968" s="48">
        <v>7.17</v>
      </c>
      <c r="G1968" s="38">
        <v>0.83</v>
      </c>
      <c r="H1968" s="39"/>
      <c r="I1968" s="39"/>
      <c r="J1968" s="39"/>
      <c r="K1968" s="39"/>
      <c r="L1968" s="39"/>
      <c r="M1968" s="39"/>
      <c r="N1968" s="39"/>
      <c r="O1968" s="39"/>
      <c r="P1968" s="39"/>
      <c r="Q1968" s="39">
        <v>0.83</v>
      </c>
      <c r="R1968" s="39"/>
      <c r="S1968" s="39"/>
      <c r="T1968" s="39"/>
      <c r="U1968" s="39"/>
      <c r="V1968" s="39"/>
      <c r="W1968" s="39"/>
      <c r="X1968" s="49" t="s">
        <v>103</v>
      </c>
      <c r="Y1968" s="50">
        <v>6022.8</v>
      </c>
      <c r="Z1968" s="51">
        <v>2040</v>
      </c>
      <c r="AA1968" s="52">
        <f t="shared" si="49"/>
        <v>0.338712891014146</v>
      </c>
      <c r="AB1968" s="12">
        <v>2040</v>
      </c>
      <c r="AC1968" s="12">
        <v>0</v>
      </c>
      <c r="AD1968" s="43"/>
      <c r="AE1968" s="43"/>
      <c r="AF1968" s="43"/>
      <c r="AG1968" s="43"/>
      <c r="AH1968" s="43"/>
      <c r="AI1968" s="43"/>
      <c r="AJ1968" s="43"/>
      <c r="AK1968" s="43"/>
      <c r="AL1968" s="43"/>
      <c r="AM1968" s="43"/>
      <c r="AN1968" s="43"/>
      <c r="AO1968" s="43"/>
      <c r="AP1968" s="43"/>
      <c r="AQ1968" s="43"/>
      <c r="AR1968" s="43"/>
      <c r="AS1968" s="43"/>
      <c r="AT1968" s="43"/>
      <c r="AU1968" s="43"/>
      <c r="AV1968" s="43"/>
    </row>
    <row r="1969" ht="15.75" spans="1:48">
      <c r="A1969" s="12">
        <v>1965</v>
      </c>
      <c r="B1969" s="69" t="s">
        <v>325</v>
      </c>
      <c r="C1969" s="45" t="s">
        <v>326</v>
      </c>
      <c r="D1969" s="46"/>
      <c r="E1969" s="47" t="s">
        <v>50</v>
      </c>
      <c r="F1969" s="48">
        <v>6.17</v>
      </c>
      <c r="G1969" s="38">
        <v>0.83</v>
      </c>
      <c r="H1969" s="39"/>
      <c r="I1969" s="39"/>
      <c r="J1969" s="39"/>
      <c r="K1969" s="39"/>
      <c r="L1969" s="39"/>
      <c r="M1969" s="39"/>
      <c r="N1969" s="39"/>
      <c r="O1969" s="39"/>
      <c r="P1969" s="39"/>
      <c r="Q1969" s="39">
        <v>0.83</v>
      </c>
      <c r="R1969" s="39"/>
      <c r="S1969" s="39"/>
      <c r="T1969" s="39"/>
      <c r="U1969" s="39"/>
      <c r="V1969" s="39"/>
      <c r="W1969" s="39"/>
      <c r="X1969" s="49" t="s">
        <v>103</v>
      </c>
      <c r="Y1969" s="50">
        <v>5182.8</v>
      </c>
      <c r="Z1969" s="51">
        <v>2070</v>
      </c>
      <c r="AA1969" s="52">
        <f t="shared" si="49"/>
        <v>0.399398008798333</v>
      </c>
      <c r="AB1969" s="12">
        <v>2070</v>
      </c>
      <c r="AC1969" s="12">
        <v>0</v>
      </c>
      <c r="AD1969" s="43"/>
      <c r="AE1969" s="43"/>
      <c r="AF1969" s="43"/>
      <c r="AG1969" s="43"/>
      <c r="AH1969" s="43"/>
      <c r="AI1969" s="43"/>
      <c r="AJ1969" s="43"/>
      <c r="AK1969" s="43"/>
      <c r="AL1969" s="43"/>
      <c r="AM1969" s="43"/>
      <c r="AN1969" s="43"/>
      <c r="AO1969" s="43"/>
      <c r="AP1969" s="43"/>
      <c r="AQ1969" s="43"/>
      <c r="AR1969" s="43"/>
      <c r="AS1969" s="43"/>
      <c r="AT1969" s="43"/>
      <c r="AU1969" s="43"/>
      <c r="AV1969" s="43"/>
    </row>
    <row r="1970" ht="15.75" spans="1:48">
      <c r="A1970" s="12">
        <v>1966</v>
      </c>
      <c r="B1970" s="69" t="s">
        <v>325</v>
      </c>
      <c r="C1970" s="45" t="s">
        <v>326</v>
      </c>
      <c r="D1970" s="46"/>
      <c r="E1970" s="47" t="s">
        <v>50</v>
      </c>
      <c r="F1970" s="48">
        <v>1</v>
      </c>
      <c r="G1970" s="38">
        <v>0</v>
      </c>
      <c r="H1970" s="39"/>
      <c r="I1970" s="39"/>
      <c r="J1970" s="39"/>
      <c r="K1970" s="39"/>
      <c r="L1970" s="39"/>
      <c r="M1970" s="39"/>
      <c r="N1970" s="39"/>
      <c r="O1970" s="39"/>
      <c r="P1970" s="39"/>
      <c r="Q1970" s="39"/>
      <c r="R1970" s="39"/>
      <c r="S1970" s="39"/>
      <c r="T1970" s="39"/>
      <c r="U1970" s="39"/>
      <c r="V1970" s="39"/>
      <c r="W1970" s="39"/>
      <c r="X1970" s="49" t="s">
        <v>105</v>
      </c>
      <c r="Y1970" s="50">
        <v>660</v>
      </c>
      <c r="Z1970" s="51">
        <v>150</v>
      </c>
      <c r="AA1970" s="52">
        <f t="shared" si="49"/>
        <v>0.227272727272727</v>
      </c>
      <c r="AB1970" s="12">
        <v>150</v>
      </c>
      <c r="AC1970" s="12">
        <v>0</v>
      </c>
      <c r="AD1970" s="43"/>
      <c r="AE1970" s="43"/>
      <c r="AF1970" s="43"/>
      <c r="AG1970" s="43"/>
      <c r="AH1970" s="43"/>
      <c r="AI1970" s="43"/>
      <c r="AJ1970" s="43"/>
      <c r="AK1970" s="43"/>
      <c r="AL1970" s="43"/>
      <c r="AM1970" s="43"/>
      <c r="AN1970" s="43"/>
      <c r="AO1970" s="43"/>
      <c r="AP1970" s="43"/>
      <c r="AQ1970" s="43"/>
      <c r="AR1970" s="43"/>
      <c r="AS1970" s="43"/>
      <c r="AT1970" s="43"/>
      <c r="AU1970" s="43"/>
      <c r="AV1970" s="43"/>
    </row>
    <row r="1971" ht="15.75" spans="1:48">
      <c r="A1971" s="12">
        <v>1967</v>
      </c>
      <c r="B1971" s="69" t="s">
        <v>328</v>
      </c>
      <c r="C1971" s="45" t="s">
        <v>329</v>
      </c>
      <c r="D1971" s="46"/>
      <c r="E1971" s="47" t="s">
        <v>50</v>
      </c>
      <c r="F1971" s="48">
        <v>7.17</v>
      </c>
      <c r="G1971" s="38">
        <v>0.83</v>
      </c>
      <c r="H1971" s="39"/>
      <c r="I1971" s="39"/>
      <c r="J1971" s="39"/>
      <c r="K1971" s="39"/>
      <c r="L1971" s="39"/>
      <c r="M1971" s="39"/>
      <c r="N1971" s="39"/>
      <c r="O1971" s="39"/>
      <c r="P1971" s="39"/>
      <c r="Q1971" s="39">
        <v>0.83</v>
      </c>
      <c r="R1971" s="39"/>
      <c r="S1971" s="39"/>
      <c r="T1971" s="39"/>
      <c r="U1971" s="39"/>
      <c r="V1971" s="39"/>
      <c r="W1971" s="39"/>
      <c r="X1971" s="49" t="s">
        <v>103</v>
      </c>
      <c r="Y1971" s="50">
        <v>6022.8</v>
      </c>
      <c r="Z1971" s="51">
        <v>2183</v>
      </c>
      <c r="AA1971" s="52">
        <f t="shared" si="49"/>
        <v>0.362456000531314</v>
      </c>
      <c r="AB1971" s="12">
        <v>2183</v>
      </c>
      <c r="AC1971" s="12">
        <v>0</v>
      </c>
      <c r="AD1971" s="43"/>
      <c r="AE1971" s="43"/>
      <c r="AF1971" s="43"/>
      <c r="AG1971" s="43"/>
      <c r="AH1971" s="43"/>
      <c r="AI1971" s="43"/>
      <c r="AJ1971" s="43"/>
      <c r="AK1971" s="43"/>
      <c r="AL1971" s="43"/>
      <c r="AM1971" s="43"/>
      <c r="AN1971" s="43"/>
      <c r="AO1971" s="43"/>
      <c r="AP1971" s="43"/>
      <c r="AQ1971" s="43"/>
      <c r="AR1971" s="43"/>
      <c r="AS1971" s="43"/>
      <c r="AT1971" s="43"/>
      <c r="AU1971" s="43"/>
      <c r="AV1971" s="43"/>
    </row>
    <row r="1972" ht="15.75" spans="1:48">
      <c r="A1972" s="12">
        <v>1968</v>
      </c>
      <c r="B1972" s="44" t="s">
        <v>411</v>
      </c>
      <c r="C1972" s="45" t="e">
        <v>#N/A</v>
      </c>
      <c r="D1972" s="46"/>
      <c r="E1972" s="47" t="s">
        <v>50</v>
      </c>
      <c r="F1972" s="48">
        <v>7.17</v>
      </c>
      <c r="G1972" s="38">
        <v>0.83</v>
      </c>
      <c r="H1972" s="39"/>
      <c r="I1972" s="39"/>
      <c r="J1972" s="39"/>
      <c r="K1972" s="39"/>
      <c r="L1972" s="39"/>
      <c r="M1972" s="39"/>
      <c r="N1972" s="39"/>
      <c r="O1972" s="39"/>
      <c r="P1972" s="39"/>
      <c r="Q1972" s="39">
        <v>0.83</v>
      </c>
      <c r="R1972" s="39"/>
      <c r="S1972" s="39"/>
      <c r="T1972" s="39"/>
      <c r="U1972" s="39"/>
      <c r="V1972" s="39"/>
      <c r="W1972" s="39"/>
      <c r="X1972" s="49" t="s">
        <v>103</v>
      </c>
      <c r="Y1972" s="50">
        <v>6022.8</v>
      </c>
      <c r="Z1972" s="51">
        <v>720</v>
      </c>
      <c r="AA1972" s="52">
        <f t="shared" ref="AA1972:AA1990" si="50">IFERROR(Z1972/Y1972,0)</f>
        <v>0.119545726240287</v>
      </c>
      <c r="AB1972" s="12">
        <v>720</v>
      </c>
      <c r="AC1972" s="12">
        <v>0</v>
      </c>
      <c r="AD1972" s="43"/>
      <c r="AE1972" s="43"/>
      <c r="AF1972" s="43"/>
      <c r="AG1972" s="43"/>
      <c r="AH1972" s="43"/>
      <c r="AI1972" s="43"/>
      <c r="AJ1972" s="43"/>
      <c r="AK1972" s="43"/>
      <c r="AL1972" s="43"/>
      <c r="AM1972" s="43"/>
      <c r="AN1972" s="43"/>
      <c r="AO1972" s="43"/>
      <c r="AP1972" s="43"/>
      <c r="AQ1972" s="43"/>
      <c r="AR1972" s="43"/>
      <c r="AS1972" s="43"/>
      <c r="AT1972" s="43"/>
      <c r="AU1972" s="43"/>
      <c r="AV1972" s="43"/>
    </row>
    <row r="1973" ht="15.75" spans="1:48">
      <c r="A1973" s="12">
        <v>1969</v>
      </c>
      <c r="B1973" s="44">
        <v>1448</v>
      </c>
      <c r="C1973" s="45" t="s">
        <v>296</v>
      </c>
      <c r="D1973" s="46"/>
      <c r="E1973" s="47" t="s">
        <v>50</v>
      </c>
      <c r="F1973" s="48">
        <v>3</v>
      </c>
      <c r="G1973" s="38">
        <v>5</v>
      </c>
      <c r="H1973" s="39"/>
      <c r="I1973" s="39"/>
      <c r="J1973" s="39"/>
      <c r="K1973" s="39"/>
      <c r="L1973" s="39"/>
      <c r="M1973" s="39"/>
      <c r="N1973" s="39"/>
      <c r="O1973" s="39"/>
      <c r="P1973" s="39"/>
      <c r="Q1973" s="39">
        <v>0.83</v>
      </c>
      <c r="R1973" s="39"/>
      <c r="S1973" s="39"/>
      <c r="T1973" s="39"/>
      <c r="U1973" s="39">
        <v>4.17</v>
      </c>
      <c r="V1973" s="39"/>
      <c r="W1973" s="39"/>
      <c r="X1973" s="49" t="s">
        <v>103</v>
      </c>
      <c r="Y1973" s="50">
        <v>2520</v>
      </c>
      <c r="Z1973" s="51">
        <v>2483</v>
      </c>
      <c r="AA1973" s="52">
        <f t="shared" si="50"/>
        <v>0.98531746031746</v>
      </c>
      <c r="AB1973" s="12">
        <v>2483</v>
      </c>
      <c r="AC1973" s="12">
        <v>0</v>
      </c>
      <c r="AD1973" s="43"/>
      <c r="AE1973" s="43"/>
      <c r="AF1973" s="43"/>
      <c r="AG1973" s="43"/>
      <c r="AH1973" s="43"/>
      <c r="AI1973" s="43"/>
      <c r="AJ1973" s="43"/>
      <c r="AK1973" s="43"/>
      <c r="AL1973" s="43"/>
      <c r="AM1973" s="43"/>
      <c r="AN1973" s="43"/>
      <c r="AO1973" s="43"/>
      <c r="AP1973" s="43"/>
      <c r="AQ1973" s="43"/>
      <c r="AR1973" s="43"/>
      <c r="AS1973" s="43"/>
      <c r="AT1973" s="43"/>
      <c r="AU1973" s="43"/>
      <c r="AV1973" s="43"/>
    </row>
    <row r="1974" ht="15.75" spans="1:48">
      <c r="A1974" s="12">
        <v>1970</v>
      </c>
      <c r="B1974" s="69" t="s">
        <v>315</v>
      </c>
      <c r="C1974" s="45" t="s">
        <v>316</v>
      </c>
      <c r="D1974" s="46"/>
      <c r="E1974" s="47" t="s">
        <v>50</v>
      </c>
      <c r="F1974" s="48">
        <v>1</v>
      </c>
      <c r="G1974" s="38">
        <v>0</v>
      </c>
      <c r="H1974" s="39"/>
      <c r="I1974" s="39"/>
      <c r="J1974" s="39"/>
      <c r="K1974" s="39"/>
      <c r="L1974" s="39"/>
      <c r="M1974" s="39"/>
      <c r="N1974" s="39"/>
      <c r="O1974" s="39"/>
      <c r="P1974" s="39"/>
      <c r="Q1974" s="39"/>
      <c r="R1974" s="39"/>
      <c r="S1974" s="39"/>
      <c r="T1974" s="39"/>
      <c r="U1974" s="39"/>
      <c r="V1974" s="39"/>
      <c r="W1974" s="39"/>
      <c r="X1974" s="49" t="s">
        <v>103</v>
      </c>
      <c r="Y1974" s="50">
        <v>840</v>
      </c>
      <c r="Z1974" s="51">
        <v>360</v>
      </c>
      <c r="AA1974" s="52">
        <f t="shared" si="50"/>
        <v>0.428571428571429</v>
      </c>
      <c r="AB1974" s="12">
        <v>360</v>
      </c>
      <c r="AC1974" s="12">
        <v>0</v>
      </c>
      <c r="AD1974" s="43"/>
      <c r="AE1974" s="43"/>
      <c r="AF1974" s="43"/>
      <c r="AG1974" s="43"/>
      <c r="AH1974" s="43"/>
      <c r="AI1974" s="43"/>
      <c r="AJ1974" s="43"/>
      <c r="AK1974" s="43"/>
      <c r="AL1974" s="43"/>
      <c r="AM1974" s="43"/>
      <c r="AN1974" s="43"/>
      <c r="AO1974" s="43"/>
      <c r="AP1974" s="43"/>
      <c r="AQ1974" s="43"/>
      <c r="AR1974" s="43"/>
      <c r="AS1974" s="43"/>
      <c r="AT1974" s="43"/>
      <c r="AU1974" s="43"/>
      <c r="AV1974" s="43"/>
    </row>
    <row r="1975" ht="15.75" spans="1:48">
      <c r="A1975" s="12">
        <v>1971</v>
      </c>
      <c r="B1975" s="44">
        <v>2865</v>
      </c>
      <c r="C1975" s="45" t="s">
        <v>149</v>
      </c>
      <c r="D1975" s="46"/>
      <c r="E1975" s="47" t="s">
        <v>50</v>
      </c>
      <c r="F1975" s="48">
        <v>1</v>
      </c>
      <c r="G1975" s="38">
        <v>0</v>
      </c>
      <c r="H1975" s="39"/>
      <c r="I1975" s="39"/>
      <c r="J1975" s="39"/>
      <c r="K1975" s="39"/>
      <c r="L1975" s="39"/>
      <c r="M1975" s="39"/>
      <c r="N1975" s="39"/>
      <c r="O1975" s="39"/>
      <c r="P1975" s="39"/>
      <c r="Q1975" s="39"/>
      <c r="R1975" s="39"/>
      <c r="S1975" s="39"/>
      <c r="T1975" s="39"/>
      <c r="U1975" s="39"/>
      <c r="V1975" s="39"/>
      <c r="W1975" s="39"/>
      <c r="X1975" s="49" t="s">
        <v>103</v>
      </c>
      <c r="Y1975" s="50">
        <v>840</v>
      </c>
      <c r="Z1975" s="51">
        <v>775</v>
      </c>
      <c r="AA1975" s="52">
        <f t="shared" si="50"/>
        <v>0.922619047619048</v>
      </c>
      <c r="AB1975" s="12">
        <v>775</v>
      </c>
      <c r="AC1975" s="12">
        <v>0</v>
      </c>
      <c r="AD1975" s="43"/>
      <c r="AE1975" s="43"/>
      <c r="AF1975" s="43"/>
      <c r="AG1975" s="43"/>
      <c r="AH1975" s="43"/>
      <c r="AI1975" s="43"/>
      <c r="AJ1975" s="43"/>
      <c r="AK1975" s="43"/>
      <c r="AL1975" s="43"/>
      <c r="AM1975" s="43"/>
      <c r="AN1975" s="43"/>
      <c r="AO1975" s="43"/>
      <c r="AP1975" s="43"/>
      <c r="AQ1975" s="43"/>
      <c r="AR1975" s="43"/>
      <c r="AS1975" s="43"/>
      <c r="AT1975" s="43"/>
      <c r="AU1975" s="43"/>
      <c r="AV1975" s="43"/>
    </row>
    <row r="1976" ht="15.75" spans="1:48">
      <c r="A1976" s="12">
        <v>1972</v>
      </c>
      <c r="B1976" s="44">
        <v>1733</v>
      </c>
      <c r="C1976" s="45" t="s">
        <v>153</v>
      </c>
      <c r="D1976" s="46"/>
      <c r="E1976" s="47" t="s">
        <v>50</v>
      </c>
      <c r="F1976" s="48">
        <v>10.83</v>
      </c>
      <c r="G1976" s="38">
        <v>1.17</v>
      </c>
      <c r="H1976" s="39"/>
      <c r="I1976" s="39"/>
      <c r="J1976" s="39"/>
      <c r="K1976" s="39"/>
      <c r="L1976" s="39"/>
      <c r="M1976" s="39"/>
      <c r="N1976" s="39"/>
      <c r="O1976" s="39"/>
      <c r="P1976" s="39"/>
      <c r="Q1976" s="39">
        <v>1.17</v>
      </c>
      <c r="R1976" s="39"/>
      <c r="S1976" s="39"/>
      <c r="T1976" s="39"/>
      <c r="U1976" s="39"/>
      <c r="V1976" s="39"/>
      <c r="W1976" s="39"/>
      <c r="X1976" s="49" t="s">
        <v>103</v>
      </c>
      <c r="Y1976" s="50">
        <v>9097.2</v>
      </c>
      <c r="Z1976" s="51">
        <v>5805</v>
      </c>
      <c r="AA1976" s="52">
        <f t="shared" si="50"/>
        <v>0.638108428967155</v>
      </c>
      <c r="AB1976" s="12">
        <v>5805</v>
      </c>
      <c r="AC1976" s="12">
        <v>0</v>
      </c>
      <c r="AD1976" s="43"/>
      <c r="AE1976" s="43"/>
      <c r="AF1976" s="43"/>
      <c r="AG1976" s="43"/>
      <c r="AH1976" s="43"/>
      <c r="AI1976" s="43"/>
      <c r="AJ1976" s="43"/>
      <c r="AK1976" s="43"/>
      <c r="AL1976" s="43"/>
      <c r="AM1976" s="43"/>
      <c r="AN1976" s="43"/>
      <c r="AO1976" s="43"/>
      <c r="AP1976" s="43"/>
      <c r="AQ1976" s="43"/>
      <c r="AR1976" s="43"/>
      <c r="AS1976" s="43"/>
      <c r="AT1976" s="43"/>
      <c r="AU1976" s="43"/>
      <c r="AV1976" s="43"/>
    </row>
    <row r="1977" ht="15.75" spans="1:48">
      <c r="A1977" s="12">
        <v>1973</v>
      </c>
      <c r="B1977" s="53">
        <v>4412</v>
      </c>
      <c r="C1977" s="55" t="s">
        <v>177</v>
      </c>
      <c r="D1977" s="56"/>
      <c r="E1977" s="47" t="s">
        <v>50</v>
      </c>
      <c r="F1977" s="48">
        <v>3</v>
      </c>
      <c r="G1977" s="38">
        <v>0.17</v>
      </c>
      <c r="H1977" s="39"/>
      <c r="I1977" s="39"/>
      <c r="J1977" s="39"/>
      <c r="K1977" s="39"/>
      <c r="L1977" s="39"/>
      <c r="M1977" s="39"/>
      <c r="N1977" s="39"/>
      <c r="O1977" s="39"/>
      <c r="P1977" s="39"/>
      <c r="Q1977" s="39">
        <v>0.17</v>
      </c>
      <c r="R1977" s="39"/>
      <c r="S1977" s="39"/>
      <c r="T1977" s="39"/>
      <c r="U1977" s="39"/>
      <c r="V1977" s="39"/>
      <c r="W1977" s="39"/>
      <c r="X1977" s="49" t="s">
        <v>406</v>
      </c>
      <c r="Y1977" s="50">
        <v>600</v>
      </c>
      <c r="Z1977" s="51">
        <v>625</v>
      </c>
      <c r="AA1977" s="52">
        <f t="shared" si="50"/>
        <v>1.04166666666667</v>
      </c>
      <c r="AB1977" s="12">
        <v>625</v>
      </c>
      <c r="AC1977" s="12">
        <v>0</v>
      </c>
      <c r="AD1977" s="43"/>
      <c r="AE1977" s="43"/>
      <c r="AF1977" s="43"/>
      <c r="AG1977" s="43"/>
      <c r="AH1977" s="43"/>
      <c r="AI1977" s="43"/>
      <c r="AJ1977" s="43"/>
      <c r="AK1977" s="43"/>
      <c r="AL1977" s="43"/>
      <c r="AM1977" s="43"/>
      <c r="AN1977" s="43"/>
      <c r="AO1977" s="43"/>
      <c r="AP1977" s="43"/>
      <c r="AQ1977" s="43"/>
      <c r="AR1977" s="43"/>
      <c r="AS1977" s="43"/>
      <c r="AT1977" s="43"/>
      <c r="AU1977" s="43"/>
      <c r="AV1977" s="43"/>
    </row>
    <row r="1978" ht="15.75" spans="1:48">
      <c r="A1978" s="12">
        <v>1974</v>
      </c>
      <c r="B1978" s="44">
        <v>692</v>
      </c>
      <c r="C1978" s="45" t="s">
        <v>142</v>
      </c>
      <c r="D1978" s="46"/>
      <c r="E1978" s="47" t="s">
        <v>50</v>
      </c>
      <c r="F1978" s="48">
        <v>3</v>
      </c>
      <c r="G1978" s="38">
        <v>0.34</v>
      </c>
      <c r="H1978" s="39"/>
      <c r="I1978" s="39"/>
      <c r="J1978" s="39"/>
      <c r="K1978" s="39"/>
      <c r="L1978" s="39"/>
      <c r="M1978" s="39"/>
      <c r="N1978" s="39"/>
      <c r="O1978" s="39"/>
      <c r="P1978" s="39"/>
      <c r="Q1978" s="39"/>
      <c r="R1978" s="39"/>
      <c r="S1978" s="39">
        <v>0.17</v>
      </c>
      <c r="T1978" s="39"/>
      <c r="U1978" s="39">
        <v>0.17</v>
      </c>
      <c r="V1978" s="39"/>
      <c r="W1978" s="39"/>
      <c r="X1978" s="49" t="s">
        <v>101</v>
      </c>
      <c r="Y1978" s="50">
        <v>5760</v>
      </c>
      <c r="Z1978" s="51">
        <v>3960</v>
      </c>
      <c r="AA1978" s="52">
        <f t="shared" si="50"/>
        <v>0.6875</v>
      </c>
      <c r="AB1978" s="12">
        <v>3960</v>
      </c>
      <c r="AC1978" s="12">
        <v>0</v>
      </c>
      <c r="AD1978" s="43"/>
      <c r="AE1978" s="43"/>
      <c r="AF1978" s="43"/>
      <c r="AG1978" s="43"/>
      <c r="AH1978" s="43"/>
      <c r="AI1978" s="43"/>
      <c r="AJ1978" s="43"/>
      <c r="AK1978" s="43"/>
      <c r="AL1978" s="43"/>
      <c r="AM1978" s="43"/>
      <c r="AN1978" s="43"/>
      <c r="AO1978" s="43"/>
      <c r="AP1978" s="43"/>
      <c r="AQ1978" s="43"/>
      <c r="AR1978" s="43"/>
      <c r="AS1978" s="43"/>
      <c r="AT1978" s="43"/>
      <c r="AU1978" s="43"/>
      <c r="AV1978" s="43"/>
    </row>
    <row r="1979" ht="15.75" spans="1:48">
      <c r="A1979" s="12">
        <v>1975</v>
      </c>
      <c r="B1979" s="44">
        <v>692</v>
      </c>
      <c r="C1979" s="45" t="s">
        <v>142</v>
      </c>
      <c r="D1979" s="46"/>
      <c r="E1979" s="47" t="s">
        <v>50</v>
      </c>
      <c r="F1979" s="48">
        <v>2.5</v>
      </c>
      <c r="G1979" s="38">
        <v>1.17</v>
      </c>
      <c r="H1979" s="39"/>
      <c r="I1979" s="39"/>
      <c r="J1979" s="39"/>
      <c r="K1979" s="39"/>
      <c r="L1979" s="39"/>
      <c r="M1979" s="39"/>
      <c r="N1979" s="39"/>
      <c r="O1979" s="39"/>
      <c r="P1979" s="39"/>
      <c r="Q1979" s="39">
        <v>1.17</v>
      </c>
      <c r="R1979" s="39"/>
      <c r="S1979" s="39"/>
      <c r="T1979" s="39"/>
      <c r="U1979" s="39"/>
      <c r="V1979" s="39"/>
      <c r="W1979" s="39"/>
      <c r="X1979" s="49" t="s">
        <v>229</v>
      </c>
      <c r="Y1979" s="50">
        <v>9300</v>
      </c>
      <c r="Z1979" s="51">
        <v>4860</v>
      </c>
      <c r="AA1979" s="52">
        <f t="shared" si="50"/>
        <v>0.52258064516129</v>
      </c>
      <c r="AB1979" s="12">
        <v>4860</v>
      </c>
      <c r="AC1979" s="12">
        <v>0</v>
      </c>
      <c r="AD1979" s="43"/>
      <c r="AE1979" s="43"/>
      <c r="AF1979" s="43"/>
      <c r="AG1979" s="43"/>
      <c r="AH1979" s="43"/>
      <c r="AI1979" s="43"/>
      <c r="AJ1979" s="43"/>
      <c r="AK1979" s="43"/>
      <c r="AL1979" s="43"/>
      <c r="AM1979" s="43"/>
      <c r="AN1979" s="43"/>
      <c r="AO1979" s="43"/>
      <c r="AP1979" s="43"/>
      <c r="AQ1979" s="43"/>
      <c r="AR1979" s="43"/>
      <c r="AS1979" s="43"/>
      <c r="AT1979" s="43"/>
      <c r="AU1979" s="43"/>
      <c r="AV1979" s="43"/>
    </row>
    <row r="1980" ht="15.75" spans="1:48">
      <c r="A1980" s="12">
        <v>1976</v>
      </c>
      <c r="B1980" s="44">
        <v>692</v>
      </c>
      <c r="C1980" s="45" t="s">
        <v>142</v>
      </c>
      <c r="D1980" s="46"/>
      <c r="E1980" s="47" t="s">
        <v>50</v>
      </c>
      <c r="F1980" s="48">
        <v>2.5</v>
      </c>
      <c r="G1980" s="38">
        <v>0</v>
      </c>
      <c r="H1980" s="39"/>
      <c r="I1980" s="39"/>
      <c r="J1980" s="39"/>
      <c r="K1980" s="39"/>
      <c r="L1980" s="39"/>
      <c r="M1980" s="39"/>
      <c r="N1980" s="39"/>
      <c r="O1980" s="39"/>
      <c r="P1980" s="39"/>
      <c r="Q1980" s="39"/>
      <c r="R1980" s="39"/>
      <c r="S1980" s="39"/>
      <c r="T1980" s="39"/>
      <c r="U1980" s="39"/>
      <c r="V1980" s="39"/>
      <c r="W1980" s="39"/>
      <c r="X1980" s="49" t="s">
        <v>102</v>
      </c>
      <c r="Y1980" s="50">
        <v>7875</v>
      </c>
      <c r="Z1980" s="51">
        <v>5500</v>
      </c>
      <c r="AA1980" s="52">
        <f t="shared" si="50"/>
        <v>0.698412698412698</v>
      </c>
      <c r="AB1980" s="12">
        <v>5500</v>
      </c>
      <c r="AC1980" s="12">
        <v>0</v>
      </c>
      <c r="AD1980" s="43"/>
      <c r="AE1980" s="43"/>
      <c r="AF1980" s="43"/>
      <c r="AG1980" s="43"/>
      <c r="AH1980" s="43"/>
      <c r="AI1980" s="43"/>
      <c r="AJ1980" s="43"/>
      <c r="AK1980" s="43"/>
      <c r="AL1980" s="43"/>
      <c r="AM1980" s="43"/>
      <c r="AN1980" s="43"/>
      <c r="AO1980" s="43"/>
      <c r="AP1980" s="43"/>
      <c r="AQ1980" s="43"/>
      <c r="AR1980" s="43"/>
      <c r="AS1980" s="43"/>
      <c r="AT1980" s="43"/>
      <c r="AU1980" s="43"/>
      <c r="AV1980" s="43"/>
    </row>
    <row r="1981" ht="15.75" spans="1:48">
      <c r="A1981" s="12">
        <v>1977</v>
      </c>
      <c r="B1981" s="44">
        <v>692</v>
      </c>
      <c r="C1981" s="45" t="s">
        <v>142</v>
      </c>
      <c r="D1981" s="46"/>
      <c r="E1981" s="47" t="s">
        <v>50</v>
      </c>
      <c r="F1981" s="48">
        <v>2.5</v>
      </c>
      <c r="G1981" s="38">
        <v>0</v>
      </c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  <c r="S1981" s="39"/>
      <c r="T1981" s="39"/>
      <c r="U1981" s="39"/>
      <c r="V1981" s="39"/>
      <c r="W1981" s="39"/>
      <c r="X1981" s="49" t="s">
        <v>100</v>
      </c>
      <c r="Y1981" s="50">
        <v>4800</v>
      </c>
      <c r="Z1981" s="51">
        <v>3600</v>
      </c>
      <c r="AA1981" s="52">
        <f t="shared" si="50"/>
        <v>0.75</v>
      </c>
      <c r="AB1981" s="12">
        <v>3600</v>
      </c>
      <c r="AC1981" s="12">
        <v>0</v>
      </c>
      <c r="AD1981" s="43"/>
      <c r="AE1981" s="43"/>
      <c r="AF1981" s="43"/>
      <c r="AG1981" s="43"/>
      <c r="AH1981" s="43"/>
      <c r="AI1981" s="43"/>
      <c r="AJ1981" s="43"/>
      <c r="AK1981" s="43"/>
      <c r="AL1981" s="43"/>
      <c r="AM1981" s="43"/>
      <c r="AN1981" s="43"/>
      <c r="AO1981" s="43"/>
      <c r="AP1981" s="43"/>
      <c r="AQ1981" s="43"/>
      <c r="AR1981" s="43"/>
      <c r="AS1981" s="43"/>
      <c r="AT1981" s="43"/>
      <c r="AU1981" s="43"/>
      <c r="AV1981" s="43"/>
    </row>
    <row r="1982" ht="15.75" spans="1:48">
      <c r="A1982" s="12">
        <v>1978</v>
      </c>
      <c r="B1982" s="44">
        <v>666</v>
      </c>
      <c r="C1982" s="45" t="s">
        <v>151</v>
      </c>
      <c r="D1982" s="46"/>
      <c r="E1982" s="47" t="s">
        <v>50</v>
      </c>
      <c r="F1982" s="48">
        <v>4.17</v>
      </c>
      <c r="G1982" s="38">
        <v>0.83</v>
      </c>
      <c r="H1982" s="39"/>
      <c r="I1982" s="39"/>
      <c r="J1982" s="39"/>
      <c r="K1982" s="39"/>
      <c r="L1982" s="39"/>
      <c r="M1982" s="39"/>
      <c r="N1982" s="39"/>
      <c r="O1982" s="39"/>
      <c r="P1982" s="39"/>
      <c r="Q1982" s="39">
        <v>0.83</v>
      </c>
      <c r="R1982" s="39"/>
      <c r="S1982" s="39"/>
      <c r="T1982" s="39"/>
      <c r="U1982" s="39"/>
      <c r="V1982" s="39"/>
      <c r="W1982" s="39"/>
      <c r="X1982" s="49" t="s">
        <v>101</v>
      </c>
      <c r="Y1982" s="50">
        <v>8006.4</v>
      </c>
      <c r="Z1982" s="51">
        <v>540</v>
      </c>
      <c r="AA1982" s="52">
        <f t="shared" si="50"/>
        <v>0.0674460431654676</v>
      </c>
      <c r="AB1982" s="12">
        <v>540</v>
      </c>
      <c r="AC1982" s="12">
        <v>0</v>
      </c>
      <c r="AD1982" s="43"/>
      <c r="AE1982" s="43"/>
      <c r="AF1982" s="43"/>
      <c r="AG1982" s="43"/>
      <c r="AH1982" s="43"/>
      <c r="AI1982" s="43"/>
      <c r="AJ1982" s="43"/>
      <c r="AK1982" s="43"/>
      <c r="AL1982" s="43"/>
      <c r="AM1982" s="43"/>
      <c r="AN1982" s="43"/>
      <c r="AO1982" s="43"/>
      <c r="AP1982" s="43"/>
      <c r="AQ1982" s="43"/>
      <c r="AR1982" s="43"/>
      <c r="AS1982" s="43"/>
      <c r="AT1982" s="43"/>
      <c r="AU1982" s="43"/>
      <c r="AV1982" s="43"/>
    </row>
    <row r="1983" ht="15.75" spans="1:48">
      <c r="A1983" s="12">
        <v>1979</v>
      </c>
      <c r="B1983" s="44">
        <v>666</v>
      </c>
      <c r="C1983" s="45" t="s">
        <v>151</v>
      </c>
      <c r="D1983" s="46"/>
      <c r="E1983" s="47" t="s">
        <v>50</v>
      </c>
      <c r="F1983" s="48">
        <v>3</v>
      </c>
      <c r="G1983" s="38">
        <v>0</v>
      </c>
      <c r="H1983" s="39"/>
      <c r="I1983" s="39"/>
      <c r="J1983" s="39"/>
      <c r="K1983" s="39"/>
      <c r="L1983" s="39"/>
      <c r="M1983" s="39"/>
      <c r="N1983" s="39"/>
      <c r="O1983" s="39"/>
      <c r="P1983" s="39"/>
      <c r="Q1983" s="39"/>
      <c r="R1983" s="39"/>
      <c r="S1983" s="39"/>
      <c r="T1983" s="39"/>
      <c r="U1983" s="39"/>
      <c r="V1983" s="39"/>
      <c r="W1983" s="39"/>
      <c r="X1983" s="49" t="s">
        <v>229</v>
      </c>
      <c r="Y1983" s="50">
        <v>11160</v>
      </c>
      <c r="Z1983" s="51">
        <v>900</v>
      </c>
      <c r="AA1983" s="52">
        <f t="shared" si="50"/>
        <v>0.0806451612903226</v>
      </c>
      <c r="AB1983" s="12">
        <v>900</v>
      </c>
      <c r="AC1983" s="12">
        <v>0</v>
      </c>
      <c r="AD1983" s="43"/>
      <c r="AE1983" s="43"/>
      <c r="AF1983" s="43"/>
      <c r="AG1983" s="43"/>
      <c r="AH1983" s="43"/>
      <c r="AI1983" s="43"/>
      <c r="AJ1983" s="43"/>
      <c r="AK1983" s="43"/>
      <c r="AL1983" s="43"/>
      <c r="AM1983" s="43"/>
      <c r="AN1983" s="43"/>
      <c r="AO1983" s="43"/>
      <c r="AP1983" s="43"/>
      <c r="AQ1983" s="43"/>
      <c r="AR1983" s="43"/>
      <c r="AS1983" s="43"/>
      <c r="AT1983" s="43"/>
      <c r="AU1983" s="43"/>
      <c r="AV1983" s="43"/>
    </row>
    <row r="1984" ht="15.75" spans="1:48">
      <c r="A1984" s="12">
        <v>1980</v>
      </c>
      <c r="B1984" s="44">
        <v>4384</v>
      </c>
      <c r="C1984" s="45" t="s">
        <v>145</v>
      </c>
      <c r="D1984" s="46"/>
      <c r="E1984" s="47" t="s">
        <v>50</v>
      </c>
      <c r="F1984" s="48">
        <v>1.38</v>
      </c>
      <c r="G1984" s="38">
        <v>0</v>
      </c>
      <c r="H1984" s="39"/>
      <c r="I1984" s="39"/>
      <c r="J1984" s="39"/>
      <c r="K1984" s="39"/>
      <c r="L1984" s="39"/>
      <c r="M1984" s="39"/>
      <c r="N1984" s="39"/>
      <c r="O1984" s="39"/>
      <c r="P1984" s="39"/>
      <c r="Q1984" s="39"/>
      <c r="R1984" s="39"/>
      <c r="S1984" s="39"/>
      <c r="T1984" s="39"/>
      <c r="U1984" s="39"/>
      <c r="V1984" s="39"/>
      <c r="W1984" s="39"/>
      <c r="X1984" s="49" t="s">
        <v>152</v>
      </c>
      <c r="Y1984" s="50">
        <v>6003</v>
      </c>
      <c r="Z1984" s="51">
        <v>6034</v>
      </c>
      <c r="AA1984" s="52">
        <f t="shared" si="50"/>
        <v>1.00516408462435</v>
      </c>
      <c r="AB1984" s="12">
        <v>6034</v>
      </c>
      <c r="AC1984" s="12">
        <v>0</v>
      </c>
      <c r="AD1984" s="43"/>
      <c r="AE1984" s="43"/>
      <c r="AF1984" s="43"/>
      <c r="AG1984" s="43"/>
      <c r="AH1984" s="43"/>
      <c r="AI1984" s="43"/>
      <c r="AJ1984" s="43"/>
      <c r="AK1984" s="43"/>
      <c r="AL1984" s="43"/>
      <c r="AM1984" s="43"/>
      <c r="AN1984" s="43"/>
      <c r="AO1984" s="43"/>
      <c r="AP1984" s="43"/>
      <c r="AQ1984" s="43"/>
      <c r="AR1984" s="43"/>
      <c r="AS1984" s="43"/>
      <c r="AT1984" s="43"/>
      <c r="AU1984" s="43"/>
      <c r="AV1984" s="43"/>
    </row>
    <row r="1985" ht="15.75" spans="1:48">
      <c r="A1985" s="12">
        <v>1981</v>
      </c>
      <c r="B1985" s="44">
        <v>4384</v>
      </c>
      <c r="C1985" s="45" t="s">
        <v>145</v>
      </c>
      <c r="D1985" s="46"/>
      <c r="E1985" s="47" t="s">
        <v>50</v>
      </c>
      <c r="F1985" s="48">
        <v>0.12</v>
      </c>
      <c r="G1985" s="38">
        <v>0</v>
      </c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  <c r="S1985" s="39"/>
      <c r="T1985" s="39"/>
      <c r="U1985" s="39"/>
      <c r="V1985" s="39"/>
      <c r="W1985" s="39"/>
      <c r="X1985" s="49" t="s">
        <v>102</v>
      </c>
      <c r="Y1985" s="50">
        <v>540</v>
      </c>
      <c r="Z1985" s="51">
        <v>500</v>
      </c>
      <c r="AA1985" s="52">
        <f t="shared" si="50"/>
        <v>0.925925925925926</v>
      </c>
      <c r="AB1985" s="12">
        <v>500</v>
      </c>
      <c r="AC1985" s="12">
        <v>0</v>
      </c>
      <c r="AD1985" s="43"/>
      <c r="AE1985" s="43"/>
      <c r="AF1985" s="43"/>
      <c r="AG1985" s="43"/>
      <c r="AH1985" s="43"/>
      <c r="AI1985" s="43"/>
      <c r="AJ1985" s="43"/>
      <c r="AK1985" s="43"/>
      <c r="AL1985" s="43"/>
      <c r="AM1985" s="43"/>
      <c r="AN1985" s="43"/>
      <c r="AO1985" s="43"/>
      <c r="AP1985" s="43"/>
      <c r="AQ1985" s="43"/>
      <c r="AR1985" s="43"/>
      <c r="AS1985" s="43"/>
      <c r="AT1985" s="43"/>
      <c r="AU1985" s="43"/>
      <c r="AV1985" s="43"/>
    </row>
    <row r="1986" ht="15.75" spans="1:48">
      <c r="A1986" s="12">
        <v>1982</v>
      </c>
      <c r="B1986" s="44">
        <v>4017</v>
      </c>
      <c r="C1986" s="45" t="s">
        <v>148</v>
      </c>
      <c r="D1986" s="46"/>
      <c r="E1986" s="47" t="s">
        <v>50</v>
      </c>
      <c r="F1986" s="48">
        <v>2.83</v>
      </c>
      <c r="G1986" s="38">
        <v>0</v>
      </c>
      <c r="H1986" s="39"/>
      <c r="I1986" s="39"/>
      <c r="J1986" s="39"/>
      <c r="K1986" s="39"/>
      <c r="L1986" s="39"/>
      <c r="M1986" s="39"/>
      <c r="N1986" s="39"/>
      <c r="O1986" s="39"/>
      <c r="P1986" s="39"/>
      <c r="Q1986" s="39"/>
      <c r="R1986" s="39"/>
      <c r="S1986" s="39"/>
      <c r="T1986" s="39"/>
      <c r="U1986" s="39"/>
      <c r="V1986" s="39"/>
      <c r="W1986" s="39"/>
      <c r="X1986" s="49" t="s">
        <v>103</v>
      </c>
      <c r="Y1986" s="50">
        <v>2377.2</v>
      </c>
      <c r="Z1986" s="51">
        <v>2215</v>
      </c>
      <c r="AA1986" s="52">
        <f t="shared" si="50"/>
        <v>0.931768467104156</v>
      </c>
      <c r="AB1986" s="12">
        <v>2215</v>
      </c>
      <c r="AC1986" s="12">
        <v>0</v>
      </c>
      <c r="AD1986" s="43"/>
      <c r="AE1986" s="43"/>
      <c r="AF1986" s="43"/>
      <c r="AG1986" s="43"/>
      <c r="AH1986" s="43"/>
      <c r="AI1986" s="43"/>
      <c r="AJ1986" s="43"/>
      <c r="AK1986" s="43"/>
      <c r="AL1986" s="43"/>
      <c r="AM1986" s="43"/>
      <c r="AN1986" s="43"/>
      <c r="AO1986" s="43"/>
      <c r="AP1986" s="43"/>
      <c r="AQ1986" s="43"/>
      <c r="AR1986" s="43"/>
      <c r="AS1986" s="43"/>
      <c r="AT1986" s="43"/>
      <c r="AU1986" s="43"/>
      <c r="AV1986" s="43"/>
    </row>
    <row r="1987" ht="15.75" spans="1:48">
      <c r="A1987" s="12">
        <v>1983</v>
      </c>
      <c r="B1987" s="44">
        <v>551</v>
      </c>
      <c r="C1987" s="45" t="s">
        <v>146</v>
      </c>
      <c r="D1987" s="46"/>
      <c r="E1987" s="47" t="s">
        <v>50</v>
      </c>
      <c r="F1987" s="48">
        <v>1.17</v>
      </c>
      <c r="G1987" s="38">
        <v>0</v>
      </c>
      <c r="H1987" s="39"/>
      <c r="I1987" s="39"/>
      <c r="J1987" s="39"/>
      <c r="K1987" s="39"/>
      <c r="L1987" s="39"/>
      <c r="M1987" s="39"/>
      <c r="N1987" s="39"/>
      <c r="O1987" s="39"/>
      <c r="P1987" s="39"/>
      <c r="Q1987" s="39"/>
      <c r="R1987" s="39"/>
      <c r="S1987" s="39"/>
      <c r="T1987" s="39"/>
      <c r="U1987" s="39"/>
      <c r="V1987" s="39"/>
      <c r="W1987" s="39"/>
      <c r="X1987" s="49" t="s">
        <v>104</v>
      </c>
      <c r="Y1987" s="50">
        <v>17550</v>
      </c>
      <c r="Z1987" s="51">
        <v>20000</v>
      </c>
      <c r="AA1987" s="52">
        <f t="shared" si="50"/>
        <v>1.13960113960114</v>
      </c>
      <c r="AB1987" s="12">
        <v>20000</v>
      </c>
      <c r="AC1987" s="12">
        <v>0</v>
      </c>
      <c r="AD1987" s="43"/>
      <c r="AE1987" s="43"/>
      <c r="AF1987" s="43"/>
      <c r="AG1987" s="43"/>
      <c r="AH1987" s="43"/>
      <c r="AI1987" s="43"/>
      <c r="AJ1987" s="43"/>
      <c r="AK1987" s="43"/>
      <c r="AL1987" s="43"/>
      <c r="AM1987" s="43"/>
      <c r="AN1987" s="43"/>
      <c r="AO1987" s="43"/>
      <c r="AP1987" s="43"/>
      <c r="AQ1987" s="43"/>
      <c r="AR1987" s="43"/>
      <c r="AS1987" s="43"/>
      <c r="AT1987" s="43"/>
      <c r="AU1987" s="43"/>
      <c r="AV1987" s="43"/>
    </row>
    <row r="1988" ht="15.75" spans="1:48">
      <c r="A1988" s="12">
        <v>1984</v>
      </c>
      <c r="B1988" s="53">
        <v>551</v>
      </c>
      <c r="C1988" s="55" t="s">
        <v>146</v>
      </c>
      <c r="D1988" s="56"/>
      <c r="E1988" s="47" t="s">
        <v>50</v>
      </c>
      <c r="F1988" s="48">
        <v>0.5</v>
      </c>
      <c r="G1988" s="38">
        <v>0</v>
      </c>
      <c r="H1988" s="39"/>
      <c r="I1988" s="39"/>
      <c r="J1988" s="39"/>
      <c r="K1988" s="39"/>
      <c r="L1988" s="39"/>
      <c r="M1988" s="39"/>
      <c r="N1988" s="39"/>
      <c r="O1988" s="39"/>
      <c r="P1988" s="39"/>
      <c r="Q1988" s="39"/>
      <c r="R1988" s="39"/>
      <c r="S1988" s="39"/>
      <c r="T1988" s="39"/>
      <c r="U1988" s="39"/>
      <c r="V1988" s="39"/>
      <c r="W1988" s="39"/>
      <c r="X1988" s="49" t="s">
        <v>103</v>
      </c>
      <c r="Y1988" s="50">
        <v>420</v>
      </c>
      <c r="Z1988" s="51">
        <v>480</v>
      </c>
      <c r="AA1988" s="52">
        <f t="shared" si="50"/>
        <v>1.14285714285714</v>
      </c>
      <c r="AB1988" s="12">
        <v>480</v>
      </c>
      <c r="AC1988" s="12">
        <v>0</v>
      </c>
      <c r="AD1988" s="43"/>
      <c r="AE1988" s="43"/>
      <c r="AF1988" s="43"/>
      <c r="AG1988" s="43"/>
      <c r="AH1988" s="43"/>
      <c r="AI1988" s="43"/>
      <c r="AJ1988" s="43"/>
      <c r="AK1988" s="43"/>
      <c r="AL1988" s="43"/>
      <c r="AM1988" s="43"/>
      <c r="AN1988" s="43"/>
      <c r="AO1988" s="43"/>
      <c r="AP1988" s="43"/>
      <c r="AQ1988" s="43"/>
      <c r="AR1988" s="43"/>
      <c r="AS1988" s="43"/>
      <c r="AT1988" s="43"/>
      <c r="AU1988" s="43"/>
      <c r="AV1988" s="43"/>
    </row>
    <row r="1989" ht="15.75" spans="1:48">
      <c r="A1989" s="12">
        <v>1985</v>
      </c>
      <c r="B1989" s="44">
        <v>3526</v>
      </c>
      <c r="C1989" s="45" t="s">
        <v>65</v>
      </c>
      <c r="D1989" s="46"/>
      <c r="E1989" s="47" t="s">
        <v>113</v>
      </c>
      <c r="F1989" s="48">
        <v>10.66</v>
      </c>
      <c r="G1989" s="38">
        <v>1.33</v>
      </c>
      <c r="H1989" s="39"/>
      <c r="I1989" s="39"/>
      <c r="J1989" s="39"/>
      <c r="K1989" s="39"/>
      <c r="L1989" s="39"/>
      <c r="M1989" s="39"/>
      <c r="N1989" s="39"/>
      <c r="O1989" s="39"/>
      <c r="P1989" s="39"/>
      <c r="Q1989" s="39">
        <v>1.33</v>
      </c>
      <c r="R1989" s="39"/>
      <c r="S1989" s="39"/>
      <c r="T1989" s="39"/>
      <c r="U1989" s="39"/>
      <c r="V1989" s="39"/>
      <c r="W1989" s="39"/>
      <c r="X1989" s="49" t="s">
        <v>191</v>
      </c>
      <c r="Y1989" s="50">
        <v>3571.1</v>
      </c>
      <c r="Z1989" s="51">
        <v>3350</v>
      </c>
      <c r="AA1989" s="52">
        <f t="shared" si="50"/>
        <v>0.938086303939963</v>
      </c>
      <c r="AB1989" s="12">
        <v>3350</v>
      </c>
      <c r="AC1989" s="12">
        <v>0</v>
      </c>
      <c r="AD1989" s="43"/>
      <c r="AE1989" s="43"/>
      <c r="AF1989" s="43"/>
      <c r="AG1989" s="43"/>
      <c r="AH1989" s="43"/>
      <c r="AI1989" s="43"/>
      <c r="AJ1989" s="43"/>
      <c r="AK1989" s="43"/>
      <c r="AL1989" s="43"/>
      <c r="AM1989" s="43"/>
      <c r="AN1989" s="43"/>
      <c r="AO1989" s="43"/>
      <c r="AP1989" s="43"/>
      <c r="AQ1989" s="43"/>
      <c r="AR1989" s="43"/>
      <c r="AS1989" s="43"/>
      <c r="AT1989" s="43"/>
      <c r="AU1989" s="43"/>
      <c r="AV1989" s="43"/>
    </row>
    <row r="1990" ht="15.75" spans="1:48">
      <c r="A1990" s="12">
        <v>1986</v>
      </c>
      <c r="B1990" s="44">
        <v>3353</v>
      </c>
      <c r="C1990" s="45" t="s">
        <v>48</v>
      </c>
      <c r="D1990" s="46">
        <v>19</v>
      </c>
      <c r="E1990" s="47" t="s">
        <v>113</v>
      </c>
      <c r="F1990" s="48">
        <v>7.66</v>
      </c>
      <c r="G1990" s="38">
        <v>1.5</v>
      </c>
      <c r="H1990" s="39"/>
      <c r="I1990" s="39"/>
      <c r="J1990" s="39"/>
      <c r="K1990" s="39"/>
      <c r="L1990" s="39"/>
      <c r="M1990" s="39"/>
      <c r="N1990" s="39"/>
      <c r="O1990" s="39"/>
      <c r="P1990" s="39"/>
      <c r="Q1990" s="39">
        <v>1.33</v>
      </c>
      <c r="R1990" s="39"/>
      <c r="S1990" s="39"/>
      <c r="T1990" s="39"/>
      <c r="U1990" s="39">
        <v>0.17</v>
      </c>
      <c r="V1990" s="39"/>
      <c r="W1990" s="39"/>
      <c r="X1990" s="49" t="s">
        <v>412</v>
      </c>
      <c r="Y1990" s="50">
        <v>2566.1</v>
      </c>
      <c r="Z1990" s="51">
        <v>2603</v>
      </c>
      <c r="AA1990" s="52">
        <f t="shared" si="50"/>
        <v>1.01437979813725</v>
      </c>
      <c r="AB1990" s="12">
        <v>2603</v>
      </c>
      <c r="AC1990" s="12">
        <v>0</v>
      </c>
      <c r="AD1990" s="43"/>
      <c r="AE1990" s="43"/>
      <c r="AF1990" s="43"/>
      <c r="AG1990" s="43"/>
      <c r="AH1990" s="43"/>
      <c r="AI1990" s="43"/>
      <c r="AJ1990" s="43"/>
      <c r="AK1990" s="43"/>
      <c r="AL1990" s="43"/>
      <c r="AM1990" s="43"/>
      <c r="AN1990" s="43"/>
      <c r="AO1990" s="43"/>
      <c r="AP1990" s="43"/>
      <c r="AQ1990" s="43"/>
      <c r="AR1990" s="43"/>
      <c r="AS1990" s="43"/>
      <c r="AT1990" s="43"/>
      <c r="AU1990" s="43"/>
      <c r="AV1990" s="43"/>
    </row>
    <row r="1991" ht="15.75" spans="1:48">
      <c r="A1991" s="12">
        <v>1987</v>
      </c>
      <c r="B1991" s="44">
        <v>3353</v>
      </c>
      <c r="C1991" s="45" t="s">
        <v>48</v>
      </c>
      <c r="D1991" s="46"/>
      <c r="E1991" s="47" t="s">
        <v>113</v>
      </c>
      <c r="F1991" s="48">
        <v>2.83</v>
      </c>
      <c r="G1991" s="38">
        <v>0</v>
      </c>
      <c r="H1991" s="39"/>
      <c r="I1991" s="39"/>
      <c r="J1991" s="39"/>
      <c r="K1991" s="39"/>
      <c r="L1991" s="39"/>
      <c r="M1991" s="39"/>
      <c r="N1991" s="39"/>
      <c r="O1991" s="39"/>
      <c r="P1991" s="39"/>
      <c r="Q1991" s="39"/>
      <c r="R1991" s="39"/>
      <c r="S1991" s="39"/>
      <c r="T1991" s="39"/>
      <c r="U1991" s="39"/>
      <c r="V1991" s="39"/>
      <c r="W1991" s="39"/>
      <c r="X1991" s="49" t="s">
        <v>122</v>
      </c>
      <c r="Y1991" s="50">
        <v>0</v>
      </c>
      <c r="Z1991" s="51"/>
      <c r="AA1991" s="52">
        <f t="shared" ref="AA1991:AA1998" si="51">IFERROR(Z1991/Y1991,0)</f>
        <v>0</v>
      </c>
      <c r="AB1991" s="12">
        <v>0</v>
      </c>
      <c r="AC1991" s="12">
        <v>0</v>
      </c>
      <c r="AD1991" s="43"/>
      <c r="AE1991" s="43"/>
      <c r="AF1991" s="43"/>
      <c r="AG1991" s="43"/>
      <c r="AH1991" s="43"/>
      <c r="AI1991" s="43"/>
      <c r="AJ1991" s="43"/>
      <c r="AK1991" s="43"/>
      <c r="AL1991" s="43"/>
      <c r="AM1991" s="43"/>
      <c r="AN1991" s="43"/>
      <c r="AO1991" s="43"/>
      <c r="AP1991" s="43"/>
      <c r="AQ1991" s="43"/>
      <c r="AR1991" s="43"/>
      <c r="AS1991" s="43"/>
      <c r="AT1991" s="43"/>
      <c r="AU1991" s="43"/>
      <c r="AV1991" s="43"/>
    </row>
    <row r="1992" ht="15.75" spans="1:48">
      <c r="A1992" s="12">
        <v>1988</v>
      </c>
      <c r="B1992" s="44">
        <v>4031</v>
      </c>
      <c r="C1992" s="45" t="s">
        <v>64</v>
      </c>
      <c r="D1992" s="46"/>
      <c r="E1992" s="47" t="s">
        <v>113</v>
      </c>
      <c r="F1992" s="48">
        <v>10</v>
      </c>
      <c r="G1992" s="38">
        <v>1.33</v>
      </c>
      <c r="H1992" s="39"/>
      <c r="I1992" s="39"/>
      <c r="J1992" s="39"/>
      <c r="K1992" s="39"/>
      <c r="L1992" s="39"/>
      <c r="M1992" s="39"/>
      <c r="N1992" s="39"/>
      <c r="O1992" s="39"/>
      <c r="P1992" s="39"/>
      <c r="Q1992" s="39">
        <v>1.33</v>
      </c>
      <c r="R1992" s="39"/>
      <c r="S1992" s="39"/>
      <c r="T1992" s="39"/>
      <c r="U1992" s="39"/>
      <c r="V1992" s="39"/>
      <c r="W1992" s="39"/>
      <c r="X1992" s="49" t="s">
        <v>413</v>
      </c>
      <c r="Y1992" s="50">
        <v>1200</v>
      </c>
      <c r="Z1992" s="51">
        <v>900</v>
      </c>
      <c r="AA1992" s="52">
        <f t="shared" si="51"/>
        <v>0.75</v>
      </c>
      <c r="AB1992" s="12">
        <v>900</v>
      </c>
      <c r="AC1992" s="12">
        <v>0</v>
      </c>
      <c r="AD1992" s="43"/>
      <c r="AE1992" s="43"/>
      <c r="AF1992" s="43"/>
      <c r="AG1992" s="43"/>
      <c r="AH1992" s="43"/>
      <c r="AI1992" s="43"/>
      <c r="AJ1992" s="43"/>
      <c r="AK1992" s="43"/>
      <c r="AL1992" s="43"/>
      <c r="AM1992" s="43"/>
      <c r="AN1992" s="43"/>
      <c r="AO1992" s="43"/>
      <c r="AP1992" s="43"/>
      <c r="AQ1992" s="43"/>
      <c r="AR1992" s="43"/>
      <c r="AS1992" s="43"/>
      <c r="AT1992" s="43"/>
      <c r="AU1992" s="43"/>
      <c r="AV1992" s="43"/>
    </row>
    <row r="1993" ht="15.75" spans="1:48">
      <c r="A1993" s="12">
        <v>1989</v>
      </c>
      <c r="B1993" s="44">
        <v>4031</v>
      </c>
      <c r="C1993" s="45" t="s">
        <v>64</v>
      </c>
      <c r="D1993" s="46"/>
      <c r="E1993" s="47" t="s">
        <v>113</v>
      </c>
      <c r="F1993" s="48">
        <v>0.66</v>
      </c>
      <c r="G1993" s="38">
        <v>0</v>
      </c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  <c r="S1993" s="39"/>
      <c r="T1993" s="39"/>
      <c r="U1993" s="39"/>
      <c r="V1993" s="39"/>
      <c r="W1993" s="39"/>
      <c r="X1993" s="49" t="s">
        <v>414</v>
      </c>
      <c r="Y1993" s="50">
        <v>891</v>
      </c>
      <c r="Z1993" s="51">
        <v>900</v>
      </c>
      <c r="AA1993" s="52">
        <f t="shared" si="51"/>
        <v>1.01010101010101</v>
      </c>
      <c r="AB1993" s="12">
        <v>900</v>
      </c>
      <c r="AC1993" s="12">
        <v>0</v>
      </c>
      <c r="AD1993" s="43"/>
      <c r="AE1993" s="43"/>
      <c r="AF1993" s="43"/>
      <c r="AG1993" s="43"/>
      <c r="AH1993" s="43"/>
      <c r="AI1993" s="43"/>
      <c r="AJ1993" s="43"/>
      <c r="AK1993" s="43"/>
      <c r="AL1993" s="43"/>
      <c r="AM1993" s="43"/>
      <c r="AN1993" s="43"/>
      <c r="AO1993" s="43"/>
      <c r="AP1993" s="43"/>
      <c r="AQ1993" s="43"/>
      <c r="AR1993" s="43"/>
      <c r="AS1993" s="43"/>
      <c r="AT1993" s="43"/>
      <c r="AU1993" s="43"/>
      <c r="AV1993" s="43"/>
    </row>
    <row r="1994" ht="15.75" spans="1:48">
      <c r="A1994" s="12">
        <v>1990</v>
      </c>
      <c r="B1994" s="44">
        <v>3352</v>
      </c>
      <c r="C1994" s="45" t="s">
        <v>66</v>
      </c>
      <c r="D1994" s="46"/>
      <c r="E1994" s="47" t="s">
        <v>113</v>
      </c>
      <c r="F1994" s="48">
        <v>10.66</v>
      </c>
      <c r="G1994" s="38">
        <v>1.33</v>
      </c>
      <c r="H1994" s="39"/>
      <c r="I1994" s="39"/>
      <c r="J1994" s="39"/>
      <c r="K1994" s="39"/>
      <c r="L1994" s="39"/>
      <c r="M1994" s="39"/>
      <c r="N1994" s="39"/>
      <c r="O1994" s="39"/>
      <c r="P1994" s="39"/>
      <c r="Q1994" s="39">
        <v>1.33</v>
      </c>
      <c r="R1994" s="39"/>
      <c r="S1994" s="39"/>
      <c r="T1994" s="39"/>
      <c r="U1994" s="39"/>
      <c r="V1994" s="39"/>
      <c r="W1994" s="39"/>
      <c r="X1994" s="49" t="s">
        <v>120</v>
      </c>
      <c r="Y1994" s="50">
        <v>2665</v>
      </c>
      <c r="Z1994" s="51">
        <v>2650</v>
      </c>
      <c r="AA1994" s="52">
        <f t="shared" si="51"/>
        <v>0.99437148217636</v>
      </c>
      <c r="AB1994" s="12">
        <v>2650</v>
      </c>
      <c r="AC1994" s="12">
        <v>0</v>
      </c>
      <c r="AD1994" s="43"/>
      <c r="AE1994" s="43"/>
      <c r="AF1994" s="43"/>
      <c r="AG1994" s="43"/>
      <c r="AH1994" s="43"/>
      <c r="AI1994" s="43"/>
      <c r="AJ1994" s="43"/>
      <c r="AK1994" s="43"/>
      <c r="AL1994" s="43"/>
      <c r="AM1994" s="43"/>
      <c r="AN1994" s="43"/>
      <c r="AO1994" s="43"/>
      <c r="AP1994" s="43"/>
      <c r="AQ1994" s="43"/>
      <c r="AR1994" s="43"/>
      <c r="AS1994" s="43"/>
      <c r="AT1994" s="43"/>
      <c r="AU1994" s="43"/>
      <c r="AV1994" s="43"/>
    </row>
    <row r="1995" ht="15.75" spans="1:48">
      <c r="A1995" s="12">
        <v>1991</v>
      </c>
      <c r="B1995" s="44" t="s">
        <v>389</v>
      </c>
      <c r="C1995" s="45" t="s">
        <v>390</v>
      </c>
      <c r="D1995" s="46">
        <v>11</v>
      </c>
      <c r="E1995" s="47" t="s">
        <v>113</v>
      </c>
      <c r="F1995" s="48">
        <v>10.5</v>
      </c>
      <c r="G1995" s="38">
        <v>1.5</v>
      </c>
      <c r="H1995" s="39"/>
      <c r="I1995" s="39"/>
      <c r="J1995" s="39"/>
      <c r="K1995" s="39"/>
      <c r="L1995" s="39"/>
      <c r="M1995" s="39"/>
      <c r="N1995" s="39"/>
      <c r="O1995" s="39"/>
      <c r="P1995" s="39"/>
      <c r="Q1995" s="39">
        <v>1.33</v>
      </c>
      <c r="R1995" s="39"/>
      <c r="S1995" s="39"/>
      <c r="T1995" s="39"/>
      <c r="U1995" s="39">
        <v>0.17</v>
      </c>
      <c r="V1995" s="39"/>
      <c r="W1995" s="39"/>
      <c r="X1995" s="49" t="s">
        <v>239</v>
      </c>
      <c r="Y1995" s="50">
        <v>5355</v>
      </c>
      <c r="Z1995" s="51">
        <v>5265</v>
      </c>
      <c r="AA1995" s="52">
        <f t="shared" si="51"/>
        <v>0.983193277310924</v>
      </c>
      <c r="AB1995" s="12">
        <v>5265</v>
      </c>
      <c r="AC1995" s="12">
        <v>0</v>
      </c>
      <c r="AD1995" s="43"/>
      <c r="AE1995" s="43"/>
      <c r="AF1995" s="43"/>
      <c r="AG1995" s="43"/>
      <c r="AH1995" s="43"/>
      <c r="AI1995" s="43"/>
      <c r="AJ1995" s="43"/>
      <c r="AK1995" s="43"/>
      <c r="AL1995" s="43"/>
      <c r="AM1995" s="43"/>
      <c r="AN1995" s="43"/>
      <c r="AO1995" s="43"/>
      <c r="AP1995" s="43"/>
      <c r="AQ1995" s="43"/>
      <c r="AR1995" s="43"/>
      <c r="AS1995" s="43"/>
      <c r="AT1995" s="43"/>
      <c r="AU1995" s="43"/>
      <c r="AV1995" s="43"/>
    </row>
    <row r="1996" ht="15.75" spans="1:48">
      <c r="A1996" s="12">
        <v>1992</v>
      </c>
      <c r="B1996" s="44" t="s">
        <v>387</v>
      </c>
      <c r="C1996" s="45" t="s">
        <v>388</v>
      </c>
      <c r="D1996" s="46">
        <v>4</v>
      </c>
      <c r="E1996" s="47" t="s">
        <v>113</v>
      </c>
      <c r="F1996" s="48">
        <v>10</v>
      </c>
      <c r="G1996" s="38">
        <v>2</v>
      </c>
      <c r="H1996" s="39"/>
      <c r="I1996" s="39"/>
      <c r="J1996" s="39"/>
      <c r="K1996" s="39">
        <v>0.5</v>
      </c>
      <c r="L1996" s="39"/>
      <c r="M1996" s="39"/>
      <c r="N1996" s="39"/>
      <c r="O1996" s="39"/>
      <c r="P1996" s="39"/>
      <c r="Q1996" s="39">
        <v>1.33</v>
      </c>
      <c r="R1996" s="39"/>
      <c r="S1996" s="39"/>
      <c r="T1996" s="39"/>
      <c r="U1996" s="39">
        <v>0.17</v>
      </c>
      <c r="V1996" s="39"/>
      <c r="W1996" s="39"/>
      <c r="X1996" s="49">
        <v>9116</v>
      </c>
      <c r="Y1996" s="50">
        <v>3000</v>
      </c>
      <c r="Z1996" s="51">
        <v>2400</v>
      </c>
      <c r="AA1996" s="52">
        <f t="shared" si="51"/>
        <v>0.8</v>
      </c>
      <c r="AB1996" s="12">
        <v>2400</v>
      </c>
      <c r="AC1996" s="12">
        <v>0</v>
      </c>
      <c r="AD1996" s="43"/>
      <c r="AE1996" s="43"/>
      <c r="AF1996" s="43"/>
      <c r="AG1996" s="43"/>
      <c r="AH1996" s="43"/>
      <c r="AI1996" s="43"/>
      <c r="AJ1996" s="43"/>
      <c r="AK1996" s="43"/>
      <c r="AL1996" s="43"/>
      <c r="AM1996" s="43"/>
      <c r="AN1996" s="43"/>
      <c r="AO1996" s="43"/>
      <c r="AP1996" s="43"/>
      <c r="AQ1996" s="43"/>
      <c r="AR1996" s="43"/>
      <c r="AS1996" s="43"/>
      <c r="AT1996" s="43"/>
      <c r="AU1996" s="43"/>
      <c r="AV1996" s="43"/>
    </row>
    <row r="1997" ht="15.75" spans="1:48">
      <c r="A1997" s="12">
        <v>1993</v>
      </c>
      <c r="B1997" s="44">
        <v>832</v>
      </c>
      <c r="C1997" s="45" t="s">
        <v>280</v>
      </c>
      <c r="D1997" s="46">
        <v>12</v>
      </c>
      <c r="E1997" s="47" t="s">
        <v>113</v>
      </c>
      <c r="F1997" s="48">
        <v>3.83</v>
      </c>
      <c r="G1997" s="38">
        <v>0</v>
      </c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  <c r="S1997" s="39"/>
      <c r="T1997" s="39"/>
      <c r="U1997" s="39"/>
      <c r="V1997" s="39"/>
      <c r="W1997" s="39"/>
      <c r="X1997" s="49" t="s">
        <v>71</v>
      </c>
      <c r="Y1997" s="50">
        <v>1283.05</v>
      </c>
      <c r="Z1997" s="51">
        <v>1290</v>
      </c>
      <c r="AA1997" s="52">
        <f t="shared" si="51"/>
        <v>1.00541678032812</v>
      </c>
      <c r="AB1997" s="12">
        <v>1290</v>
      </c>
      <c r="AC1997" s="12">
        <v>0</v>
      </c>
      <c r="AD1997" s="43"/>
      <c r="AE1997" s="43"/>
      <c r="AF1997" s="43"/>
      <c r="AG1997" s="43"/>
      <c r="AH1997" s="43"/>
      <c r="AI1997" s="43"/>
      <c r="AJ1997" s="43"/>
      <c r="AK1997" s="43"/>
      <c r="AL1997" s="43"/>
      <c r="AM1997" s="43"/>
      <c r="AN1997" s="43"/>
      <c r="AO1997" s="43"/>
      <c r="AP1997" s="43"/>
      <c r="AQ1997" s="43"/>
      <c r="AR1997" s="43"/>
      <c r="AS1997" s="43"/>
      <c r="AT1997" s="43"/>
      <c r="AU1997" s="43"/>
      <c r="AV1997" s="43"/>
    </row>
    <row r="1998" ht="15.75" spans="1:48">
      <c r="A1998" s="12">
        <v>1994</v>
      </c>
      <c r="B1998" s="44">
        <v>698</v>
      </c>
      <c r="C1998" s="45" t="s">
        <v>68</v>
      </c>
      <c r="D1998" s="46">
        <v>12</v>
      </c>
      <c r="E1998" s="47" t="s">
        <v>113</v>
      </c>
      <c r="F1998" s="48">
        <v>8.5</v>
      </c>
      <c r="G1998" s="38">
        <v>1.51</v>
      </c>
      <c r="H1998" s="39"/>
      <c r="I1998" s="39"/>
      <c r="J1998" s="39"/>
      <c r="K1998" s="39">
        <v>0.17</v>
      </c>
      <c r="L1998" s="39"/>
      <c r="M1998" s="39"/>
      <c r="N1998" s="39"/>
      <c r="O1998" s="39"/>
      <c r="P1998" s="39"/>
      <c r="Q1998" s="39">
        <v>1.17</v>
      </c>
      <c r="R1998" s="39"/>
      <c r="S1998" s="39"/>
      <c r="T1998" s="39"/>
      <c r="U1998" s="39">
        <v>0.17</v>
      </c>
      <c r="V1998" s="39"/>
      <c r="W1998" s="39"/>
      <c r="X1998" s="49" t="s">
        <v>71</v>
      </c>
      <c r="Y1998" s="50">
        <v>2847.5</v>
      </c>
      <c r="Z1998" s="51">
        <v>2880</v>
      </c>
      <c r="AA1998" s="52">
        <f t="shared" si="51"/>
        <v>1.01141352063213</v>
      </c>
      <c r="AB1998" s="12">
        <v>2880</v>
      </c>
      <c r="AC1998" s="12">
        <v>0</v>
      </c>
      <c r="AD1998" s="43"/>
      <c r="AE1998" s="43"/>
      <c r="AF1998" s="43"/>
      <c r="AG1998" s="43"/>
      <c r="AH1998" s="43"/>
      <c r="AI1998" s="43"/>
      <c r="AJ1998" s="43"/>
      <c r="AK1998" s="43"/>
      <c r="AL1998" s="43"/>
      <c r="AM1998" s="43"/>
      <c r="AN1998" s="43"/>
      <c r="AO1998" s="43"/>
      <c r="AP1998" s="43"/>
      <c r="AQ1998" s="43"/>
      <c r="AR1998" s="43"/>
      <c r="AS1998" s="43"/>
      <c r="AT1998" s="43"/>
      <c r="AU1998" s="43"/>
      <c r="AV1998" s="43"/>
    </row>
    <row r="1999" ht="15.75" spans="1:48">
      <c r="A1999" s="12">
        <v>1995</v>
      </c>
      <c r="B1999" s="44">
        <v>2516</v>
      </c>
      <c r="C1999" s="45" t="s">
        <v>189</v>
      </c>
      <c r="D1999" s="46" t="s">
        <v>215</v>
      </c>
      <c r="E1999" s="47" t="s">
        <v>113</v>
      </c>
      <c r="F1999" s="48">
        <v>10.33</v>
      </c>
      <c r="G1999" s="38">
        <v>1.83</v>
      </c>
      <c r="H1999" s="39"/>
      <c r="I1999" s="39"/>
      <c r="J1999" s="39"/>
      <c r="K1999" s="39"/>
      <c r="L1999" s="39"/>
      <c r="M1999" s="39"/>
      <c r="N1999" s="39"/>
      <c r="O1999" s="39"/>
      <c r="P1999" s="39"/>
      <c r="Q1999" s="39">
        <v>1.33</v>
      </c>
      <c r="R1999" s="39"/>
      <c r="S1999" s="39"/>
      <c r="T1999" s="39"/>
      <c r="U1999" s="39">
        <v>0.5</v>
      </c>
      <c r="V1999" s="39"/>
      <c r="W1999" s="39"/>
      <c r="X1999" s="49" t="s">
        <v>117</v>
      </c>
      <c r="Y1999" s="50">
        <v>32074.65</v>
      </c>
      <c r="Z1999" s="51">
        <v>32580</v>
      </c>
      <c r="AA1999" s="52">
        <f t="shared" ref="AA1999:AA2022" si="52">IFERROR(Z1999/Y1999,0)</f>
        <v>1.01575543302889</v>
      </c>
      <c r="AB1999" s="12">
        <v>32578</v>
      </c>
      <c r="AC1999" s="12">
        <v>2</v>
      </c>
      <c r="AD1999" s="43"/>
      <c r="AE1999" s="43"/>
      <c r="AF1999" s="43"/>
      <c r="AG1999" s="43"/>
      <c r="AH1999" s="43"/>
      <c r="AI1999" s="43"/>
      <c r="AJ1999" s="43"/>
      <c r="AK1999" s="43"/>
      <c r="AL1999" s="43"/>
      <c r="AM1999" s="43"/>
      <c r="AN1999" s="19">
        <v>2</v>
      </c>
      <c r="AO1999" s="43"/>
      <c r="AP1999" s="43"/>
      <c r="AQ1999" s="43"/>
      <c r="AR1999" s="43"/>
      <c r="AS1999" s="43"/>
      <c r="AT1999" s="43"/>
      <c r="AU1999" s="43"/>
      <c r="AV1999" s="43"/>
    </row>
    <row r="2000" ht="15.75" spans="1:48">
      <c r="A2000" s="12">
        <v>1996</v>
      </c>
      <c r="B2000" s="44">
        <v>4396</v>
      </c>
      <c r="C2000" s="45" t="s">
        <v>415</v>
      </c>
      <c r="D2000" s="46"/>
      <c r="E2000" s="47" t="s">
        <v>113</v>
      </c>
      <c r="F2000" s="48">
        <v>3</v>
      </c>
      <c r="G2000" s="38">
        <v>0</v>
      </c>
      <c r="H2000" s="39"/>
      <c r="I2000" s="39"/>
      <c r="J2000" s="39"/>
      <c r="K2000" s="39"/>
      <c r="L2000" s="39"/>
      <c r="M2000" s="39"/>
      <c r="N2000" s="39"/>
      <c r="O2000" s="39"/>
      <c r="P2000" s="39"/>
      <c r="Q2000" s="39"/>
      <c r="R2000" s="39"/>
      <c r="S2000" s="39"/>
      <c r="T2000" s="39"/>
      <c r="U2000" s="39"/>
      <c r="V2000" s="39"/>
      <c r="W2000" s="39"/>
      <c r="X2000" s="49" t="s">
        <v>199</v>
      </c>
      <c r="Y2000" s="50">
        <v>1050</v>
      </c>
      <c r="Z2000" s="51">
        <v>915</v>
      </c>
      <c r="AA2000" s="52">
        <f t="shared" si="52"/>
        <v>0.871428571428571</v>
      </c>
      <c r="AB2000" s="12">
        <v>915</v>
      </c>
      <c r="AC2000" s="12">
        <v>0</v>
      </c>
      <c r="AD2000" s="43"/>
      <c r="AE2000" s="43"/>
      <c r="AF2000" s="43"/>
      <c r="AG2000" s="43"/>
      <c r="AH2000" s="43"/>
      <c r="AI2000" s="43"/>
      <c r="AJ2000" s="43"/>
      <c r="AK2000" s="43"/>
      <c r="AL2000" s="43"/>
      <c r="AM2000" s="43"/>
      <c r="AN2000" s="43"/>
      <c r="AO2000" s="43"/>
      <c r="AP2000" s="43"/>
      <c r="AQ2000" s="43"/>
      <c r="AR2000" s="43"/>
      <c r="AS2000" s="43"/>
      <c r="AT2000" s="43"/>
      <c r="AU2000" s="43"/>
      <c r="AV2000" s="43"/>
    </row>
    <row r="2001" ht="15.75" spans="1:48">
      <c r="A2001" s="12">
        <v>1997</v>
      </c>
      <c r="B2001" s="44">
        <v>4452</v>
      </c>
      <c r="C2001" s="45" t="s">
        <v>416</v>
      </c>
      <c r="D2001" s="46">
        <v>1</v>
      </c>
      <c r="E2001" s="47" t="s">
        <v>113</v>
      </c>
      <c r="F2001" s="48">
        <v>3</v>
      </c>
      <c r="G2001" s="38">
        <v>0</v>
      </c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  <c r="S2001" s="39"/>
      <c r="T2001" s="39"/>
      <c r="U2001" s="39"/>
      <c r="V2001" s="39"/>
      <c r="W2001" s="39"/>
      <c r="X2001" s="49" t="s">
        <v>199</v>
      </c>
      <c r="Y2001" s="50">
        <v>1050</v>
      </c>
      <c r="Z2001" s="51">
        <v>915</v>
      </c>
      <c r="AA2001" s="52">
        <f t="shared" si="52"/>
        <v>0.871428571428571</v>
      </c>
      <c r="AB2001" s="12">
        <v>915</v>
      </c>
      <c r="AC2001" s="12">
        <v>0</v>
      </c>
      <c r="AD2001" s="43"/>
      <c r="AE2001" s="43"/>
      <c r="AF2001" s="43"/>
      <c r="AG2001" s="43"/>
      <c r="AH2001" s="43"/>
      <c r="AI2001" s="43"/>
      <c r="AJ2001" s="43"/>
      <c r="AK2001" s="43"/>
      <c r="AL2001" s="43"/>
      <c r="AM2001" s="43"/>
      <c r="AN2001" s="43"/>
      <c r="AO2001" s="43"/>
      <c r="AP2001" s="43"/>
      <c r="AQ2001" s="43"/>
      <c r="AR2001" s="43"/>
      <c r="AS2001" s="43"/>
      <c r="AT2001" s="43"/>
      <c r="AU2001" s="43"/>
      <c r="AV2001" s="43"/>
    </row>
    <row r="2002" ht="15.75" spans="1:48">
      <c r="A2002" s="12">
        <v>1998</v>
      </c>
      <c r="B2002" s="44">
        <v>4185</v>
      </c>
      <c r="C2002" s="45" t="s">
        <v>72</v>
      </c>
      <c r="D2002" s="46" t="s">
        <v>161</v>
      </c>
      <c r="E2002" s="47" t="s">
        <v>245</v>
      </c>
      <c r="F2002" s="48">
        <v>9.67</v>
      </c>
      <c r="G2002" s="38">
        <v>2.33</v>
      </c>
      <c r="H2002" s="39"/>
      <c r="I2002" s="39"/>
      <c r="J2002" s="39"/>
      <c r="K2002" s="39">
        <v>0.67</v>
      </c>
      <c r="L2002" s="39"/>
      <c r="M2002" s="39"/>
      <c r="N2002" s="39"/>
      <c r="O2002" s="39"/>
      <c r="P2002" s="39"/>
      <c r="Q2002" s="39">
        <v>1.33</v>
      </c>
      <c r="R2002" s="39"/>
      <c r="S2002" s="39"/>
      <c r="T2002" s="39"/>
      <c r="U2002" s="39">
        <v>0.33</v>
      </c>
      <c r="V2002" s="39"/>
      <c r="W2002" s="39"/>
      <c r="X2002" s="49" t="s">
        <v>160</v>
      </c>
      <c r="Y2002" s="50">
        <v>64402.2</v>
      </c>
      <c r="Z2002" s="51">
        <v>55360</v>
      </c>
      <c r="AA2002" s="52">
        <f t="shared" si="52"/>
        <v>0.859597964044707</v>
      </c>
      <c r="AB2002" s="12">
        <v>55256</v>
      </c>
      <c r="AC2002" s="12">
        <v>104</v>
      </c>
      <c r="AD2002" s="43"/>
      <c r="AE2002" s="43"/>
      <c r="AF2002" s="43"/>
      <c r="AG2002" s="19">
        <v>104</v>
      </c>
      <c r="AH2002" s="43"/>
      <c r="AI2002" s="43"/>
      <c r="AJ2002" s="43"/>
      <c r="AK2002" s="43"/>
      <c r="AL2002" s="43"/>
      <c r="AM2002" s="43"/>
      <c r="AN2002" s="43"/>
      <c r="AO2002" s="43"/>
      <c r="AP2002" s="43"/>
      <c r="AQ2002" s="43"/>
      <c r="AR2002" s="43"/>
      <c r="AS2002" s="43"/>
      <c r="AT2002" s="43"/>
      <c r="AU2002" s="43"/>
      <c r="AV2002" s="43"/>
    </row>
    <row r="2003" ht="15.75" spans="1:48">
      <c r="A2003" s="12">
        <v>1999</v>
      </c>
      <c r="B2003" s="44">
        <v>4185</v>
      </c>
      <c r="C2003" s="45" t="s">
        <v>72</v>
      </c>
      <c r="D2003" s="46" t="s">
        <v>159</v>
      </c>
      <c r="E2003" s="47" t="s">
        <v>245</v>
      </c>
      <c r="F2003" s="48">
        <v>10</v>
      </c>
      <c r="G2003" s="38">
        <v>1.99</v>
      </c>
      <c r="H2003" s="39"/>
      <c r="I2003" s="39"/>
      <c r="J2003" s="39"/>
      <c r="K2003" s="39">
        <v>0.33</v>
      </c>
      <c r="L2003" s="39"/>
      <c r="M2003" s="39"/>
      <c r="N2003" s="39"/>
      <c r="O2003" s="39"/>
      <c r="P2003" s="39"/>
      <c r="Q2003" s="39">
        <v>1.33</v>
      </c>
      <c r="R2003" s="39"/>
      <c r="S2003" s="39"/>
      <c r="T2003" s="39"/>
      <c r="U2003" s="39">
        <v>0.33</v>
      </c>
      <c r="V2003" s="39"/>
      <c r="W2003" s="39"/>
      <c r="X2003" s="49" t="s">
        <v>160</v>
      </c>
      <c r="Y2003" s="50">
        <v>66600</v>
      </c>
      <c r="Z2003" s="51">
        <v>58080</v>
      </c>
      <c r="AA2003" s="52">
        <f t="shared" si="52"/>
        <v>0.872072072072072</v>
      </c>
      <c r="AB2003" s="12">
        <v>57960</v>
      </c>
      <c r="AC2003" s="12">
        <v>120</v>
      </c>
      <c r="AD2003" s="43"/>
      <c r="AE2003" s="43"/>
      <c r="AF2003" s="43"/>
      <c r="AG2003" s="19">
        <v>120</v>
      </c>
      <c r="AH2003" s="43"/>
      <c r="AI2003" s="43"/>
      <c r="AJ2003" s="43"/>
      <c r="AK2003" s="43"/>
      <c r="AL2003" s="43"/>
      <c r="AM2003" s="43"/>
      <c r="AN2003" s="43"/>
      <c r="AO2003" s="43"/>
      <c r="AP2003" s="43"/>
      <c r="AQ2003" s="43"/>
      <c r="AR2003" s="43"/>
      <c r="AS2003" s="43"/>
      <c r="AT2003" s="43"/>
      <c r="AU2003" s="43"/>
      <c r="AV2003" s="43"/>
    </row>
    <row r="2004" ht="15.75" spans="1:48">
      <c r="A2004" s="12">
        <v>2000</v>
      </c>
      <c r="B2004" s="44">
        <v>4185</v>
      </c>
      <c r="C2004" s="45" t="s">
        <v>72</v>
      </c>
      <c r="D2004" s="46" t="s">
        <v>417</v>
      </c>
      <c r="E2004" s="47" t="s">
        <v>245</v>
      </c>
      <c r="F2004" s="48">
        <v>10</v>
      </c>
      <c r="G2004" s="38">
        <v>1.99</v>
      </c>
      <c r="H2004" s="39"/>
      <c r="I2004" s="39"/>
      <c r="J2004" s="39"/>
      <c r="K2004" s="39">
        <v>0.33</v>
      </c>
      <c r="L2004" s="39"/>
      <c r="M2004" s="39"/>
      <c r="N2004" s="39"/>
      <c r="O2004" s="39"/>
      <c r="P2004" s="39"/>
      <c r="Q2004" s="39">
        <v>1.33</v>
      </c>
      <c r="R2004" s="39"/>
      <c r="S2004" s="39"/>
      <c r="T2004" s="39"/>
      <c r="U2004" s="39">
        <v>0.33</v>
      </c>
      <c r="V2004" s="39"/>
      <c r="W2004" s="39"/>
      <c r="X2004" s="49" t="s">
        <v>418</v>
      </c>
      <c r="Y2004" s="50">
        <v>45000</v>
      </c>
      <c r="Z2004" s="51">
        <v>43440</v>
      </c>
      <c r="AA2004" s="52">
        <f t="shared" si="52"/>
        <v>0.965333333333333</v>
      </c>
      <c r="AB2004" s="12">
        <v>43404</v>
      </c>
      <c r="AC2004" s="12">
        <v>36</v>
      </c>
      <c r="AD2004" s="43"/>
      <c r="AE2004" s="43"/>
      <c r="AF2004" s="43"/>
      <c r="AG2004" s="19">
        <v>36</v>
      </c>
      <c r="AH2004" s="43"/>
      <c r="AI2004" s="43"/>
      <c r="AJ2004" s="43"/>
      <c r="AK2004" s="43"/>
      <c r="AL2004" s="43"/>
      <c r="AM2004" s="43"/>
      <c r="AN2004" s="43"/>
      <c r="AO2004" s="43"/>
      <c r="AP2004" s="43"/>
      <c r="AQ2004" s="43"/>
      <c r="AR2004" s="43"/>
      <c r="AS2004" s="43"/>
      <c r="AT2004" s="43"/>
      <c r="AU2004" s="43"/>
      <c r="AV2004" s="43"/>
    </row>
    <row r="2005" ht="15.75" spans="1:48">
      <c r="A2005" s="12">
        <v>2001</v>
      </c>
      <c r="B2005" s="44">
        <v>4478</v>
      </c>
      <c r="C2005" s="45" t="s">
        <v>128</v>
      </c>
      <c r="D2005" s="46" t="s">
        <v>156</v>
      </c>
      <c r="E2005" s="47" t="s">
        <v>245</v>
      </c>
      <c r="F2005" s="48">
        <v>10.17</v>
      </c>
      <c r="G2005" s="38">
        <v>1.83</v>
      </c>
      <c r="H2005" s="39"/>
      <c r="I2005" s="39"/>
      <c r="J2005" s="39"/>
      <c r="K2005" s="39">
        <v>0.33</v>
      </c>
      <c r="L2005" s="39"/>
      <c r="M2005" s="39"/>
      <c r="N2005" s="39"/>
      <c r="O2005" s="39"/>
      <c r="P2005" s="39"/>
      <c r="Q2005" s="39">
        <v>1.33</v>
      </c>
      <c r="R2005" s="39"/>
      <c r="S2005" s="39"/>
      <c r="T2005" s="39"/>
      <c r="U2005" s="39">
        <v>0.17</v>
      </c>
      <c r="V2005" s="39"/>
      <c r="W2005" s="39"/>
      <c r="X2005" s="49" t="s">
        <v>419</v>
      </c>
      <c r="Y2005" s="50">
        <v>18306</v>
      </c>
      <c r="Z2005" s="51">
        <v>15426</v>
      </c>
      <c r="AA2005" s="52">
        <f t="shared" si="52"/>
        <v>0.84267453294002</v>
      </c>
      <c r="AB2005" s="12">
        <v>15425</v>
      </c>
      <c r="AC2005" s="12">
        <v>1</v>
      </c>
      <c r="AD2005" s="43"/>
      <c r="AE2005" s="43"/>
      <c r="AF2005" s="43"/>
      <c r="AG2005" s="19">
        <v>1</v>
      </c>
      <c r="AH2005" s="43"/>
      <c r="AI2005" s="43"/>
      <c r="AJ2005" s="43"/>
      <c r="AK2005" s="43"/>
      <c r="AL2005" s="43"/>
      <c r="AM2005" s="43"/>
      <c r="AN2005" s="43"/>
      <c r="AO2005" s="43"/>
      <c r="AP2005" s="43"/>
      <c r="AQ2005" s="43"/>
      <c r="AR2005" s="43"/>
      <c r="AS2005" s="43"/>
      <c r="AT2005" s="43"/>
      <c r="AU2005" s="43"/>
      <c r="AV2005" s="43"/>
    </row>
    <row r="2006" ht="15.75" spans="1:48">
      <c r="A2006" s="12">
        <v>2002</v>
      </c>
      <c r="B2006" s="44">
        <v>4344</v>
      </c>
      <c r="C2006" s="45" t="s">
        <v>85</v>
      </c>
      <c r="D2006" s="46" t="s">
        <v>162</v>
      </c>
      <c r="E2006" s="47" t="s">
        <v>245</v>
      </c>
      <c r="F2006" s="48">
        <v>3.17</v>
      </c>
      <c r="G2006" s="38">
        <v>0.17</v>
      </c>
      <c r="H2006" s="39"/>
      <c r="I2006" s="39"/>
      <c r="J2006" s="39"/>
      <c r="K2006" s="39"/>
      <c r="L2006" s="39"/>
      <c r="M2006" s="39"/>
      <c r="N2006" s="39"/>
      <c r="O2006" s="39"/>
      <c r="P2006" s="39"/>
      <c r="Q2006" s="39"/>
      <c r="R2006" s="39"/>
      <c r="S2006" s="39"/>
      <c r="T2006" s="39"/>
      <c r="U2006" s="39">
        <v>0.17</v>
      </c>
      <c r="V2006" s="39"/>
      <c r="W2006" s="39"/>
      <c r="X2006" s="49" t="s">
        <v>420</v>
      </c>
      <c r="Y2006" s="50">
        <v>4834.25</v>
      </c>
      <c r="Z2006" s="51">
        <v>5236</v>
      </c>
      <c r="AA2006" s="52">
        <f t="shared" si="52"/>
        <v>1.08310492837565</v>
      </c>
      <c r="AB2006" s="12">
        <v>5236</v>
      </c>
      <c r="AC2006" s="12">
        <v>0</v>
      </c>
      <c r="AD2006" s="43"/>
      <c r="AE2006" s="43"/>
      <c r="AF2006" s="43"/>
      <c r="AG2006" s="43"/>
      <c r="AH2006" s="43"/>
      <c r="AI2006" s="43"/>
      <c r="AJ2006" s="43"/>
      <c r="AK2006" s="43"/>
      <c r="AL2006" s="43"/>
      <c r="AM2006" s="43"/>
      <c r="AN2006" s="43"/>
      <c r="AO2006" s="43"/>
      <c r="AP2006" s="43"/>
      <c r="AQ2006" s="43"/>
      <c r="AR2006" s="43"/>
      <c r="AS2006" s="43"/>
      <c r="AT2006" s="43"/>
      <c r="AU2006" s="43"/>
      <c r="AV2006" s="43"/>
    </row>
    <row r="2007" ht="15.75" spans="1:48">
      <c r="A2007" s="12">
        <v>2003</v>
      </c>
      <c r="B2007" s="44">
        <v>4344</v>
      </c>
      <c r="C2007" s="45" t="s">
        <v>85</v>
      </c>
      <c r="D2007" s="46" t="s">
        <v>166</v>
      </c>
      <c r="E2007" s="47" t="s">
        <v>245</v>
      </c>
      <c r="F2007" s="48">
        <v>7.17</v>
      </c>
      <c r="G2007" s="38">
        <v>1.5</v>
      </c>
      <c r="H2007" s="39"/>
      <c r="I2007" s="39"/>
      <c r="J2007" s="39"/>
      <c r="K2007" s="39"/>
      <c r="L2007" s="39"/>
      <c r="M2007" s="39"/>
      <c r="N2007" s="39"/>
      <c r="O2007" s="39"/>
      <c r="P2007" s="39"/>
      <c r="Q2007" s="39">
        <v>1.33</v>
      </c>
      <c r="R2007" s="39"/>
      <c r="S2007" s="39"/>
      <c r="T2007" s="39"/>
      <c r="U2007" s="39">
        <v>0.17</v>
      </c>
      <c r="V2007" s="39"/>
      <c r="W2007" s="39"/>
      <c r="X2007" s="49" t="s">
        <v>165</v>
      </c>
      <c r="Y2007" s="50">
        <v>11651.25</v>
      </c>
      <c r="Z2007" s="51">
        <v>10280</v>
      </c>
      <c r="AA2007" s="52">
        <f t="shared" si="52"/>
        <v>0.882308765153953</v>
      </c>
      <c r="AB2007" s="12">
        <v>10280</v>
      </c>
      <c r="AC2007" s="12">
        <v>0</v>
      </c>
      <c r="AD2007" s="43"/>
      <c r="AE2007" s="43"/>
      <c r="AF2007" s="43"/>
      <c r="AG2007" s="43"/>
      <c r="AH2007" s="43"/>
      <c r="AI2007" s="43"/>
      <c r="AJ2007" s="43"/>
      <c r="AK2007" s="43"/>
      <c r="AL2007" s="43"/>
      <c r="AM2007" s="43"/>
      <c r="AN2007" s="43"/>
      <c r="AO2007" s="43"/>
      <c r="AP2007" s="43"/>
      <c r="AQ2007" s="43"/>
      <c r="AR2007" s="43"/>
      <c r="AS2007" s="43"/>
      <c r="AT2007" s="43"/>
      <c r="AU2007" s="43"/>
      <c r="AV2007" s="43"/>
    </row>
    <row r="2008" ht="15.75" spans="1:48">
      <c r="A2008" s="12">
        <v>2004</v>
      </c>
      <c r="B2008" s="44">
        <v>761</v>
      </c>
      <c r="C2008" s="45" t="s">
        <v>89</v>
      </c>
      <c r="D2008" s="46"/>
      <c r="E2008" s="47" t="s">
        <v>245</v>
      </c>
      <c r="F2008" s="48">
        <v>0.33</v>
      </c>
      <c r="G2008" s="38">
        <v>0</v>
      </c>
      <c r="H2008" s="39"/>
      <c r="I2008" s="39"/>
      <c r="J2008" s="39"/>
      <c r="K2008" s="39"/>
      <c r="L2008" s="39"/>
      <c r="M2008" s="39"/>
      <c r="N2008" s="39"/>
      <c r="O2008" s="39"/>
      <c r="P2008" s="39"/>
      <c r="Q2008" s="39"/>
      <c r="R2008" s="39"/>
      <c r="S2008" s="39"/>
      <c r="T2008" s="39"/>
      <c r="U2008" s="39"/>
      <c r="V2008" s="39"/>
      <c r="W2008" s="39"/>
      <c r="X2008" s="49" t="s">
        <v>172</v>
      </c>
      <c r="Y2008" s="50">
        <v>155.1</v>
      </c>
      <c r="Z2008" s="51">
        <v>180</v>
      </c>
      <c r="AA2008" s="52">
        <f t="shared" si="52"/>
        <v>1.1605415860735</v>
      </c>
      <c r="AB2008" s="12">
        <v>180</v>
      </c>
      <c r="AC2008" s="12">
        <v>0</v>
      </c>
      <c r="AD2008" s="43"/>
      <c r="AE2008" s="43"/>
      <c r="AF2008" s="43"/>
      <c r="AG2008" s="43"/>
      <c r="AH2008" s="43"/>
      <c r="AI2008" s="43"/>
      <c r="AJ2008" s="43"/>
      <c r="AK2008" s="43"/>
      <c r="AL2008" s="43"/>
      <c r="AM2008" s="43"/>
      <c r="AN2008" s="43"/>
      <c r="AO2008" s="43"/>
      <c r="AP2008" s="43"/>
      <c r="AQ2008" s="43"/>
      <c r="AR2008" s="43"/>
      <c r="AS2008" s="43"/>
      <c r="AT2008" s="43"/>
      <c r="AU2008" s="43"/>
      <c r="AV2008" s="43"/>
    </row>
    <row r="2009" ht="15.75" spans="1:48">
      <c r="A2009" s="12">
        <v>2005</v>
      </c>
      <c r="B2009" s="44">
        <v>4360</v>
      </c>
      <c r="C2009" s="45" t="s">
        <v>97</v>
      </c>
      <c r="D2009" s="46">
        <v>15</v>
      </c>
      <c r="E2009" s="47" t="s">
        <v>245</v>
      </c>
      <c r="F2009" s="48">
        <v>6.83</v>
      </c>
      <c r="G2009" s="38">
        <v>2.17</v>
      </c>
      <c r="H2009" s="39"/>
      <c r="I2009" s="39"/>
      <c r="J2009" s="39"/>
      <c r="K2009" s="39"/>
      <c r="L2009" s="39"/>
      <c r="M2009" s="39"/>
      <c r="N2009" s="39"/>
      <c r="O2009" s="39"/>
      <c r="P2009" s="39"/>
      <c r="Q2009" s="39">
        <v>1.33</v>
      </c>
      <c r="R2009" s="39"/>
      <c r="S2009" s="39"/>
      <c r="T2009" s="39">
        <v>0.67</v>
      </c>
      <c r="U2009" s="39">
        <v>0.17</v>
      </c>
      <c r="V2009" s="39"/>
      <c r="W2009" s="39"/>
      <c r="X2009" s="49">
        <v>3880</v>
      </c>
      <c r="Y2009" s="50">
        <v>2732</v>
      </c>
      <c r="Z2009" s="51">
        <v>2485</v>
      </c>
      <c r="AA2009" s="52">
        <f t="shared" si="52"/>
        <v>0.909590043923865</v>
      </c>
      <c r="AB2009" s="12">
        <v>2339</v>
      </c>
      <c r="AC2009" s="12">
        <v>146</v>
      </c>
      <c r="AD2009" s="19">
        <v>146</v>
      </c>
      <c r="AE2009" s="43"/>
      <c r="AF2009" s="43"/>
      <c r="AG2009" s="43"/>
      <c r="AH2009" s="43"/>
      <c r="AI2009" s="43"/>
      <c r="AJ2009" s="43"/>
      <c r="AK2009" s="43"/>
      <c r="AL2009" s="43"/>
      <c r="AM2009" s="43"/>
      <c r="AN2009" s="43"/>
      <c r="AO2009" s="43"/>
      <c r="AP2009" s="43"/>
      <c r="AQ2009" s="43"/>
      <c r="AR2009" s="43"/>
      <c r="AS2009" s="43"/>
      <c r="AT2009" s="43"/>
      <c r="AU2009" s="43"/>
      <c r="AV2009" s="43"/>
    </row>
    <row r="2010" ht="15.75" spans="1:48">
      <c r="A2010" s="12">
        <v>2006</v>
      </c>
      <c r="B2010" s="44">
        <v>4382</v>
      </c>
      <c r="C2010" s="45" t="s">
        <v>173</v>
      </c>
      <c r="D2010" s="46">
        <v>17</v>
      </c>
      <c r="E2010" s="47" t="s">
        <v>245</v>
      </c>
      <c r="F2010" s="48">
        <v>9.17</v>
      </c>
      <c r="G2010" s="38">
        <v>2.83</v>
      </c>
      <c r="H2010" s="39"/>
      <c r="I2010" s="39"/>
      <c r="J2010" s="39"/>
      <c r="K2010" s="39"/>
      <c r="L2010" s="39"/>
      <c r="M2010" s="39"/>
      <c r="N2010" s="39"/>
      <c r="O2010" s="39"/>
      <c r="P2010" s="39"/>
      <c r="Q2010" s="39">
        <v>1.33</v>
      </c>
      <c r="R2010" s="39"/>
      <c r="S2010" s="39">
        <v>1.33</v>
      </c>
      <c r="T2010" s="39"/>
      <c r="U2010" s="39">
        <v>0.17</v>
      </c>
      <c r="V2010" s="39"/>
      <c r="W2010" s="39"/>
      <c r="X2010" s="49" t="s">
        <v>421</v>
      </c>
      <c r="Y2010" s="50">
        <v>13296.5</v>
      </c>
      <c r="Z2010" s="51">
        <v>12600</v>
      </c>
      <c r="AA2010" s="52">
        <f t="shared" si="52"/>
        <v>0.947617794156357</v>
      </c>
      <c r="AB2010" s="12">
        <v>12600</v>
      </c>
      <c r="AC2010" s="12">
        <v>0</v>
      </c>
      <c r="AD2010" s="43"/>
      <c r="AE2010" s="43"/>
      <c r="AF2010" s="43"/>
      <c r="AG2010" s="43"/>
      <c r="AH2010" s="43"/>
      <c r="AI2010" s="43"/>
      <c r="AJ2010" s="43"/>
      <c r="AK2010" s="43"/>
      <c r="AL2010" s="43"/>
      <c r="AM2010" s="43"/>
      <c r="AN2010" s="43"/>
      <c r="AO2010" s="43"/>
      <c r="AP2010" s="43"/>
      <c r="AQ2010" s="43"/>
      <c r="AR2010" s="43"/>
      <c r="AS2010" s="43"/>
      <c r="AT2010" s="43"/>
      <c r="AU2010" s="43"/>
      <c r="AV2010" s="43"/>
    </row>
    <row r="2011" ht="15.75" spans="1:48">
      <c r="A2011" s="12">
        <v>2007</v>
      </c>
      <c r="B2011" s="44">
        <v>4324</v>
      </c>
      <c r="C2011" s="45" t="s">
        <v>331</v>
      </c>
      <c r="D2011" s="46">
        <v>21</v>
      </c>
      <c r="E2011" s="47" t="s">
        <v>169</v>
      </c>
      <c r="F2011" s="48">
        <v>7</v>
      </c>
      <c r="G2011" s="38">
        <v>0.67</v>
      </c>
      <c r="H2011" s="39"/>
      <c r="I2011" s="39"/>
      <c r="J2011" s="39"/>
      <c r="K2011" s="39"/>
      <c r="L2011" s="39"/>
      <c r="M2011" s="39"/>
      <c r="N2011" s="39"/>
      <c r="O2011" s="39"/>
      <c r="P2011" s="39"/>
      <c r="Q2011" s="39">
        <v>0.67</v>
      </c>
      <c r="R2011" s="39"/>
      <c r="S2011" s="39"/>
      <c r="T2011" s="39"/>
      <c r="U2011" s="39"/>
      <c r="V2011" s="39"/>
      <c r="W2011" s="39"/>
      <c r="X2011" s="49" t="s">
        <v>96</v>
      </c>
      <c r="Y2011" s="50">
        <v>7105</v>
      </c>
      <c r="Z2011" s="51">
        <v>7000</v>
      </c>
      <c r="AA2011" s="52">
        <f t="shared" si="52"/>
        <v>0.985221674876847</v>
      </c>
      <c r="AB2011" s="12">
        <v>7000</v>
      </c>
      <c r="AC2011" s="12">
        <v>0</v>
      </c>
      <c r="AD2011" s="43"/>
      <c r="AE2011" s="43"/>
      <c r="AF2011" s="43"/>
      <c r="AG2011" s="43"/>
      <c r="AH2011" s="43"/>
      <c r="AI2011" s="43"/>
      <c r="AJ2011" s="43"/>
      <c r="AK2011" s="43"/>
      <c r="AL2011" s="43"/>
      <c r="AM2011" s="43"/>
      <c r="AN2011" s="43"/>
      <c r="AO2011" s="43"/>
      <c r="AP2011" s="43"/>
      <c r="AQ2011" s="43"/>
      <c r="AR2011" s="43"/>
      <c r="AS2011" s="43"/>
      <c r="AT2011" s="43"/>
      <c r="AU2011" s="43"/>
      <c r="AV2011" s="43"/>
    </row>
    <row r="2012" ht="15.75" spans="1:48">
      <c r="A2012" s="12">
        <v>2008</v>
      </c>
      <c r="B2012" s="44">
        <v>4489</v>
      </c>
      <c r="C2012" s="45" t="s">
        <v>88</v>
      </c>
      <c r="D2012" s="46">
        <v>3</v>
      </c>
      <c r="E2012" s="47" t="s">
        <v>113</v>
      </c>
      <c r="F2012" s="48">
        <v>7</v>
      </c>
      <c r="G2012" s="38">
        <v>2.5</v>
      </c>
      <c r="H2012" s="39"/>
      <c r="I2012" s="39"/>
      <c r="J2012" s="39"/>
      <c r="K2012" s="39"/>
      <c r="L2012" s="39"/>
      <c r="M2012" s="39"/>
      <c r="N2012" s="39"/>
      <c r="O2012" s="39"/>
      <c r="P2012" s="39"/>
      <c r="Q2012" s="39">
        <v>1.33</v>
      </c>
      <c r="R2012" s="39"/>
      <c r="S2012" s="39"/>
      <c r="T2012" s="39">
        <v>1</v>
      </c>
      <c r="U2012" s="39">
        <v>0.17</v>
      </c>
      <c r="V2012" s="39"/>
      <c r="W2012" s="39"/>
      <c r="X2012" s="49" t="s">
        <v>219</v>
      </c>
      <c r="Y2012" s="50">
        <v>3640</v>
      </c>
      <c r="Z2012" s="51">
        <v>3139</v>
      </c>
      <c r="AA2012" s="52">
        <f t="shared" si="52"/>
        <v>0.862362637362637</v>
      </c>
      <c r="AB2012" s="12">
        <v>3139</v>
      </c>
      <c r="AC2012" s="12">
        <v>0</v>
      </c>
      <c r="AD2012" s="43"/>
      <c r="AE2012" s="43"/>
      <c r="AF2012" s="43"/>
      <c r="AG2012" s="43"/>
      <c r="AH2012" s="43"/>
      <c r="AI2012" s="43"/>
      <c r="AJ2012" s="43"/>
      <c r="AK2012" s="43"/>
      <c r="AL2012" s="43"/>
      <c r="AM2012" s="43"/>
      <c r="AN2012" s="43"/>
      <c r="AO2012" s="43"/>
      <c r="AP2012" s="43"/>
      <c r="AQ2012" s="43"/>
      <c r="AR2012" s="43"/>
      <c r="AS2012" s="43"/>
      <c r="AT2012" s="43"/>
      <c r="AU2012" s="43"/>
      <c r="AV2012" s="43"/>
    </row>
    <row r="2013" ht="15.75" spans="1:48">
      <c r="A2013" s="12">
        <v>2009</v>
      </c>
      <c r="B2013" s="44">
        <v>3268</v>
      </c>
      <c r="C2013" s="45" t="s">
        <v>80</v>
      </c>
      <c r="D2013" s="46"/>
      <c r="E2013" s="47" t="s">
        <v>113</v>
      </c>
      <c r="F2013" s="48">
        <v>7.17</v>
      </c>
      <c r="G2013" s="38">
        <v>4.84</v>
      </c>
      <c r="H2013" s="39"/>
      <c r="I2013" s="39"/>
      <c r="J2013" s="39"/>
      <c r="K2013" s="39"/>
      <c r="L2013" s="39"/>
      <c r="M2013" s="39"/>
      <c r="N2013" s="39"/>
      <c r="O2013" s="39"/>
      <c r="P2013" s="39"/>
      <c r="Q2013" s="39">
        <v>1.17</v>
      </c>
      <c r="R2013" s="39"/>
      <c r="S2013" s="39">
        <v>3.5</v>
      </c>
      <c r="T2013" s="39"/>
      <c r="U2013" s="39">
        <v>0.17</v>
      </c>
      <c r="V2013" s="39"/>
      <c r="W2013" s="39"/>
      <c r="X2013" s="49">
        <v>5092</v>
      </c>
      <c r="Y2013" s="50">
        <v>258.12</v>
      </c>
      <c r="Z2013" s="51">
        <v>210</v>
      </c>
      <c r="AA2013" s="52">
        <f t="shared" si="52"/>
        <v>0.813575081357508</v>
      </c>
      <c r="AB2013" s="12">
        <v>210</v>
      </c>
      <c r="AC2013" s="12">
        <v>0</v>
      </c>
      <c r="AD2013" s="43"/>
      <c r="AE2013" s="43"/>
      <c r="AF2013" s="43"/>
      <c r="AG2013" s="43"/>
      <c r="AH2013" s="43"/>
      <c r="AI2013" s="43"/>
      <c r="AJ2013" s="43"/>
      <c r="AK2013" s="43"/>
      <c r="AL2013" s="43"/>
      <c r="AM2013" s="43"/>
      <c r="AN2013" s="43"/>
      <c r="AO2013" s="43"/>
      <c r="AP2013" s="43"/>
      <c r="AQ2013" s="43"/>
      <c r="AR2013" s="43"/>
      <c r="AS2013" s="43"/>
      <c r="AT2013" s="43"/>
      <c r="AU2013" s="43"/>
      <c r="AV2013" s="43"/>
    </row>
    <row r="2014" ht="15.75" spans="1:48">
      <c r="A2014" s="12">
        <v>2010</v>
      </c>
      <c r="B2014" s="44" t="s">
        <v>211</v>
      </c>
      <c r="C2014" s="45" t="s">
        <v>176</v>
      </c>
      <c r="D2014" s="46">
        <v>18</v>
      </c>
      <c r="E2014" s="47" t="s">
        <v>113</v>
      </c>
      <c r="F2014" s="48">
        <v>5</v>
      </c>
      <c r="G2014" s="38">
        <v>0</v>
      </c>
      <c r="H2014" s="39"/>
      <c r="I2014" s="39"/>
      <c r="J2014" s="39"/>
      <c r="K2014" s="39"/>
      <c r="L2014" s="39"/>
      <c r="M2014" s="39"/>
      <c r="N2014" s="39"/>
      <c r="O2014" s="39"/>
      <c r="P2014" s="39"/>
      <c r="Q2014" s="39"/>
      <c r="R2014" s="39"/>
      <c r="S2014" s="39"/>
      <c r="T2014" s="39"/>
      <c r="U2014" s="39"/>
      <c r="V2014" s="39"/>
      <c r="W2014" s="39"/>
      <c r="X2014" s="49">
        <v>9968</v>
      </c>
      <c r="Y2014" s="50">
        <v>3025</v>
      </c>
      <c r="Z2014" s="51">
        <v>2797</v>
      </c>
      <c r="AA2014" s="52">
        <f t="shared" si="52"/>
        <v>0.924628099173554</v>
      </c>
      <c r="AB2014" s="12">
        <v>2797</v>
      </c>
      <c r="AC2014" s="12">
        <v>0</v>
      </c>
      <c r="AD2014" s="43"/>
      <c r="AE2014" s="43"/>
      <c r="AF2014" s="43"/>
      <c r="AG2014" s="43"/>
      <c r="AH2014" s="43"/>
      <c r="AI2014" s="43"/>
      <c r="AJ2014" s="43"/>
      <c r="AK2014" s="43"/>
      <c r="AL2014" s="43"/>
      <c r="AM2014" s="43"/>
      <c r="AN2014" s="43"/>
      <c r="AO2014" s="43"/>
      <c r="AP2014" s="43"/>
      <c r="AQ2014" s="43"/>
      <c r="AR2014" s="43"/>
      <c r="AS2014" s="43"/>
      <c r="AT2014" s="43"/>
      <c r="AU2014" s="43"/>
      <c r="AV2014" s="43"/>
    </row>
    <row r="2015" ht="15.75" spans="1:48">
      <c r="A2015" s="12">
        <v>2011</v>
      </c>
      <c r="B2015" s="44" t="s">
        <v>399</v>
      </c>
      <c r="C2015" s="45" t="s">
        <v>400</v>
      </c>
      <c r="D2015" s="46">
        <v>2</v>
      </c>
      <c r="E2015" s="47" t="s">
        <v>93</v>
      </c>
      <c r="F2015" s="48">
        <v>4</v>
      </c>
      <c r="G2015" s="38">
        <v>0.83</v>
      </c>
      <c r="H2015" s="39"/>
      <c r="I2015" s="39"/>
      <c r="J2015" s="39"/>
      <c r="K2015" s="39"/>
      <c r="L2015" s="39"/>
      <c r="M2015" s="39"/>
      <c r="N2015" s="39"/>
      <c r="O2015" s="39"/>
      <c r="P2015" s="39"/>
      <c r="Q2015" s="39">
        <v>0.83</v>
      </c>
      <c r="R2015" s="39"/>
      <c r="S2015" s="39"/>
      <c r="T2015" s="39"/>
      <c r="U2015" s="39"/>
      <c r="V2015" s="39"/>
      <c r="W2015" s="39"/>
      <c r="X2015" s="49">
        <v>1080</v>
      </c>
      <c r="Y2015" s="50">
        <v>1848</v>
      </c>
      <c r="Z2015" s="51">
        <v>1350</v>
      </c>
      <c r="AA2015" s="52">
        <f t="shared" si="52"/>
        <v>0.730519480519481</v>
      </c>
      <c r="AB2015" s="12">
        <v>1350</v>
      </c>
      <c r="AC2015" s="12">
        <v>0</v>
      </c>
      <c r="AD2015" s="43"/>
      <c r="AE2015" s="43"/>
      <c r="AF2015" s="43"/>
      <c r="AG2015" s="43"/>
      <c r="AH2015" s="43"/>
      <c r="AI2015" s="43"/>
      <c r="AJ2015" s="43"/>
      <c r="AK2015" s="43"/>
      <c r="AL2015" s="43"/>
      <c r="AM2015" s="43"/>
      <c r="AN2015" s="43"/>
      <c r="AO2015" s="43"/>
      <c r="AP2015" s="43"/>
      <c r="AQ2015" s="43"/>
      <c r="AR2015" s="43"/>
      <c r="AS2015" s="43"/>
      <c r="AT2015" s="43"/>
      <c r="AU2015" s="43"/>
      <c r="AV2015" s="43"/>
    </row>
    <row r="2016" ht="15.75" spans="1:48">
      <c r="A2016" s="12">
        <v>2012</v>
      </c>
      <c r="B2016" s="44" t="s">
        <v>399</v>
      </c>
      <c r="C2016" s="45" t="s">
        <v>400</v>
      </c>
      <c r="D2016" s="46">
        <v>2</v>
      </c>
      <c r="E2016" s="47" t="s">
        <v>93</v>
      </c>
      <c r="F2016" s="48">
        <v>3.17</v>
      </c>
      <c r="G2016" s="38">
        <v>0</v>
      </c>
      <c r="H2016" s="39"/>
      <c r="I2016" s="39"/>
      <c r="J2016" s="39"/>
      <c r="K2016" s="39"/>
      <c r="L2016" s="39"/>
      <c r="M2016" s="39"/>
      <c r="N2016" s="39"/>
      <c r="O2016" s="39"/>
      <c r="P2016" s="39"/>
      <c r="Q2016" s="39"/>
      <c r="R2016" s="39"/>
      <c r="S2016" s="39"/>
      <c r="T2016" s="39"/>
      <c r="U2016" s="39"/>
      <c r="V2016" s="39"/>
      <c r="W2016" s="39"/>
      <c r="X2016" s="49">
        <v>8234</v>
      </c>
      <c r="Y2016" s="50">
        <v>1464.54</v>
      </c>
      <c r="Z2016" s="51">
        <v>800</v>
      </c>
      <c r="AA2016" s="52">
        <f t="shared" si="52"/>
        <v>0.546246603028937</v>
      </c>
      <c r="AB2016" s="12">
        <v>800</v>
      </c>
      <c r="AC2016" s="12">
        <v>0</v>
      </c>
      <c r="AD2016" s="43"/>
      <c r="AE2016" s="43"/>
      <c r="AF2016" s="43"/>
      <c r="AG2016" s="43"/>
      <c r="AH2016" s="43"/>
      <c r="AI2016" s="43"/>
      <c r="AJ2016" s="43"/>
      <c r="AK2016" s="43"/>
      <c r="AL2016" s="43"/>
      <c r="AM2016" s="43"/>
      <c r="AN2016" s="43"/>
      <c r="AO2016" s="43"/>
      <c r="AP2016" s="43"/>
      <c r="AQ2016" s="43"/>
      <c r="AR2016" s="43"/>
      <c r="AS2016" s="43"/>
      <c r="AT2016" s="43"/>
      <c r="AU2016" s="43"/>
      <c r="AV2016" s="43"/>
    </row>
    <row r="2017" ht="15.75" spans="1:48">
      <c r="A2017" s="12">
        <v>2013</v>
      </c>
      <c r="B2017" s="44">
        <v>4310</v>
      </c>
      <c r="C2017" s="45" t="s">
        <v>99</v>
      </c>
      <c r="D2017" s="46">
        <v>6</v>
      </c>
      <c r="E2017" s="47" t="s">
        <v>113</v>
      </c>
      <c r="F2017" s="48">
        <v>10.67</v>
      </c>
      <c r="G2017" s="38">
        <v>1.34</v>
      </c>
      <c r="H2017" s="39"/>
      <c r="I2017" s="39"/>
      <c r="J2017" s="39"/>
      <c r="K2017" s="39"/>
      <c r="L2017" s="39"/>
      <c r="M2017" s="39"/>
      <c r="N2017" s="39"/>
      <c r="O2017" s="39"/>
      <c r="P2017" s="39"/>
      <c r="Q2017" s="39">
        <v>1.17</v>
      </c>
      <c r="R2017" s="39"/>
      <c r="S2017" s="39"/>
      <c r="T2017" s="39"/>
      <c r="U2017" s="39">
        <v>0.17</v>
      </c>
      <c r="V2017" s="39"/>
      <c r="W2017" s="39"/>
      <c r="X2017" s="49">
        <v>5770</v>
      </c>
      <c r="Y2017" s="50">
        <v>6455.35</v>
      </c>
      <c r="Z2017" s="51">
        <v>6120</v>
      </c>
      <c r="AA2017" s="52">
        <f t="shared" si="52"/>
        <v>0.948050841550032</v>
      </c>
      <c r="AB2017" s="12">
        <v>6120</v>
      </c>
      <c r="AC2017" s="12">
        <v>0</v>
      </c>
      <c r="AD2017" s="43"/>
      <c r="AE2017" s="43"/>
      <c r="AF2017" s="43"/>
      <c r="AG2017" s="43"/>
      <c r="AH2017" s="43"/>
      <c r="AI2017" s="43"/>
      <c r="AJ2017" s="43"/>
      <c r="AK2017" s="43"/>
      <c r="AL2017" s="43"/>
      <c r="AM2017" s="43"/>
      <c r="AN2017" s="43"/>
      <c r="AO2017" s="43"/>
      <c r="AP2017" s="43"/>
      <c r="AQ2017" s="43"/>
      <c r="AR2017" s="43"/>
      <c r="AS2017" s="43"/>
      <c r="AT2017" s="43"/>
      <c r="AU2017" s="43"/>
      <c r="AV2017" s="43"/>
    </row>
    <row r="2018" ht="15.75" spans="1:48">
      <c r="A2018" s="12">
        <v>2014</v>
      </c>
      <c r="B2018" s="44" t="s">
        <v>275</v>
      </c>
      <c r="C2018" s="45" t="s">
        <v>253</v>
      </c>
      <c r="D2018" s="46">
        <v>2</v>
      </c>
      <c r="E2018" s="47" t="s">
        <v>113</v>
      </c>
      <c r="F2018" s="48">
        <v>6</v>
      </c>
      <c r="G2018" s="38">
        <v>1</v>
      </c>
      <c r="H2018" s="39"/>
      <c r="I2018" s="39"/>
      <c r="J2018" s="39"/>
      <c r="K2018" s="39"/>
      <c r="L2018" s="39"/>
      <c r="M2018" s="39"/>
      <c r="N2018" s="39"/>
      <c r="O2018" s="39"/>
      <c r="P2018" s="39"/>
      <c r="Q2018" s="39">
        <v>1</v>
      </c>
      <c r="R2018" s="39"/>
      <c r="S2018" s="39"/>
      <c r="T2018" s="39"/>
      <c r="U2018" s="39"/>
      <c r="V2018" s="39"/>
      <c r="W2018" s="39"/>
      <c r="X2018" s="49">
        <v>8234</v>
      </c>
      <c r="Y2018" s="50">
        <v>3168</v>
      </c>
      <c r="Z2018" s="51">
        <v>3150</v>
      </c>
      <c r="AA2018" s="52">
        <f t="shared" si="52"/>
        <v>0.994318181818182</v>
      </c>
      <c r="AB2018" s="12">
        <v>3150</v>
      </c>
      <c r="AC2018" s="12">
        <v>0</v>
      </c>
      <c r="AD2018" s="43"/>
      <c r="AE2018" s="43"/>
      <c r="AF2018" s="43"/>
      <c r="AG2018" s="43"/>
      <c r="AH2018" s="43"/>
      <c r="AI2018" s="43"/>
      <c r="AJ2018" s="43"/>
      <c r="AK2018" s="43"/>
      <c r="AL2018" s="43"/>
      <c r="AM2018" s="43"/>
      <c r="AN2018" s="43"/>
      <c r="AO2018" s="43"/>
      <c r="AP2018" s="43"/>
      <c r="AQ2018" s="43"/>
      <c r="AR2018" s="43"/>
      <c r="AS2018" s="43"/>
      <c r="AT2018" s="43"/>
      <c r="AU2018" s="43"/>
      <c r="AV2018" s="43"/>
    </row>
    <row r="2019" ht="15.75" spans="1:48">
      <c r="A2019" s="12">
        <v>2015</v>
      </c>
      <c r="B2019" s="44">
        <v>4173</v>
      </c>
      <c r="C2019" s="45" t="s">
        <v>75</v>
      </c>
      <c r="D2019" s="46"/>
      <c r="E2019" s="47" t="s">
        <v>113</v>
      </c>
      <c r="F2019" s="48">
        <v>5.17</v>
      </c>
      <c r="G2019" s="38">
        <v>1</v>
      </c>
      <c r="H2019" s="39"/>
      <c r="I2019" s="39"/>
      <c r="J2019" s="39"/>
      <c r="K2019" s="39"/>
      <c r="L2019" s="39"/>
      <c r="M2019" s="39"/>
      <c r="N2019" s="39"/>
      <c r="O2019" s="39"/>
      <c r="P2019" s="39"/>
      <c r="Q2019" s="39">
        <v>1</v>
      </c>
      <c r="R2019" s="39"/>
      <c r="S2019" s="39"/>
      <c r="T2019" s="39"/>
      <c r="U2019" s="39"/>
      <c r="V2019" s="39"/>
      <c r="W2019" s="39"/>
      <c r="X2019" s="49" t="s">
        <v>90</v>
      </c>
      <c r="Y2019" s="50">
        <v>2429.9</v>
      </c>
      <c r="Z2019" s="51">
        <v>2340</v>
      </c>
      <c r="AA2019" s="52">
        <f t="shared" si="52"/>
        <v>0.963002592699288</v>
      </c>
      <c r="AB2019" s="12">
        <v>2340</v>
      </c>
      <c r="AC2019" s="12">
        <v>0</v>
      </c>
      <c r="AD2019" s="43"/>
      <c r="AE2019" s="43"/>
      <c r="AF2019" s="43"/>
      <c r="AG2019" s="43"/>
      <c r="AH2019" s="43"/>
      <c r="AI2019" s="43"/>
      <c r="AJ2019" s="43"/>
      <c r="AK2019" s="43"/>
      <c r="AL2019" s="43"/>
      <c r="AM2019" s="43"/>
      <c r="AN2019" s="43"/>
      <c r="AO2019" s="43"/>
      <c r="AP2019" s="43"/>
      <c r="AQ2019" s="43"/>
      <c r="AR2019" s="43"/>
      <c r="AS2019" s="43"/>
      <c r="AT2019" s="43"/>
      <c r="AU2019" s="43"/>
      <c r="AV2019" s="43"/>
    </row>
    <row r="2020" ht="15.75" spans="1:48">
      <c r="A2020" s="12">
        <v>2016</v>
      </c>
      <c r="B2020" s="44">
        <v>4173</v>
      </c>
      <c r="C2020" s="45" t="s">
        <v>75</v>
      </c>
      <c r="D2020" s="46"/>
      <c r="E2020" s="47" t="s">
        <v>113</v>
      </c>
      <c r="F2020" s="48">
        <v>1.83</v>
      </c>
      <c r="G2020" s="38">
        <v>0</v>
      </c>
      <c r="H2020" s="39"/>
      <c r="I2020" s="39"/>
      <c r="J2020" s="39"/>
      <c r="K2020" s="39"/>
      <c r="L2020" s="39"/>
      <c r="M2020" s="39"/>
      <c r="N2020" s="39"/>
      <c r="O2020" s="39"/>
      <c r="P2020" s="39"/>
      <c r="Q2020" s="39"/>
      <c r="R2020" s="39"/>
      <c r="S2020" s="39"/>
      <c r="T2020" s="39"/>
      <c r="U2020" s="39"/>
      <c r="V2020" s="39"/>
      <c r="W2020" s="39"/>
      <c r="X2020" s="49" t="s">
        <v>98</v>
      </c>
      <c r="Y2020" s="50">
        <v>860.1</v>
      </c>
      <c r="Z2020" s="51">
        <v>720</v>
      </c>
      <c r="AA2020" s="52">
        <f t="shared" si="52"/>
        <v>0.837111963725148</v>
      </c>
      <c r="AB2020" s="12">
        <v>720</v>
      </c>
      <c r="AC2020" s="12">
        <v>0</v>
      </c>
      <c r="AD2020" s="43"/>
      <c r="AE2020" s="43"/>
      <c r="AF2020" s="43"/>
      <c r="AG2020" s="43"/>
      <c r="AH2020" s="43"/>
      <c r="AI2020" s="43"/>
      <c r="AJ2020" s="43"/>
      <c r="AK2020" s="43"/>
      <c r="AL2020" s="43"/>
      <c r="AM2020" s="43"/>
      <c r="AN2020" s="43"/>
      <c r="AO2020" s="43"/>
      <c r="AP2020" s="43"/>
      <c r="AQ2020" s="43"/>
      <c r="AR2020" s="43"/>
      <c r="AS2020" s="43"/>
      <c r="AT2020" s="43"/>
      <c r="AU2020" s="43"/>
      <c r="AV2020" s="43"/>
    </row>
    <row r="2021" ht="15.75" spans="1:48">
      <c r="A2021" s="12">
        <v>2017</v>
      </c>
      <c r="B2021" s="44">
        <v>676</v>
      </c>
      <c r="C2021" s="45" t="s">
        <v>171</v>
      </c>
      <c r="D2021" s="46"/>
      <c r="E2021" s="47" t="s">
        <v>113</v>
      </c>
      <c r="F2021" s="48">
        <v>4</v>
      </c>
      <c r="G2021" s="38">
        <v>3</v>
      </c>
      <c r="H2021" s="39"/>
      <c r="I2021" s="39"/>
      <c r="J2021" s="39"/>
      <c r="K2021" s="39"/>
      <c r="L2021" s="39"/>
      <c r="M2021" s="39"/>
      <c r="N2021" s="39"/>
      <c r="O2021" s="39"/>
      <c r="P2021" s="39"/>
      <c r="Q2021" s="39">
        <v>1.33</v>
      </c>
      <c r="R2021" s="39"/>
      <c r="S2021" s="39"/>
      <c r="T2021" s="39">
        <v>1.5</v>
      </c>
      <c r="U2021" s="39">
        <v>0.17</v>
      </c>
      <c r="V2021" s="39"/>
      <c r="W2021" s="39"/>
      <c r="X2021" s="49" t="s">
        <v>98</v>
      </c>
      <c r="Y2021" s="50">
        <v>1880</v>
      </c>
      <c r="Z2021" s="51">
        <v>1800</v>
      </c>
      <c r="AA2021" s="52">
        <f t="shared" si="52"/>
        <v>0.957446808510638</v>
      </c>
      <c r="AB2021" s="12">
        <v>1800</v>
      </c>
      <c r="AC2021" s="12">
        <v>0</v>
      </c>
      <c r="AD2021" s="43"/>
      <c r="AE2021" s="43"/>
      <c r="AF2021" s="43"/>
      <c r="AG2021" s="43"/>
      <c r="AH2021" s="43"/>
      <c r="AI2021" s="43"/>
      <c r="AJ2021" s="43"/>
      <c r="AK2021" s="43"/>
      <c r="AL2021" s="43"/>
      <c r="AM2021" s="43"/>
      <c r="AN2021" s="43"/>
      <c r="AO2021" s="43"/>
      <c r="AP2021" s="43"/>
      <c r="AQ2021" s="43"/>
      <c r="AR2021" s="43"/>
      <c r="AS2021" s="43"/>
      <c r="AT2021" s="43"/>
      <c r="AU2021" s="43"/>
      <c r="AV2021" s="43"/>
    </row>
    <row r="2022" ht="15.75" spans="1:48">
      <c r="A2022" s="12">
        <v>2018</v>
      </c>
      <c r="B2022" s="44">
        <v>676</v>
      </c>
      <c r="C2022" s="45" t="s">
        <v>171</v>
      </c>
      <c r="D2022" s="46"/>
      <c r="E2022" s="47" t="s">
        <v>113</v>
      </c>
      <c r="F2022" s="48">
        <v>5</v>
      </c>
      <c r="G2022" s="38">
        <v>0</v>
      </c>
      <c r="H2022" s="39"/>
      <c r="I2022" s="39"/>
      <c r="J2022" s="39"/>
      <c r="K2022" s="39"/>
      <c r="L2022" s="39"/>
      <c r="M2022" s="39"/>
      <c r="N2022" s="39"/>
      <c r="O2022" s="39"/>
      <c r="P2022" s="39"/>
      <c r="Q2022" s="39"/>
      <c r="R2022" s="39"/>
      <c r="S2022" s="39"/>
      <c r="T2022" s="39"/>
      <c r="U2022" s="39"/>
      <c r="V2022" s="39"/>
      <c r="W2022" s="39"/>
      <c r="X2022" s="49" t="s">
        <v>90</v>
      </c>
      <c r="Y2022" s="50">
        <v>2350</v>
      </c>
      <c r="Z2022" s="51">
        <v>2340</v>
      </c>
      <c r="AA2022" s="52">
        <f t="shared" si="52"/>
        <v>0.995744680851064</v>
      </c>
      <c r="AB2022" s="12">
        <v>2340</v>
      </c>
      <c r="AC2022" s="12">
        <v>0</v>
      </c>
      <c r="AD2022" s="43"/>
      <c r="AE2022" s="43"/>
      <c r="AF2022" s="43"/>
      <c r="AG2022" s="43"/>
      <c r="AH2022" s="43"/>
      <c r="AI2022" s="43"/>
      <c r="AJ2022" s="43"/>
      <c r="AK2022" s="43"/>
      <c r="AL2022" s="43"/>
      <c r="AM2022" s="43"/>
      <c r="AN2022" s="43"/>
      <c r="AO2022" s="43"/>
      <c r="AP2022" s="43"/>
      <c r="AQ2022" s="43"/>
      <c r="AR2022" s="43"/>
      <c r="AS2022" s="43"/>
      <c r="AT2022" s="43"/>
      <c r="AU2022" s="43"/>
      <c r="AV2022" s="43"/>
    </row>
    <row r="2023" ht="15.75" spans="1:48">
      <c r="A2023" s="12">
        <v>2019</v>
      </c>
      <c r="B2023" s="44">
        <v>3277</v>
      </c>
      <c r="C2023" s="45" t="s">
        <v>106</v>
      </c>
      <c r="D2023" s="46"/>
      <c r="E2023" s="47" t="s">
        <v>113</v>
      </c>
      <c r="F2023" s="48">
        <v>10.67</v>
      </c>
      <c r="G2023" s="38">
        <v>1.33</v>
      </c>
      <c r="H2023" s="39"/>
      <c r="I2023" s="39"/>
      <c r="J2023" s="39"/>
      <c r="K2023" s="39"/>
      <c r="L2023" s="39"/>
      <c r="M2023" s="39"/>
      <c r="N2023" s="39"/>
      <c r="O2023" s="39"/>
      <c r="P2023" s="39"/>
      <c r="Q2023" s="39">
        <v>1.33</v>
      </c>
      <c r="R2023" s="39"/>
      <c r="S2023" s="39"/>
      <c r="T2023" s="39"/>
      <c r="U2023" s="39"/>
      <c r="V2023" s="39"/>
      <c r="W2023" s="39"/>
      <c r="X2023" s="49" t="s">
        <v>422</v>
      </c>
      <c r="Y2023" s="50">
        <v>0</v>
      </c>
      <c r="Z2023" s="51"/>
      <c r="AA2023" s="52">
        <f>IFERROR(Z2023/Y2023,0)</f>
        <v>0</v>
      </c>
      <c r="AB2023" s="12">
        <v>0</v>
      </c>
      <c r="AC2023" s="12">
        <v>0</v>
      </c>
      <c r="AD2023" s="43"/>
      <c r="AE2023" s="43"/>
      <c r="AF2023" s="43"/>
      <c r="AG2023" s="43"/>
      <c r="AH2023" s="43"/>
      <c r="AI2023" s="43"/>
      <c r="AJ2023" s="43"/>
      <c r="AK2023" s="43"/>
      <c r="AL2023" s="43"/>
      <c r="AM2023" s="43"/>
      <c r="AN2023" s="43"/>
      <c r="AO2023" s="43"/>
      <c r="AP2023" s="43"/>
      <c r="AQ2023" s="43"/>
      <c r="AR2023" s="43"/>
      <c r="AS2023" s="43"/>
      <c r="AT2023" s="43"/>
      <c r="AU2023" s="43"/>
      <c r="AV2023" s="43"/>
    </row>
    <row r="2024" ht="15.75" spans="1:48">
      <c r="A2024" s="12">
        <v>2020</v>
      </c>
      <c r="B2024" s="44">
        <v>669</v>
      </c>
      <c r="C2024" s="45" t="s">
        <v>94</v>
      </c>
      <c r="D2024" s="46"/>
      <c r="E2024" s="47" t="s">
        <v>113</v>
      </c>
      <c r="F2024" s="48">
        <v>10.17</v>
      </c>
      <c r="G2024" s="38">
        <v>1.83</v>
      </c>
      <c r="H2024" s="39"/>
      <c r="I2024" s="39"/>
      <c r="J2024" s="39"/>
      <c r="K2024" s="39"/>
      <c r="L2024" s="39"/>
      <c r="M2024" s="39"/>
      <c r="N2024" s="39"/>
      <c r="O2024" s="39"/>
      <c r="P2024" s="39"/>
      <c r="Q2024" s="39">
        <v>1.33</v>
      </c>
      <c r="R2024" s="39"/>
      <c r="S2024" s="39"/>
      <c r="T2024" s="39">
        <v>0.33</v>
      </c>
      <c r="U2024" s="39">
        <v>0.17</v>
      </c>
      <c r="V2024" s="39"/>
      <c r="W2024" s="39"/>
      <c r="X2024" s="49">
        <v>9968</v>
      </c>
      <c r="Y2024" s="50">
        <v>6152.85</v>
      </c>
      <c r="Z2024" s="51">
        <v>6177</v>
      </c>
      <c r="AA2024" s="52">
        <f>IFERROR(Z2024/Y2024,0)</f>
        <v>1.00392501036105</v>
      </c>
      <c r="AB2024" s="12">
        <v>6094</v>
      </c>
      <c r="AC2024" s="12">
        <v>83</v>
      </c>
      <c r="AD2024" s="19">
        <v>83</v>
      </c>
      <c r="AE2024" s="43"/>
      <c r="AF2024" s="43"/>
      <c r="AG2024" s="43"/>
      <c r="AH2024" s="43"/>
      <c r="AI2024" s="43"/>
      <c r="AJ2024" s="43"/>
      <c r="AK2024" s="43"/>
      <c r="AL2024" s="43"/>
      <c r="AM2024" s="43"/>
      <c r="AN2024" s="43"/>
      <c r="AO2024" s="43"/>
      <c r="AP2024" s="43"/>
      <c r="AQ2024" s="43"/>
      <c r="AR2024" s="43"/>
      <c r="AS2024" s="43"/>
      <c r="AT2024" s="43"/>
      <c r="AU2024" s="43"/>
      <c r="AV2024" s="43"/>
    </row>
    <row r="2025" ht="15.75" spans="1:48">
      <c r="A2025" s="12">
        <v>2021</v>
      </c>
      <c r="B2025" s="44">
        <v>4490</v>
      </c>
      <c r="C2025" s="45" t="s">
        <v>91</v>
      </c>
      <c r="D2025" s="46"/>
      <c r="E2025" s="47" t="s">
        <v>113</v>
      </c>
      <c r="F2025" s="48">
        <v>11</v>
      </c>
      <c r="G2025" s="38">
        <v>1.01</v>
      </c>
      <c r="H2025" s="39"/>
      <c r="I2025" s="39"/>
      <c r="J2025" s="39"/>
      <c r="K2025" s="39">
        <v>0.17</v>
      </c>
      <c r="L2025" s="39"/>
      <c r="M2025" s="39"/>
      <c r="N2025" s="39"/>
      <c r="O2025" s="39"/>
      <c r="P2025" s="39"/>
      <c r="Q2025" s="39"/>
      <c r="R2025" s="39"/>
      <c r="S2025" s="39"/>
      <c r="T2025" s="39">
        <v>0.67</v>
      </c>
      <c r="U2025" s="39">
        <v>0.17</v>
      </c>
      <c r="V2025" s="39"/>
      <c r="W2025" s="39"/>
      <c r="X2025" s="49">
        <v>5770</v>
      </c>
      <c r="Y2025" s="50">
        <v>6655</v>
      </c>
      <c r="Z2025" s="51">
        <v>6840</v>
      </c>
      <c r="AA2025" s="52">
        <f>IFERROR(Z2025/Y2025,0)</f>
        <v>1.02779864763336</v>
      </c>
      <c r="AB2025" s="12">
        <v>6630</v>
      </c>
      <c r="AC2025" s="12">
        <v>210</v>
      </c>
      <c r="AD2025" s="19">
        <v>210</v>
      </c>
      <c r="AE2025" s="43"/>
      <c r="AF2025" s="43"/>
      <c r="AG2025" s="43"/>
      <c r="AH2025" s="43"/>
      <c r="AI2025" s="43"/>
      <c r="AJ2025" s="43"/>
      <c r="AK2025" s="43"/>
      <c r="AL2025" s="43"/>
      <c r="AM2025" s="43"/>
      <c r="AN2025" s="43"/>
      <c r="AO2025" s="43"/>
      <c r="AP2025" s="43"/>
      <c r="AQ2025" s="43"/>
      <c r="AR2025" s="43"/>
      <c r="AS2025" s="43"/>
      <c r="AT2025" s="43"/>
      <c r="AU2025" s="43"/>
      <c r="AV2025" s="43"/>
    </row>
    <row r="2026" ht="15.75" spans="1:48">
      <c r="A2026" s="12">
        <v>2022</v>
      </c>
      <c r="B2026" s="44" t="s">
        <v>185</v>
      </c>
      <c r="C2026" s="45" t="s">
        <v>179</v>
      </c>
      <c r="D2026" s="46">
        <v>7</v>
      </c>
      <c r="E2026" s="47" t="s">
        <v>113</v>
      </c>
      <c r="F2026" s="48">
        <v>7.83</v>
      </c>
      <c r="G2026" s="38">
        <v>2</v>
      </c>
      <c r="H2026" s="39"/>
      <c r="I2026" s="39"/>
      <c r="J2026" s="39"/>
      <c r="K2026" s="39"/>
      <c r="L2026" s="39"/>
      <c r="M2026" s="39"/>
      <c r="N2026" s="39"/>
      <c r="O2026" s="39"/>
      <c r="P2026" s="39"/>
      <c r="Q2026" s="39">
        <v>1.33</v>
      </c>
      <c r="R2026" s="39"/>
      <c r="S2026" s="39">
        <v>0.5</v>
      </c>
      <c r="T2026" s="39"/>
      <c r="U2026" s="39">
        <v>0.17</v>
      </c>
      <c r="V2026" s="39"/>
      <c r="W2026" s="39"/>
      <c r="X2026" s="49" t="s">
        <v>95</v>
      </c>
      <c r="Y2026" s="50">
        <v>10962</v>
      </c>
      <c r="Z2026" s="51">
        <v>9240</v>
      </c>
      <c r="AA2026" s="52">
        <f>IFERROR(Z2026/Y2026,0)</f>
        <v>0.842911877394636</v>
      </c>
      <c r="AB2026" s="12">
        <v>9240</v>
      </c>
      <c r="AC2026" s="12">
        <v>0</v>
      </c>
      <c r="AD2026" s="43"/>
      <c r="AE2026" s="43"/>
      <c r="AF2026" s="43"/>
      <c r="AG2026" s="43"/>
      <c r="AH2026" s="43"/>
      <c r="AI2026" s="43"/>
      <c r="AJ2026" s="43"/>
      <c r="AK2026" s="43"/>
      <c r="AL2026" s="43"/>
      <c r="AM2026" s="43"/>
      <c r="AN2026" s="43"/>
      <c r="AO2026" s="43"/>
      <c r="AP2026" s="43"/>
      <c r="AQ2026" s="43"/>
      <c r="AR2026" s="43"/>
      <c r="AS2026" s="43"/>
      <c r="AT2026" s="43"/>
      <c r="AU2026" s="43"/>
      <c r="AV2026" s="43"/>
    </row>
    <row r="2027" ht="15.75" spans="1:48">
      <c r="A2027" s="12">
        <v>2023</v>
      </c>
      <c r="B2027" s="44" t="s">
        <v>185</v>
      </c>
      <c r="C2027" s="45" t="s">
        <v>179</v>
      </c>
      <c r="D2027" s="46">
        <v>18</v>
      </c>
      <c r="E2027" s="47" t="s">
        <v>113</v>
      </c>
      <c r="F2027" s="48">
        <v>1.17</v>
      </c>
      <c r="G2027" s="38">
        <v>0.17</v>
      </c>
      <c r="H2027" s="39"/>
      <c r="I2027" s="39"/>
      <c r="J2027" s="39"/>
      <c r="K2027" s="39"/>
      <c r="L2027" s="39"/>
      <c r="M2027" s="39"/>
      <c r="N2027" s="39"/>
      <c r="O2027" s="39"/>
      <c r="P2027" s="39"/>
      <c r="Q2027" s="39"/>
      <c r="R2027" s="39"/>
      <c r="S2027" s="39"/>
      <c r="T2027" s="39"/>
      <c r="U2027" s="39">
        <v>0.17</v>
      </c>
      <c r="V2027" s="39"/>
      <c r="W2027" s="39"/>
      <c r="X2027" s="49">
        <v>9968</v>
      </c>
      <c r="Y2027" s="50">
        <v>707.85</v>
      </c>
      <c r="Z2027" s="51">
        <v>630</v>
      </c>
      <c r="AA2027" s="52">
        <f t="shared" ref="AA2027:AA2049" si="53">IFERROR(Z2027/Y2027,0)</f>
        <v>0.890019071837254</v>
      </c>
      <c r="AB2027" s="12">
        <v>630</v>
      </c>
      <c r="AC2027" s="12">
        <v>0</v>
      </c>
      <c r="AD2027" s="43"/>
      <c r="AE2027" s="43"/>
      <c r="AF2027" s="43"/>
      <c r="AG2027" s="43"/>
      <c r="AH2027" s="43"/>
      <c r="AI2027" s="43"/>
      <c r="AJ2027" s="43"/>
      <c r="AK2027" s="43"/>
      <c r="AL2027" s="43"/>
      <c r="AM2027" s="43"/>
      <c r="AN2027" s="43"/>
      <c r="AO2027" s="43"/>
      <c r="AP2027" s="43"/>
      <c r="AQ2027" s="43"/>
      <c r="AR2027" s="43"/>
      <c r="AS2027" s="43"/>
      <c r="AT2027" s="43"/>
      <c r="AU2027" s="43"/>
      <c r="AV2027" s="43"/>
    </row>
    <row r="2028" ht="15.75" spans="1:48">
      <c r="A2028" s="12">
        <v>2024</v>
      </c>
      <c r="B2028" s="44" t="s">
        <v>187</v>
      </c>
      <c r="C2028" s="45" t="s">
        <v>188</v>
      </c>
      <c r="D2028" s="46"/>
      <c r="E2028" s="47" t="s">
        <v>113</v>
      </c>
      <c r="F2028" s="48">
        <v>3</v>
      </c>
      <c r="G2028" s="38">
        <v>0</v>
      </c>
      <c r="H2028" s="39"/>
      <c r="I2028" s="39"/>
      <c r="J2028" s="39"/>
      <c r="K2028" s="39"/>
      <c r="L2028" s="39"/>
      <c r="M2028" s="39"/>
      <c r="N2028" s="39"/>
      <c r="O2028" s="39"/>
      <c r="P2028" s="39"/>
      <c r="Q2028" s="39"/>
      <c r="R2028" s="39"/>
      <c r="S2028" s="39"/>
      <c r="T2028" s="39"/>
      <c r="U2028" s="39"/>
      <c r="V2028" s="39"/>
      <c r="W2028" s="39"/>
      <c r="X2028" s="49" t="s">
        <v>103</v>
      </c>
      <c r="Y2028" s="50">
        <v>2520</v>
      </c>
      <c r="Z2028" s="51">
        <v>2040</v>
      </c>
      <c r="AA2028" s="52">
        <f t="shared" si="53"/>
        <v>0.80952380952381</v>
      </c>
      <c r="AB2028" s="12">
        <v>2040</v>
      </c>
      <c r="AC2028" s="12">
        <v>0</v>
      </c>
      <c r="AD2028" s="43"/>
      <c r="AE2028" s="43"/>
      <c r="AF2028" s="43"/>
      <c r="AG2028" s="43"/>
      <c r="AH2028" s="43"/>
      <c r="AI2028" s="43"/>
      <c r="AJ2028" s="43"/>
      <c r="AK2028" s="43"/>
      <c r="AL2028" s="43"/>
      <c r="AM2028" s="43"/>
      <c r="AN2028" s="43"/>
      <c r="AO2028" s="43"/>
      <c r="AP2028" s="43"/>
      <c r="AQ2028" s="43"/>
      <c r="AR2028" s="43"/>
      <c r="AS2028" s="43"/>
      <c r="AT2028" s="43"/>
      <c r="AU2028" s="43"/>
      <c r="AV2028" s="43"/>
    </row>
    <row r="2029" ht="15.75" spans="1:48">
      <c r="A2029" s="12">
        <v>2025</v>
      </c>
      <c r="B2029" s="44" t="s">
        <v>401</v>
      </c>
      <c r="C2029" s="45" t="s">
        <v>402</v>
      </c>
      <c r="D2029" s="46"/>
      <c r="E2029" s="47" t="s">
        <v>93</v>
      </c>
      <c r="F2029" s="48">
        <v>7.17</v>
      </c>
      <c r="G2029" s="38">
        <v>0.83</v>
      </c>
      <c r="H2029" s="39"/>
      <c r="I2029" s="39"/>
      <c r="J2029" s="39"/>
      <c r="K2029" s="39"/>
      <c r="L2029" s="39"/>
      <c r="M2029" s="39"/>
      <c r="N2029" s="39"/>
      <c r="O2029" s="39"/>
      <c r="P2029" s="39"/>
      <c r="Q2029" s="39">
        <v>0.83</v>
      </c>
      <c r="R2029" s="39"/>
      <c r="S2029" s="39"/>
      <c r="T2029" s="39"/>
      <c r="U2029" s="39"/>
      <c r="V2029" s="39"/>
      <c r="W2029" s="39"/>
      <c r="X2029" s="49" t="s">
        <v>103</v>
      </c>
      <c r="Y2029" s="50">
        <v>4215.96</v>
      </c>
      <c r="Z2029" s="51">
        <v>3000</v>
      </c>
      <c r="AA2029" s="52">
        <f t="shared" si="53"/>
        <v>0.711581703811232</v>
      </c>
      <c r="AB2029" s="12">
        <v>3000</v>
      </c>
      <c r="AC2029" s="12">
        <v>0</v>
      </c>
      <c r="AD2029" s="43"/>
      <c r="AE2029" s="43"/>
      <c r="AF2029" s="43"/>
      <c r="AG2029" s="43"/>
      <c r="AH2029" s="43"/>
      <c r="AI2029" s="43"/>
      <c r="AJ2029" s="43"/>
      <c r="AK2029" s="43"/>
      <c r="AL2029" s="43"/>
      <c r="AM2029" s="43"/>
      <c r="AN2029" s="43"/>
      <c r="AO2029" s="43"/>
      <c r="AP2029" s="43"/>
      <c r="AQ2029" s="43"/>
      <c r="AR2029" s="43"/>
      <c r="AS2029" s="43"/>
      <c r="AT2029" s="43"/>
      <c r="AU2029" s="43"/>
      <c r="AV2029" s="43"/>
    </row>
    <row r="2030" ht="15.75" spans="1:48">
      <c r="A2030" s="12">
        <v>2026</v>
      </c>
      <c r="B2030" s="44">
        <v>849</v>
      </c>
      <c r="C2030" s="45" t="s">
        <v>108</v>
      </c>
      <c r="D2030" s="46"/>
      <c r="E2030" s="47" t="s">
        <v>113</v>
      </c>
      <c r="F2030" s="48">
        <v>10.67</v>
      </c>
      <c r="G2030" s="38">
        <v>1.33</v>
      </c>
      <c r="H2030" s="39"/>
      <c r="I2030" s="39"/>
      <c r="J2030" s="39"/>
      <c r="K2030" s="39"/>
      <c r="L2030" s="39"/>
      <c r="M2030" s="39"/>
      <c r="N2030" s="39"/>
      <c r="O2030" s="39"/>
      <c r="P2030" s="39"/>
      <c r="Q2030" s="39">
        <v>1.33</v>
      </c>
      <c r="R2030" s="39"/>
      <c r="S2030" s="39"/>
      <c r="T2030" s="39"/>
      <c r="U2030" s="39"/>
      <c r="V2030" s="39"/>
      <c r="W2030" s="39"/>
      <c r="X2030" s="49" t="s">
        <v>103</v>
      </c>
      <c r="Y2030" s="50">
        <v>8066.52</v>
      </c>
      <c r="Z2030" s="51">
        <v>6177</v>
      </c>
      <c r="AA2030" s="52">
        <f t="shared" si="53"/>
        <v>0.765757724520611</v>
      </c>
      <c r="AB2030" s="12">
        <v>6177</v>
      </c>
      <c r="AC2030" s="12">
        <v>0</v>
      </c>
      <c r="AD2030" s="43"/>
      <c r="AE2030" s="43"/>
      <c r="AF2030" s="43"/>
      <c r="AG2030" s="43"/>
      <c r="AH2030" s="43"/>
      <c r="AI2030" s="43"/>
      <c r="AJ2030" s="43"/>
      <c r="AK2030" s="43"/>
      <c r="AL2030" s="43"/>
      <c r="AM2030" s="43"/>
      <c r="AN2030" s="43"/>
      <c r="AO2030" s="43"/>
      <c r="AP2030" s="43"/>
      <c r="AQ2030" s="43"/>
      <c r="AR2030" s="43"/>
      <c r="AS2030" s="43"/>
      <c r="AT2030" s="43"/>
      <c r="AU2030" s="43"/>
      <c r="AV2030" s="43"/>
    </row>
    <row r="2031" ht="15.75" spans="1:48">
      <c r="A2031" s="12">
        <v>2027</v>
      </c>
      <c r="B2031" s="44" t="s">
        <v>403</v>
      </c>
      <c r="C2031" s="45" t="s">
        <v>404</v>
      </c>
      <c r="D2031" s="46"/>
      <c r="E2031" s="47" t="s">
        <v>113</v>
      </c>
      <c r="F2031" s="48">
        <v>7.17</v>
      </c>
      <c r="G2031" s="38">
        <v>0.83</v>
      </c>
      <c r="H2031" s="39"/>
      <c r="I2031" s="39"/>
      <c r="J2031" s="39"/>
      <c r="K2031" s="39"/>
      <c r="L2031" s="39"/>
      <c r="M2031" s="39"/>
      <c r="N2031" s="39"/>
      <c r="O2031" s="39"/>
      <c r="P2031" s="39"/>
      <c r="Q2031" s="39">
        <v>0.83</v>
      </c>
      <c r="R2031" s="39"/>
      <c r="S2031" s="39"/>
      <c r="T2031" s="39"/>
      <c r="U2031" s="39"/>
      <c r="V2031" s="39"/>
      <c r="W2031" s="39"/>
      <c r="X2031" s="49" t="s">
        <v>105</v>
      </c>
      <c r="Y2031" s="50">
        <v>3312.54</v>
      </c>
      <c r="Z2031" s="51">
        <v>2150</v>
      </c>
      <c r="AA2031" s="52">
        <f t="shared" si="53"/>
        <v>0.649048766203578</v>
      </c>
      <c r="AB2031" s="12">
        <v>2150</v>
      </c>
      <c r="AC2031" s="12">
        <v>0</v>
      </c>
      <c r="AD2031" s="43"/>
      <c r="AE2031" s="43"/>
      <c r="AF2031" s="43"/>
      <c r="AG2031" s="43"/>
      <c r="AH2031" s="43"/>
      <c r="AI2031" s="43"/>
      <c r="AJ2031" s="43"/>
      <c r="AK2031" s="43"/>
      <c r="AL2031" s="43"/>
      <c r="AM2031" s="43"/>
      <c r="AN2031" s="43"/>
      <c r="AO2031" s="43"/>
      <c r="AP2031" s="43"/>
      <c r="AQ2031" s="43"/>
      <c r="AR2031" s="43"/>
      <c r="AS2031" s="43"/>
      <c r="AT2031" s="43"/>
      <c r="AU2031" s="43"/>
      <c r="AV2031" s="43"/>
    </row>
    <row r="2032" ht="15.75" spans="1:48">
      <c r="A2032" s="12">
        <v>2028</v>
      </c>
      <c r="B2032" s="44">
        <v>850</v>
      </c>
      <c r="C2032" s="45" t="s">
        <v>109</v>
      </c>
      <c r="D2032" s="46"/>
      <c r="E2032" s="47" t="s">
        <v>113</v>
      </c>
      <c r="F2032" s="48">
        <v>10.67</v>
      </c>
      <c r="G2032" s="38">
        <v>1.33</v>
      </c>
      <c r="H2032" s="39"/>
      <c r="I2032" s="39"/>
      <c r="J2032" s="39"/>
      <c r="K2032" s="39"/>
      <c r="L2032" s="39"/>
      <c r="M2032" s="39"/>
      <c r="N2032" s="39"/>
      <c r="O2032" s="39"/>
      <c r="P2032" s="39"/>
      <c r="Q2032" s="39">
        <v>1.33</v>
      </c>
      <c r="R2032" s="39"/>
      <c r="S2032" s="39"/>
      <c r="T2032" s="39"/>
      <c r="U2032" s="39"/>
      <c r="V2032" s="39"/>
      <c r="W2032" s="39"/>
      <c r="X2032" s="49" t="s">
        <v>103</v>
      </c>
      <c r="Y2032" s="50">
        <v>8066.52</v>
      </c>
      <c r="Z2032" s="51">
        <v>6120</v>
      </c>
      <c r="AA2032" s="52">
        <f t="shared" si="53"/>
        <v>0.758691480340965</v>
      </c>
      <c r="AB2032" s="12">
        <v>6120</v>
      </c>
      <c r="AC2032" s="12">
        <v>0</v>
      </c>
      <c r="AD2032" s="43"/>
      <c r="AE2032" s="43"/>
      <c r="AF2032" s="43"/>
      <c r="AG2032" s="43"/>
      <c r="AH2032" s="43"/>
      <c r="AI2032" s="43"/>
      <c r="AJ2032" s="43"/>
      <c r="AK2032" s="43"/>
      <c r="AL2032" s="43"/>
      <c r="AM2032" s="43"/>
      <c r="AN2032" s="43"/>
      <c r="AO2032" s="43"/>
      <c r="AP2032" s="43"/>
      <c r="AQ2032" s="43"/>
      <c r="AR2032" s="43"/>
      <c r="AS2032" s="43"/>
      <c r="AT2032" s="43"/>
      <c r="AU2032" s="43"/>
      <c r="AV2032" s="43"/>
    </row>
    <row r="2033" ht="15.75" spans="1:48">
      <c r="A2033" s="12">
        <v>2029</v>
      </c>
      <c r="B2033" s="44" t="s">
        <v>181</v>
      </c>
      <c r="C2033" s="45" t="s">
        <v>182</v>
      </c>
      <c r="D2033" s="46"/>
      <c r="E2033" s="47" t="s">
        <v>113</v>
      </c>
      <c r="F2033" s="48">
        <v>10.67</v>
      </c>
      <c r="G2033" s="38">
        <v>1.33</v>
      </c>
      <c r="H2033" s="39"/>
      <c r="I2033" s="39"/>
      <c r="J2033" s="39"/>
      <c r="K2033" s="39"/>
      <c r="L2033" s="39"/>
      <c r="M2033" s="39"/>
      <c r="N2033" s="39"/>
      <c r="O2033" s="39"/>
      <c r="P2033" s="39"/>
      <c r="Q2033" s="39">
        <v>1.33</v>
      </c>
      <c r="R2033" s="39"/>
      <c r="S2033" s="39"/>
      <c r="T2033" s="39"/>
      <c r="U2033" s="39"/>
      <c r="V2033" s="39"/>
      <c r="W2033" s="39"/>
      <c r="X2033" s="49" t="s">
        <v>103</v>
      </c>
      <c r="Y2033" s="50">
        <v>8066.52</v>
      </c>
      <c r="Z2033" s="51">
        <v>6840</v>
      </c>
      <c r="AA2033" s="52">
        <f t="shared" si="53"/>
        <v>0.847949301557549</v>
      </c>
      <c r="AB2033" s="12">
        <v>6840</v>
      </c>
      <c r="AC2033" s="12">
        <v>0</v>
      </c>
      <c r="AD2033" s="43"/>
      <c r="AE2033" s="43"/>
      <c r="AF2033" s="43"/>
      <c r="AG2033" s="43"/>
      <c r="AH2033" s="43"/>
      <c r="AI2033" s="43"/>
      <c r="AJ2033" s="43"/>
      <c r="AK2033" s="43"/>
      <c r="AL2033" s="43"/>
      <c r="AM2033" s="43"/>
      <c r="AN2033" s="43"/>
      <c r="AO2033" s="43"/>
      <c r="AP2033" s="43"/>
      <c r="AQ2033" s="43"/>
      <c r="AR2033" s="43"/>
      <c r="AS2033" s="43"/>
      <c r="AT2033" s="43"/>
      <c r="AU2033" s="43"/>
      <c r="AV2033" s="43"/>
    </row>
    <row r="2034" ht="15.75" spans="1:48">
      <c r="A2034" s="12">
        <v>2030</v>
      </c>
      <c r="B2034" s="44" t="s">
        <v>275</v>
      </c>
      <c r="C2034" s="45" t="s">
        <v>253</v>
      </c>
      <c r="D2034" s="46"/>
      <c r="E2034" s="47" t="s">
        <v>113</v>
      </c>
      <c r="F2034" s="48">
        <v>1</v>
      </c>
      <c r="G2034" s="38">
        <v>0</v>
      </c>
      <c r="H2034" s="39"/>
      <c r="I2034" s="39"/>
      <c r="J2034" s="39"/>
      <c r="K2034" s="39"/>
      <c r="L2034" s="39"/>
      <c r="M2034" s="39"/>
      <c r="N2034" s="39"/>
      <c r="O2034" s="39"/>
      <c r="P2034" s="39"/>
      <c r="Q2034" s="39"/>
      <c r="R2034" s="39"/>
      <c r="S2034" s="39"/>
      <c r="T2034" s="39"/>
      <c r="U2034" s="39"/>
      <c r="V2034" s="39"/>
      <c r="W2034" s="39"/>
      <c r="X2034" s="49" t="s">
        <v>105</v>
      </c>
      <c r="Y2034" s="50">
        <v>660</v>
      </c>
      <c r="Z2034" s="51">
        <v>1150</v>
      </c>
      <c r="AA2034" s="52">
        <f t="shared" si="53"/>
        <v>1.74242424242424</v>
      </c>
      <c r="AB2034" s="12">
        <v>1150</v>
      </c>
      <c r="AC2034" s="12">
        <v>0</v>
      </c>
      <c r="AD2034" s="43"/>
      <c r="AE2034" s="43"/>
      <c r="AF2034" s="43"/>
      <c r="AG2034" s="43"/>
      <c r="AH2034" s="43"/>
      <c r="AI2034" s="43"/>
      <c r="AJ2034" s="43"/>
      <c r="AK2034" s="43"/>
      <c r="AL2034" s="43"/>
      <c r="AM2034" s="43"/>
      <c r="AN2034" s="43"/>
      <c r="AO2034" s="43"/>
      <c r="AP2034" s="43"/>
      <c r="AQ2034" s="43"/>
      <c r="AR2034" s="43"/>
      <c r="AS2034" s="43"/>
      <c r="AT2034" s="43"/>
      <c r="AU2034" s="43"/>
      <c r="AV2034" s="43"/>
    </row>
    <row r="2035" ht="15.75" spans="1:48">
      <c r="A2035" s="12">
        <v>2031</v>
      </c>
      <c r="B2035" s="44">
        <v>761</v>
      </c>
      <c r="C2035" s="45" t="s">
        <v>89</v>
      </c>
      <c r="D2035" s="46"/>
      <c r="E2035" s="47" t="s">
        <v>113</v>
      </c>
      <c r="F2035" s="48">
        <v>2.5</v>
      </c>
      <c r="G2035" s="38">
        <v>1.5</v>
      </c>
      <c r="H2035" s="39"/>
      <c r="I2035" s="39"/>
      <c r="J2035" s="39"/>
      <c r="K2035" s="39"/>
      <c r="L2035" s="39"/>
      <c r="M2035" s="39"/>
      <c r="N2035" s="39"/>
      <c r="O2035" s="39"/>
      <c r="P2035" s="39"/>
      <c r="Q2035" s="39">
        <v>1.33</v>
      </c>
      <c r="R2035" s="39"/>
      <c r="S2035" s="39"/>
      <c r="T2035" s="39"/>
      <c r="U2035" s="39">
        <v>0.17</v>
      </c>
      <c r="V2035" s="39"/>
      <c r="W2035" s="39"/>
      <c r="X2035" s="49" t="s">
        <v>100</v>
      </c>
      <c r="Y2035" s="50">
        <v>4800</v>
      </c>
      <c r="Z2035" s="51">
        <v>4140</v>
      </c>
      <c r="AA2035" s="52">
        <f t="shared" si="53"/>
        <v>0.8625</v>
      </c>
      <c r="AB2035" s="12">
        <v>4140</v>
      </c>
      <c r="AC2035" s="12">
        <v>0</v>
      </c>
      <c r="AD2035" s="43"/>
      <c r="AE2035" s="43"/>
      <c r="AF2035" s="43"/>
      <c r="AG2035" s="43"/>
      <c r="AH2035" s="43"/>
      <c r="AI2035" s="43"/>
      <c r="AJ2035" s="43"/>
      <c r="AK2035" s="43"/>
      <c r="AL2035" s="43"/>
      <c r="AM2035" s="43"/>
      <c r="AN2035" s="43"/>
      <c r="AO2035" s="43"/>
      <c r="AP2035" s="43"/>
      <c r="AQ2035" s="43"/>
      <c r="AR2035" s="43"/>
      <c r="AS2035" s="43"/>
      <c r="AT2035" s="43"/>
      <c r="AU2035" s="43"/>
      <c r="AV2035" s="43"/>
    </row>
    <row r="2036" ht="15.75" spans="1:48">
      <c r="A2036" s="12">
        <v>2032</v>
      </c>
      <c r="B2036" s="44">
        <v>761</v>
      </c>
      <c r="C2036" s="45" t="s">
        <v>89</v>
      </c>
      <c r="D2036" s="46"/>
      <c r="E2036" s="47" t="s">
        <v>113</v>
      </c>
      <c r="F2036" s="48">
        <v>4</v>
      </c>
      <c r="G2036" s="38">
        <v>0</v>
      </c>
      <c r="H2036" s="39"/>
      <c r="I2036" s="39"/>
      <c r="J2036" s="39"/>
      <c r="K2036" s="39"/>
      <c r="L2036" s="39"/>
      <c r="M2036" s="39"/>
      <c r="N2036" s="39"/>
      <c r="O2036" s="39"/>
      <c r="P2036" s="39"/>
      <c r="Q2036" s="39"/>
      <c r="R2036" s="39"/>
      <c r="S2036" s="39"/>
      <c r="T2036" s="39"/>
      <c r="U2036" s="39"/>
      <c r="V2036" s="39"/>
      <c r="W2036" s="39"/>
      <c r="X2036" s="49" t="s">
        <v>229</v>
      </c>
      <c r="Y2036" s="50">
        <v>14880</v>
      </c>
      <c r="Z2036" s="51">
        <v>13950</v>
      </c>
      <c r="AA2036" s="52">
        <f t="shared" si="53"/>
        <v>0.9375</v>
      </c>
      <c r="AB2036" s="12">
        <v>13950</v>
      </c>
      <c r="AC2036" s="12">
        <v>0</v>
      </c>
      <c r="AD2036" s="43"/>
      <c r="AE2036" s="43"/>
      <c r="AF2036" s="43"/>
      <c r="AG2036" s="43"/>
      <c r="AH2036" s="43"/>
      <c r="AI2036" s="43"/>
      <c r="AJ2036" s="43"/>
      <c r="AK2036" s="43"/>
      <c r="AL2036" s="43"/>
      <c r="AM2036" s="43"/>
      <c r="AN2036" s="43"/>
      <c r="AO2036" s="43"/>
      <c r="AP2036" s="43"/>
      <c r="AQ2036" s="43"/>
      <c r="AR2036" s="43"/>
      <c r="AS2036" s="43"/>
      <c r="AT2036" s="43"/>
      <c r="AU2036" s="43"/>
      <c r="AV2036" s="43"/>
    </row>
    <row r="2037" ht="15.75" spans="1:48">
      <c r="A2037" s="12">
        <v>2033</v>
      </c>
      <c r="B2037" s="44">
        <v>761</v>
      </c>
      <c r="C2037" s="45" t="s">
        <v>89</v>
      </c>
      <c r="D2037" s="46"/>
      <c r="E2037" s="47" t="s">
        <v>113</v>
      </c>
      <c r="F2037" s="48">
        <v>1.8</v>
      </c>
      <c r="G2037" s="38">
        <v>0</v>
      </c>
      <c r="H2037" s="39"/>
      <c r="I2037" s="39"/>
      <c r="J2037" s="39"/>
      <c r="K2037" s="39"/>
      <c r="L2037" s="39"/>
      <c r="M2037" s="39"/>
      <c r="N2037" s="39"/>
      <c r="O2037" s="39"/>
      <c r="P2037" s="39"/>
      <c r="Q2037" s="39"/>
      <c r="R2037" s="39"/>
      <c r="S2037" s="39"/>
      <c r="T2037" s="39"/>
      <c r="U2037" s="39"/>
      <c r="V2037" s="39"/>
      <c r="W2037" s="39"/>
      <c r="X2037" s="49" t="s">
        <v>101</v>
      </c>
      <c r="Y2037" s="50">
        <v>3456</v>
      </c>
      <c r="Z2037" s="51">
        <v>2880</v>
      </c>
      <c r="AA2037" s="52">
        <f t="shared" si="53"/>
        <v>0.833333333333333</v>
      </c>
      <c r="AB2037" s="12">
        <v>2880</v>
      </c>
      <c r="AC2037" s="12">
        <v>0</v>
      </c>
      <c r="AD2037" s="43"/>
      <c r="AE2037" s="43"/>
      <c r="AF2037" s="43"/>
      <c r="AG2037" s="43"/>
      <c r="AH2037" s="43"/>
      <c r="AI2037" s="43"/>
      <c r="AJ2037" s="43"/>
      <c r="AK2037" s="43"/>
      <c r="AL2037" s="43"/>
      <c r="AM2037" s="43"/>
      <c r="AN2037" s="43"/>
      <c r="AO2037" s="43"/>
      <c r="AP2037" s="43"/>
      <c r="AQ2037" s="43"/>
      <c r="AR2037" s="43"/>
      <c r="AS2037" s="43"/>
      <c r="AT2037" s="43"/>
      <c r="AU2037" s="43"/>
      <c r="AV2037" s="43"/>
    </row>
    <row r="2038" ht="15.75" spans="1:48">
      <c r="A2038" s="12">
        <v>2034</v>
      </c>
      <c r="B2038" s="44">
        <v>761</v>
      </c>
      <c r="C2038" s="45" t="s">
        <v>89</v>
      </c>
      <c r="D2038" s="46"/>
      <c r="E2038" s="47" t="s">
        <v>113</v>
      </c>
      <c r="F2038" s="48">
        <v>0.7</v>
      </c>
      <c r="G2038" s="38">
        <v>0</v>
      </c>
      <c r="H2038" s="39"/>
      <c r="I2038" s="39"/>
      <c r="J2038" s="39"/>
      <c r="K2038" s="39"/>
      <c r="L2038" s="39"/>
      <c r="M2038" s="39"/>
      <c r="N2038" s="39"/>
      <c r="O2038" s="39"/>
      <c r="P2038" s="39"/>
      <c r="Q2038" s="39"/>
      <c r="R2038" s="39"/>
      <c r="S2038" s="39"/>
      <c r="T2038" s="39"/>
      <c r="U2038" s="39"/>
      <c r="V2038" s="39"/>
      <c r="W2038" s="39"/>
      <c r="X2038" s="49" t="s">
        <v>102</v>
      </c>
      <c r="Y2038" s="50">
        <v>3150</v>
      </c>
      <c r="Z2038" s="51">
        <v>3000</v>
      </c>
      <c r="AA2038" s="52">
        <f t="shared" si="53"/>
        <v>0.952380952380952</v>
      </c>
      <c r="AB2038" s="12">
        <v>3000</v>
      </c>
      <c r="AC2038" s="12">
        <v>0</v>
      </c>
      <c r="AD2038" s="43"/>
      <c r="AE2038" s="43"/>
      <c r="AF2038" s="43"/>
      <c r="AG2038" s="43"/>
      <c r="AH2038" s="43"/>
      <c r="AI2038" s="43"/>
      <c r="AJ2038" s="43"/>
      <c r="AK2038" s="43"/>
      <c r="AL2038" s="43"/>
      <c r="AM2038" s="43"/>
      <c r="AN2038" s="43"/>
      <c r="AO2038" s="43"/>
      <c r="AP2038" s="43"/>
      <c r="AQ2038" s="43"/>
      <c r="AR2038" s="43"/>
      <c r="AS2038" s="43"/>
      <c r="AT2038" s="43"/>
      <c r="AU2038" s="43"/>
      <c r="AV2038" s="43"/>
    </row>
    <row r="2039" ht="15.75" spans="1:48">
      <c r="A2039" s="12">
        <v>2035</v>
      </c>
      <c r="B2039" s="44">
        <v>761</v>
      </c>
      <c r="C2039" s="45" t="s">
        <v>89</v>
      </c>
      <c r="D2039" s="46"/>
      <c r="E2039" s="47" t="s">
        <v>113</v>
      </c>
      <c r="F2039" s="48">
        <v>1.17</v>
      </c>
      <c r="G2039" s="38">
        <v>0</v>
      </c>
      <c r="H2039" s="39"/>
      <c r="I2039" s="39"/>
      <c r="J2039" s="39"/>
      <c r="K2039" s="39"/>
      <c r="L2039" s="39"/>
      <c r="M2039" s="39"/>
      <c r="N2039" s="39"/>
      <c r="O2039" s="39"/>
      <c r="P2039" s="39"/>
      <c r="Q2039" s="39"/>
      <c r="R2039" s="39"/>
      <c r="S2039" s="39"/>
      <c r="T2039" s="39"/>
      <c r="U2039" s="39"/>
      <c r="V2039" s="39"/>
      <c r="W2039" s="39"/>
      <c r="X2039" s="49" t="s">
        <v>152</v>
      </c>
      <c r="Y2039" s="50">
        <v>5089.5</v>
      </c>
      <c r="Z2039" s="51">
        <v>4900</v>
      </c>
      <c r="AA2039" s="52">
        <f t="shared" si="53"/>
        <v>0.962766480007859</v>
      </c>
      <c r="AB2039" s="12">
        <v>4900</v>
      </c>
      <c r="AC2039" s="12">
        <v>0</v>
      </c>
      <c r="AD2039" s="43"/>
      <c r="AE2039" s="43"/>
      <c r="AF2039" s="43"/>
      <c r="AG2039" s="43"/>
      <c r="AH2039" s="43"/>
      <c r="AI2039" s="43"/>
      <c r="AJ2039" s="43"/>
      <c r="AK2039" s="43"/>
      <c r="AL2039" s="43"/>
      <c r="AM2039" s="43"/>
      <c r="AN2039" s="43"/>
      <c r="AO2039" s="43"/>
      <c r="AP2039" s="43"/>
      <c r="AQ2039" s="43"/>
      <c r="AR2039" s="43"/>
      <c r="AS2039" s="43"/>
      <c r="AT2039" s="43"/>
      <c r="AU2039" s="43"/>
      <c r="AV2039" s="43"/>
    </row>
    <row r="2040" ht="15.75" spans="1:48">
      <c r="A2040" s="12">
        <v>2036</v>
      </c>
      <c r="B2040" s="44">
        <v>4360</v>
      </c>
      <c r="C2040" s="45" t="s">
        <v>97</v>
      </c>
      <c r="D2040" s="46"/>
      <c r="E2040" s="47" t="s">
        <v>113</v>
      </c>
      <c r="F2040" s="48">
        <v>3</v>
      </c>
      <c r="G2040" s="38">
        <v>0</v>
      </c>
      <c r="H2040" s="39"/>
      <c r="I2040" s="39"/>
      <c r="J2040" s="39"/>
      <c r="K2040" s="39"/>
      <c r="L2040" s="39"/>
      <c r="M2040" s="39"/>
      <c r="N2040" s="39"/>
      <c r="O2040" s="39"/>
      <c r="P2040" s="39"/>
      <c r="Q2040" s="39"/>
      <c r="R2040" s="39"/>
      <c r="S2040" s="39"/>
      <c r="T2040" s="39"/>
      <c r="U2040" s="39"/>
      <c r="V2040" s="39"/>
      <c r="W2040" s="39"/>
      <c r="X2040" s="49" t="s">
        <v>103</v>
      </c>
      <c r="Y2040" s="50">
        <v>2520</v>
      </c>
      <c r="Z2040" s="51">
        <v>2485</v>
      </c>
      <c r="AA2040" s="52">
        <f t="shared" si="53"/>
        <v>0.986111111111111</v>
      </c>
      <c r="AB2040" s="12">
        <v>2485</v>
      </c>
      <c r="AC2040" s="12">
        <v>0</v>
      </c>
      <c r="AD2040" s="43"/>
      <c r="AE2040" s="43"/>
      <c r="AF2040" s="43"/>
      <c r="AG2040" s="43"/>
      <c r="AH2040" s="43"/>
      <c r="AI2040" s="43"/>
      <c r="AJ2040" s="43"/>
      <c r="AK2040" s="43"/>
      <c r="AL2040" s="43"/>
      <c r="AM2040" s="43"/>
      <c r="AN2040" s="43"/>
      <c r="AO2040" s="43"/>
      <c r="AP2040" s="43"/>
      <c r="AQ2040" s="43"/>
      <c r="AR2040" s="43"/>
      <c r="AS2040" s="43"/>
      <c r="AT2040" s="43"/>
      <c r="AU2040" s="43"/>
      <c r="AV2040" s="43"/>
    </row>
    <row r="2041" ht="15.75" spans="1:48">
      <c r="A2041" s="12">
        <v>2037</v>
      </c>
      <c r="B2041" s="44">
        <v>4324</v>
      </c>
      <c r="C2041" s="45" t="s">
        <v>331</v>
      </c>
      <c r="D2041" s="46"/>
      <c r="E2041" s="47" t="s">
        <v>183</v>
      </c>
      <c r="F2041" s="48">
        <v>3.67</v>
      </c>
      <c r="G2041" s="38">
        <v>0.67</v>
      </c>
      <c r="H2041" s="39"/>
      <c r="I2041" s="39"/>
      <c r="J2041" s="39"/>
      <c r="K2041" s="39"/>
      <c r="L2041" s="39"/>
      <c r="M2041" s="39"/>
      <c r="N2041" s="39"/>
      <c r="O2041" s="39"/>
      <c r="P2041" s="39"/>
      <c r="Q2041" s="39">
        <v>0.67</v>
      </c>
      <c r="R2041" s="39"/>
      <c r="S2041" s="39"/>
      <c r="T2041" s="39"/>
      <c r="U2041" s="39"/>
      <c r="V2041" s="39"/>
      <c r="W2041" s="39"/>
      <c r="X2041" s="49" t="s">
        <v>105</v>
      </c>
      <c r="Y2041" s="50">
        <v>1937.76</v>
      </c>
      <c r="Z2041" s="51">
        <v>2000</v>
      </c>
      <c r="AA2041" s="52">
        <f t="shared" si="53"/>
        <v>1.03211956072991</v>
      </c>
      <c r="AB2041" s="12">
        <v>2000</v>
      </c>
      <c r="AC2041" s="12">
        <v>0</v>
      </c>
      <c r="AD2041" s="43"/>
      <c r="AE2041" s="43"/>
      <c r="AF2041" s="43"/>
      <c r="AG2041" s="43"/>
      <c r="AH2041" s="43"/>
      <c r="AI2041" s="43"/>
      <c r="AJ2041" s="43"/>
      <c r="AK2041" s="43"/>
      <c r="AL2041" s="43"/>
      <c r="AM2041" s="43"/>
      <c r="AN2041" s="43"/>
      <c r="AO2041" s="43"/>
      <c r="AP2041" s="43"/>
      <c r="AQ2041" s="43"/>
      <c r="AR2041" s="43"/>
      <c r="AS2041" s="43"/>
      <c r="AT2041" s="43"/>
      <c r="AU2041" s="43"/>
      <c r="AV2041" s="43"/>
    </row>
    <row r="2042" ht="15.75" spans="1:48">
      <c r="A2042" s="12">
        <v>2038</v>
      </c>
      <c r="B2042" s="44">
        <v>4489</v>
      </c>
      <c r="C2042" s="45" t="s">
        <v>88</v>
      </c>
      <c r="D2042" s="46"/>
      <c r="E2042" s="47" t="s">
        <v>113</v>
      </c>
      <c r="F2042" s="48">
        <v>2.5</v>
      </c>
      <c r="G2042" s="38">
        <v>0</v>
      </c>
      <c r="H2042" s="39"/>
      <c r="I2042" s="39"/>
      <c r="J2042" s="39"/>
      <c r="K2042" s="39"/>
      <c r="L2042" s="39"/>
      <c r="M2042" s="39"/>
      <c r="N2042" s="39"/>
      <c r="O2042" s="39"/>
      <c r="P2042" s="39"/>
      <c r="Q2042" s="39"/>
      <c r="R2042" s="39"/>
      <c r="S2042" s="39"/>
      <c r="T2042" s="39"/>
      <c r="U2042" s="39"/>
      <c r="V2042" s="39"/>
      <c r="W2042" s="39"/>
      <c r="X2042" s="49" t="s">
        <v>103</v>
      </c>
      <c r="Y2042" s="50">
        <v>2100</v>
      </c>
      <c r="Z2042" s="51">
        <v>1819</v>
      </c>
      <c r="AA2042" s="52">
        <f t="shared" si="53"/>
        <v>0.866190476190476</v>
      </c>
      <c r="AB2042" s="12">
        <v>1819</v>
      </c>
      <c r="AC2042" s="12">
        <v>0</v>
      </c>
      <c r="AD2042" s="43"/>
      <c r="AE2042" s="43"/>
      <c r="AF2042" s="43"/>
      <c r="AG2042" s="43"/>
      <c r="AH2042" s="43"/>
      <c r="AI2042" s="43"/>
      <c r="AJ2042" s="43"/>
      <c r="AK2042" s="43"/>
      <c r="AL2042" s="43"/>
      <c r="AM2042" s="43"/>
      <c r="AN2042" s="43"/>
      <c r="AO2042" s="43"/>
      <c r="AP2042" s="43"/>
      <c r="AQ2042" s="43"/>
      <c r="AR2042" s="43"/>
      <c r="AS2042" s="43"/>
      <c r="AT2042" s="43"/>
      <c r="AU2042" s="43"/>
      <c r="AV2042" s="43"/>
    </row>
    <row r="2043" ht="15.75" spans="1:48">
      <c r="A2043" s="12">
        <v>2039</v>
      </c>
      <c r="B2043" s="44" t="s">
        <v>185</v>
      </c>
      <c r="C2043" s="45" t="s">
        <v>179</v>
      </c>
      <c r="D2043" s="46"/>
      <c r="E2043" s="47" t="s">
        <v>113</v>
      </c>
      <c r="F2043" s="48">
        <v>0.83</v>
      </c>
      <c r="G2043" s="38">
        <v>0</v>
      </c>
      <c r="H2043" s="39"/>
      <c r="I2043" s="39"/>
      <c r="J2043" s="39"/>
      <c r="K2043" s="39"/>
      <c r="L2043" s="39"/>
      <c r="M2043" s="39"/>
      <c r="N2043" s="39"/>
      <c r="O2043" s="39"/>
      <c r="P2043" s="39"/>
      <c r="Q2043" s="39"/>
      <c r="R2043" s="39"/>
      <c r="S2043" s="39"/>
      <c r="T2043" s="39"/>
      <c r="U2043" s="39"/>
      <c r="V2043" s="39"/>
      <c r="W2043" s="39"/>
      <c r="X2043" s="49" t="s">
        <v>103</v>
      </c>
      <c r="Y2043" s="50">
        <v>697.2</v>
      </c>
      <c r="Z2043" s="51">
        <v>630</v>
      </c>
      <c r="AA2043" s="52">
        <f t="shared" si="53"/>
        <v>0.903614457831325</v>
      </c>
      <c r="AB2043" s="12">
        <v>630</v>
      </c>
      <c r="AC2043" s="12">
        <v>0</v>
      </c>
      <c r="AD2043" s="43"/>
      <c r="AE2043" s="43"/>
      <c r="AF2043" s="43"/>
      <c r="AG2043" s="43"/>
      <c r="AH2043" s="43"/>
      <c r="AI2043" s="43"/>
      <c r="AJ2043" s="43"/>
      <c r="AK2043" s="43"/>
      <c r="AL2043" s="43"/>
      <c r="AM2043" s="43"/>
      <c r="AN2043" s="43"/>
      <c r="AO2043" s="43"/>
      <c r="AP2043" s="43"/>
      <c r="AQ2043" s="43"/>
      <c r="AR2043" s="43"/>
      <c r="AS2043" s="43"/>
      <c r="AT2043" s="43"/>
      <c r="AU2043" s="43"/>
      <c r="AV2043" s="43"/>
    </row>
    <row r="2044" ht="15.75" spans="1:48">
      <c r="A2044" s="12">
        <v>2040</v>
      </c>
      <c r="B2044" s="44">
        <v>2890</v>
      </c>
      <c r="C2044" s="45" t="s">
        <v>111</v>
      </c>
      <c r="D2044" s="46" t="s">
        <v>202</v>
      </c>
      <c r="E2044" s="47" t="s">
        <v>50</v>
      </c>
      <c r="F2044" s="48">
        <v>10.33</v>
      </c>
      <c r="G2044" s="38">
        <v>1.67</v>
      </c>
      <c r="H2044" s="39"/>
      <c r="I2044" s="39"/>
      <c r="J2044" s="39"/>
      <c r="K2044" s="39"/>
      <c r="L2044" s="39"/>
      <c r="M2044" s="39"/>
      <c r="N2044" s="39"/>
      <c r="O2044" s="39"/>
      <c r="P2044" s="39"/>
      <c r="Q2044" s="39">
        <v>1.17</v>
      </c>
      <c r="R2044" s="39"/>
      <c r="S2044" s="39"/>
      <c r="T2044" s="39"/>
      <c r="U2044" s="39">
        <v>0.5</v>
      </c>
      <c r="V2044" s="39"/>
      <c r="W2044" s="39"/>
      <c r="X2044" s="49" t="s">
        <v>51</v>
      </c>
      <c r="Y2044" s="50">
        <v>32074.65</v>
      </c>
      <c r="Z2044" s="51">
        <v>32550</v>
      </c>
      <c r="AA2044" s="52">
        <f t="shared" si="53"/>
        <v>1.01482011495059</v>
      </c>
      <c r="AB2044" s="12">
        <v>32550</v>
      </c>
      <c r="AC2044" s="12">
        <v>0</v>
      </c>
      <c r="AD2044" s="43"/>
      <c r="AE2044" s="43"/>
      <c r="AF2044" s="43"/>
      <c r="AG2044" s="43"/>
      <c r="AH2044" s="43"/>
      <c r="AI2044" s="43"/>
      <c r="AJ2044" s="43"/>
      <c r="AK2044" s="43"/>
      <c r="AL2044" s="43"/>
      <c r="AM2044" s="43"/>
      <c r="AN2044" s="43"/>
      <c r="AO2044" s="43"/>
      <c r="AP2044" s="43"/>
      <c r="AQ2044" s="43"/>
      <c r="AR2044" s="43"/>
      <c r="AS2044" s="43"/>
      <c r="AT2044" s="43"/>
      <c r="AU2044" s="43"/>
      <c r="AV2044" s="43"/>
    </row>
    <row r="2045" ht="15.75" spans="1:48">
      <c r="A2045" s="12">
        <v>2041</v>
      </c>
      <c r="B2045" s="72">
        <v>4511</v>
      </c>
      <c r="C2045" s="45" t="s">
        <v>423</v>
      </c>
      <c r="D2045" s="46" t="s">
        <v>49</v>
      </c>
      <c r="E2045" s="47" t="s">
        <v>50</v>
      </c>
      <c r="F2045" s="48">
        <v>7</v>
      </c>
      <c r="G2045" s="38">
        <v>1</v>
      </c>
      <c r="H2045" s="39"/>
      <c r="I2045" s="39"/>
      <c r="J2045" s="39"/>
      <c r="K2045" s="39"/>
      <c r="L2045" s="39"/>
      <c r="M2045" s="39"/>
      <c r="N2045" s="39"/>
      <c r="O2045" s="39"/>
      <c r="P2045" s="39"/>
      <c r="Q2045" s="39">
        <v>0.83</v>
      </c>
      <c r="R2045" s="39"/>
      <c r="S2045" s="39"/>
      <c r="T2045" s="39"/>
      <c r="U2045" s="39">
        <v>0.17</v>
      </c>
      <c r="V2045" s="39"/>
      <c r="W2045" s="39"/>
      <c r="X2045" s="49" t="s">
        <v>395</v>
      </c>
      <c r="Y2045" s="50">
        <v>28616</v>
      </c>
      <c r="Z2045" s="51">
        <v>22400</v>
      </c>
      <c r="AA2045" s="52">
        <f t="shared" si="53"/>
        <v>0.782778864970646</v>
      </c>
      <c r="AB2045" s="12">
        <v>22400</v>
      </c>
      <c r="AC2045" s="12">
        <v>0</v>
      </c>
      <c r="AD2045" s="43"/>
      <c r="AE2045" s="43"/>
      <c r="AF2045" s="43"/>
      <c r="AG2045" s="43"/>
      <c r="AH2045" s="43"/>
      <c r="AI2045" s="43"/>
      <c r="AJ2045" s="43"/>
      <c r="AK2045" s="43"/>
      <c r="AL2045" s="43"/>
      <c r="AM2045" s="43"/>
      <c r="AN2045" s="43"/>
      <c r="AO2045" s="43"/>
      <c r="AP2045" s="43"/>
      <c r="AQ2045" s="43"/>
      <c r="AR2045" s="43"/>
      <c r="AS2045" s="43"/>
      <c r="AT2045" s="43"/>
      <c r="AU2045" s="43"/>
      <c r="AV2045" s="43"/>
    </row>
    <row r="2046" ht="15.75" spans="1:48">
      <c r="A2046" s="12">
        <v>2042</v>
      </c>
      <c r="B2046" s="66" t="s">
        <v>348</v>
      </c>
      <c r="C2046" s="45" t="s">
        <v>349</v>
      </c>
      <c r="D2046" s="46">
        <v>12</v>
      </c>
      <c r="E2046" s="47" t="s">
        <v>50</v>
      </c>
      <c r="F2046" s="48">
        <v>6.83</v>
      </c>
      <c r="G2046" s="38">
        <v>1.16</v>
      </c>
      <c r="H2046" s="39"/>
      <c r="I2046" s="39"/>
      <c r="J2046" s="39"/>
      <c r="K2046" s="39"/>
      <c r="L2046" s="39"/>
      <c r="M2046" s="39"/>
      <c r="N2046" s="39"/>
      <c r="O2046" s="39"/>
      <c r="P2046" s="39"/>
      <c r="Q2046" s="39">
        <v>0.83</v>
      </c>
      <c r="R2046" s="39"/>
      <c r="S2046" s="39"/>
      <c r="T2046" s="39"/>
      <c r="U2046" s="39">
        <v>0.33</v>
      </c>
      <c r="V2046" s="39"/>
      <c r="W2046" s="39"/>
      <c r="X2046" s="49" t="s">
        <v>194</v>
      </c>
      <c r="Y2046" s="50">
        <v>2288.05</v>
      </c>
      <c r="Z2046" s="51">
        <v>1800</v>
      </c>
      <c r="AA2046" s="52">
        <f t="shared" si="53"/>
        <v>0.786696094927995</v>
      </c>
      <c r="AB2046" s="12">
        <v>1800</v>
      </c>
      <c r="AC2046" s="12">
        <v>0</v>
      </c>
      <c r="AD2046" s="43"/>
      <c r="AE2046" s="43"/>
      <c r="AF2046" s="43"/>
      <c r="AG2046" s="43"/>
      <c r="AH2046" s="43"/>
      <c r="AI2046" s="43"/>
      <c r="AJ2046" s="43"/>
      <c r="AK2046" s="43"/>
      <c r="AL2046" s="43"/>
      <c r="AM2046" s="43"/>
      <c r="AN2046" s="43"/>
      <c r="AO2046" s="43"/>
      <c r="AP2046" s="43"/>
      <c r="AQ2046" s="43"/>
      <c r="AR2046" s="43"/>
      <c r="AS2046" s="43"/>
      <c r="AT2046" s="43"/>
      <c r="AU2046" s="43"/>
      <c r="AV2046" s="43"/>
    </row>
    <row r="2047" ht="15.75" spans="1:48">
      <c r="A2047" s="12">
        <v>2043</v>
      </c>
      <c r="B2047" s="66" t="s">
        <v>344</v>
      </c>
      <c r="C2047" s="45" t="s">
        <v>345</v>
      </c>
      <c r="D2047" s="46">
        <v>19</v>
      </c>
      <c r="E2047" s="47" t="s">
        <v>50</v>
      </c>
      <c r="F2047" s="48">
        <v>6.67</v>
      </c>
      <c r="G2047" s="38">
        <v>1.34</v>
      </c>
      <c r="H2047" s="39"/>
      <c r="I2047" s="39"/>
      <c r="J2047" s="39"/>
      <c r="K2047" s="39">
        <v>0.17</v>
      </c>
      <c r="L2047" s="39"/>
      <c r="M2047" s="39"/>
      <c r="N2047" s="39"/>
      <c r="O2047" s="39"/>
      <c r="P2047" s="39"/>
      <c r="Q2047" s="39">
        <v>0.83</v>
      </c>
      <c r="R2047" s="39"/>
      <c r="S2047" s="39"/>
      <c r="T2047" s="39">
        <v>0.17</v>
      </c>
      <c r="U2047" s="39">
        <v>0.17</v>
      </c>
      <c r="V2047" s="39"/>
      <c r="W2047" s="39"/>
      <c r="X2047" s="49" t="s">
        <v>194</v>
      </c>
      <c r="Y2047" s="50">
        <v>2234.45</v>
      </c>
      <c r="Z2047" s="51">
        <v>1440</v>
      </c>
      <c r="AA2047" s="52">
        <f t="shared" si="53"/>
        <v>0.644453892456757</v>
      </c>
      <c r="AB2047" s="12">
        <v>1371</v>
      </c>
      <c r="AC2047" s="12">
        <v>69</v>
      </c>
      <c r="AD2047" s="19">
        <v>69</v>
      </c>
      <c r="AE2047" s="43"/>
      <c r="AF2047" s="43"/>
      <c r="AG2047" s="43"/>
      <c r="AH2047" s="43"/>
      <c r="AI2047" s="43"/>
      <c r="AJ2047" s="43"/>
      <c r="AK2047" s="43"/>
      <c r="AL2047" s="43"/>
      <c r="AM2047" s="43"/>
      <c r="AN2047" s="43"/>
      <c r="AO2047" s="43"/>
      <c r="AP2047" s="43"/>
      <c r="AQ2047" s="43"/>
      <c r="AR2047" s="43"/>
      <c r="AS2047" s="43"/>
      <c r="AT2047" s="43"/>
      <c r="AU2047" s="43"/>
      <c r="AV2047" s="43"/>
    </row>
    <row r="2048" ht="15.75" spans="1:48">
      <c r="A2048" s="12">
        <v>2044</v>
      </c>
      <c r="B2048" s="66" t="s">
        <v>350</v>
      </c>
      <c r="C2048" s="45" t="s">
        <v>351</v>
      </c>
      <c r="D2048" s="46">
        <v>12</v>
      </c>
      <c r="E2048" s="47" t="s">
        <v>50</v>
      </c>
      <c r="F2048" s="48">
        <v>6.83</v>
      </c>
      <c r="G2048" s="38">
        <v>1.17</v>
      </c>
      <c r="H2048" s="39"/>
      <c r="I2048" s="39"/>
      <c r="J2048" s="39"/>
      <c r="K2048" s="39">
        <v>0.17</v>
      </c>
      <c r="L2048" s="39"/>
      <c r="M2048" s="39"/>
      <c r="N2048" s="39"/>
      <c r="O2048" s="39"/>
      <c r="P2048" s="39"/>
      <c r="Q2048" s="39">
        <v>0.83</v>
      </c>
      <c r="R2048" s="39"/>
      <c r="S2048" s="39"/>
      <c r="T2048" s="39"/>
      <c r="U2048" s="39">
        <v>0.17</v>
      </c>
      <c r="V2048" s="39"/>
      <c r="W2048" s="39"/>
      <c r="X2048" s="49" t="s">
        <v>194</v>
      </c>
      <c r="Y2048" s="50">
        <v>2288.05</v>
      </c>
      <c r="Z2048" s="51">
        <v>1800</v>
      </c>
      <c r="AA2048" s="52">
        <f t="shared" si="53"/>
        <v>0.786696094927995</v>
      </c>
      <c r="AB2048" s="12">
        <v>1704</v>
      </c>
      <c r="AC2048" s="12">
        <v>96</v>
      </c>
      <c r="AD2048" s="19">
        <v>96</v>
      </c>
      <c r="AE2048" s="43"/>
      <c r="AF2048" s="43"/>
      <c r="AG2048" s="43"/>
      <c r="AH2048" s="43"/>
      <c r="AI2048" s="43"/>
      <c r="AJ2048" s="43"/>
      <c r="AK2048" s="43"/>
      <c r="AL2048" s="43"/>
      <c r="AM2048" s="43"/>
      <c r="AN2048" s="43"/>
      <c r="AO2048" s="43"/>
      <c r="AP2048" s="43"/>
      <c r="AQ2048" s="43"/>
      <c r="AR2048" s="43"/>
      <c r="AS2048" s="43"/>
      <c r="AT2048" s="43"/>
      <c r="AU2048" s="43"/>
      <c r="AV2048" s="43"/>
    </row>
    <row r="2049" ht="15.75" spans="1:48">
      <c r="A2049" s="12">
        <v>2045</v>
      </c>
      <c r="B2049" s="44">
        <v>656</v>
      </c>
      <c r="C2049" s="45" t="s">
        <v>195</v>
      </c>
      <c r="D2049" s="46"/>
      <c r="E2049" s="47" t="s">
        <v>50</v>
      </c>
      <c r="F2049" s="48">
        <v>10.17</v>
      </c>
      <c r="G2049" s="38">
        <v>1.84</v>
      </c>
      <c r="H2049" s="39"/>
      <c r="I2049" s="39"/>
      <c r="J2049" s="39"/>
      <c r="K2049" s="39"/>
      <c r="L2049" s="39"/>
      <c r="M2049" s="39"/>
      <c r="N2049" s="39"/>
      <c r="O2049" s="39"/>
      <c r="P2049" s="39"/>
      <c r="Q2049" s="39">
        <v>1.17</v>
      </c>
      <c r="R2049" s="39"/>
      <c r="S2049" s="39"/>
      <c r="T2049" s="39"/>
      <c r="U2049" s="39">
        <v>0.67</v>
      </c>
      <c r="V2049" s="39"/>
      <c r="W2049" s="39"/>
      <c r="X2049" s="49">
        <v>9276</v>
      </c>
      <c r="Y2049" s="50">
        <v>5085</v>
      </c>
      <c r="Z2049" s="51">
        <v>5080</v>
      </c>
      <c r="AA2049" s="52">
        <f t="shared" si="53"/>
        <v>0.999016715830875</v>
      </c>
      <c r="AB2049" s="12">
        <v>5080</v>
      </c>
      <c r="AC2049" s="12">
        <v>0</v>
      </c>
      <c r="AD2049" s="43"/>
      <c r="AE2049" s="43"/>
      <c r="AF2049" s="43"/>
      <c r="AG2049" s="43"/>
      <c r="AH2049" s="43"/>
      <c r="AI2049" s="43"/>
      <c r="AJ2049" s="43"/>
      <c r="AK2049" s="43"/>
      <c r="AL2049" s="43"/>
      <c r="AM2049" s="43"/>
      <c r="AN2049" s="43"/>
      <c r="AO2049" s="43"/>
      <c r="AP2049" s="43"/>
      <c r="AQ2049" s="43"/>
      <c r="AR2049" s="43"/>
      <c r="AS2049" s="43"/>
      <c r="AT2049" s="43"/>
      <c r="AU2049" s="43"/>
      <c r="AV2049" s="43"/>
    </row>
    <row r="2050" ht="15.75" spans="1:48">
      <c r="A2050" s="12">
        <v>2046</v>
      </c>
      <c r="B2050" s="44">
        <v>2284</v>
      </c>
      <c r="C2050" s="45" t="s">
        <v>59</v>
      </c>
      <c r="D2050" s="46"/>
      <c r="E2050" s="47" t="s">
        <v>50</v>
      </c>
      <c r="F2050" s="48">
        <v>10.83</v>
      </c>
      <c r="G2050" s="38">
        <v>1.17</v>
      </c>
      <c r="H2050" s="39"/>
      <c r="I2050" s="39"/>
      <c r="J2050" s="39"/>
      <c r="K2050" s="39"/>
      <c r="L2050" s="39"/>
      <c r="M2050" s="39"/>
      <c r="N2050" s="39"/>
      <c r="O2050" s="39"/>
      <c r="P2050" s="39"/>
      <c r="Q2050" s="39">
        <v>1.17</v>
      </c>
      <c r="R2050" s="39"/>
      <c r="S2050" s="39"/>
      <c r="T2050" s="39"/>
      <c r="U2050" s="39"/>
      <c r="V2050" s="39"/>
      <c r="W2050" s="39"/>
      <c r="X2050" s="49" t="s">
        <v>140</v>
      </c>
      <c r="Y2050" s="50">
        <v>0</v>
      </c>
      <c r="Z2050" s="51"/>
      <c r="AA2050" s="52">
        <f t="shared" ref="AA2050:AA2069" si="54">IFERROR(Z2050/Y2050,0)</f>
        <v>0</v>
      </c>
      <c r="AB2050" s="12">
        <v>0</v>
      </c>
      <c r="AC2050" s="12">
        <v>0</v>
      </c>
      <c r="AD2050" s="43"/>
      <c r="AE2050" s="43"/>
      <c r="AF2050" s="43"/>
      <c r="AG2050" s="43"/>
      <c r="AH2050" s="43"/>
      <c r="AI2050" s="43"/>
      <c r="AJ2050" s="43"/>
      <c r="AK2050" s="43"/>
      <c r="AL2050" s="43"/>
      <c r="AM2050" s="43"/>
      <c r="AN2050" s="43"/>
      <c r="AO2050" s="43"/>
      <c r="AP2050" s="43"/>
      <c r="AQ2050" s="43"/>
      <c r="AR2050" s="43"/>
      <c r="AS2050" s="43"/>
      <c r="AT2050" s="43"/>
      <c r="AU2050" s="43"/>
      <c r="AV2050" s="43"/>
    </row>
    <row r="2051" ht="15.75" spans="1:48">
      <c r="A2051" s="12">
        <v>2047</v>
      </c>
      <c r="B2051" s="44">
        <v>655</v>
      </c>
      <c r="C2051" s="45" t="s">
        <v>198</v>
      </c>
      <c r="D2051" s="46">
        <v>10</v>
      </c>
      <c r="E2051" s="47" t="s">
        <v>50</v>
      </c>
      <c r="F2051" s="48">
        <v>10.67</v>
      </c>
      <c r="G2051" s="38">
        <v>1.34</v>
      </c>
      <c r="H2051" s="39"/>
      <c r="I2051" s="39"/>
      <c r="J2051" s="39"/>
      <c r="K2051" s="39"/>
      <c r="L2051" s="39"/>
      <c r="M2051" s="39"/>
      <c r="N2051" s="39"/>
      <c r="O2051" s="39"/>
      <c r="P2051" s="39"/>
      <c r="Q2051" s="39">
        <v>1.17</v>
      </c>
      <c r="R2051" s="39"/>
      <c r="S2051" s="39"/>
      <c r="T2051" s="39"/>
      <c r="U2051" s="39">
        <v>0.17</v>
      </c>
      <c r="V2051" s="39"/>
      <c r="W2051" s="39"/>
      <c r="X2051" s="49">
        <v>127</v>
      </c>
      <c r="Y2051" s="50">
        <v>5335</v>
      </c>
      <c r="Z2051" s="51">
        <v>5400</v>
      </c>
      <c r="AA2051" s="52">
        <f t="shared" si="54"/>
        <v>1.01218369259606</v>
      </c>
      <c r="AB2051" s="12">
        <v>5400</v>
      </c>
      <c r="AC2051" s="12">
        <v>0</v>
      </c>
      <c r="AD2051" s="43"/>
      <c r="AE2051" s="43"/>
      <c r="AF2051" s="43"/>
      <c r="AG2051" s="43"/>
      <c r="AH2051" s="43"/>
      <c r="AI2051" s="43"/>
      <c r="AJ2051" s="43"/>
      <c r="AK2051" s="43"/>
      <c r="AL2051" s="43"/>
      <c r="AM2051" s="43"/>
      <c r="AN2051" s="43"/>
      <c r="AO2051" s="43"/>
      <c r="AP2051" s="43"/>
      <c r="AQ2051" s="43"/>
      <c r="AR2051" s="43"/>
      <c r="AS2051" s="43"/>
      <c r="AT2051" s="43"/>
      <c r="AU2051" s="43"/>
      <c r="AV2051" s="43"/>
    </row>
    <row r="2052" ht="15.75" spans="1:48">
      <c r="A2052" s="12">
        <v>2048</v>
      </c>
      <c r="B2052" s="44">
        <v>4418</v>
      </c>
      <c r="C2052" s="45" t="s">
        <v>125</v>
      </c>
      <c r="D2052" s="46">
        <v>1</v>
      </c>
      <c r="E2052" s="47" t="s">
        <v>50</v>
      </c>
      <c r="F2052" s="48">
        <v>10.33</v>
      </c>
      <c r="G2052" s="38">
        <v>1.68</v>
      </c>
      <c r="H2052" s="39"/>
      <c r="I2052" s="39"/>
      <c r="J2052" s="39"/>
      <c r="K2052" s="39">
        <v>0.17</v>
      </c>
      <c r="L2052" s="39"/>
      <c r="M2052" s="39"/>
      <c r="N2052" s="39"/>
      <c r="O2052" s="39"/>
      <c r="P2052" s="39"/>
      <c r="Q2052" s="39">
        <v>1.17</v>
      </c>
      <c r="R2052" s="39"/>
      <c r="S2052" s="39"/>
      <c r="T2052" s="39">
        <v>0.17</v>
      </c>
      <c r="U2052" s="39">
        <v>0.17</v>
      </c>
      <c r="V2052" s="39"/>
      <c r="W2052" s="39"/>
      <c r="X2052" s="49" t="s">
        <v>58</v>
      </c>
      <c r="Y2052" s="50">
        <v>3615.5</v>
      </c>
      <c r="Z2052" s="51">
        <v>3600</v>
      </c>
      <c r="AA2052" s="52">
        <f t="shared" si="54"/>
        <v>0.995712902779698</v>
      </c>
      <c r="AB2052" s="12">
        <v>3494</v>
      </c>
      <c r="AC2052" s="12">
        <v>106</v>
      </c>
      <c r="AD2052" s="19">
        <v>106</v>
      </c>
      <c r="AE2052" s="43"/>
      <c r="AF2052" s="43"/>
      <c r="AG2052" s="43"/>
      <c r="AH2052" s="43"/>
      <c r="AI2052" s="43"/>
      <c r="AJ2052" s="43"/>
      <c r="AK2052" s="43"/>
      <c r="AL2052" s="43"/>
      <c r="AM2052" s="43"/>
      <c r="AN2052" s="43"/>
      <c r="AO2052" s="43"/>
      <c r="AP2052" s="43"/>
      <c r="AQ2052" s="43"/>
      <c r="AR2052" s="43"/>
      <c r="AS2052" s="43"/>
      <c r="AT2052" s="43"/>
      <c r="AU2052" s="43"/>
      <c r="AV2052" s="43"/>
    </row>
    <row r="2053" ht="15.75" spans="1:48">
      <c r="A2053" s="12">
        <v>2049</v>
      </c>
      <c r="B2053" s="44">
        <v>2649</v>
      </c>
      <c r="C2053" s="45" t="s">
        <v>121</v>
      </c>
      <c r="D2053" s="46"/>
      <c r="E2053" s="47" t="s">
        <v>50</v>
      </c>
      <c r="F2053" s="48">
        <v>6</v>
      </c>
      <c r="G2053" s="38">
        <v>1.17</v>
      </c>
      <c r="H2053" s="39"/>
      <c r="I2053" s="39"/>
      <c r="J2053" s="39"/>
      <c r="K2053" s="39"/>
      <c r="L2053" s="39"/>
      <c r="M2053" s="39"/>
      <c r="N2053" s="39"/>
      <c r="O2053" s="39"/>
      <c r="P2053" s="39"/>
      <c r="Q2053" s="39">
        <v>1.17</v>
      </c>
      <c r="R2053" s="39"/>
      <c r="S2053" s="39"/>
      <c r="T2053" s="39"/>
      <c r="U2053" s="39"/>
      <c r="V2053" s="39"/>
      <c r="W2053" s="39"/>
      <c r="X2053" s="49" t="s">
        <v>67</v>
      </c>
      <c r="Y2053" s="50">
        <v>1500</v>
      </c>
      <c r="Z2053" s="51">
        <v>1500</v>
      </c>
      <c r="AA2053" s="52">
        <f t="shared" si="54"/>
        <v>1</v>
      </c>
      <c r="AB2053" s="12">
        <v>1500</v>
      </c>
      <c r="AC2053" s="12">
        <v>0</v>
      </c>
      <c r="AD2053" s="43"/>
      <c r="AE2053" s="43"/>
      <c r="AF2053" s="43"/>
      <c r="AG2053" s="43"/>
      <c r="AH2053" s="43"/>
      <c r="AI2053" s="43"/>
      <c r="AJ2053" s="43"/>
      <c r="AK2053" s="43"/>
      <c r="AL2053" s="43"/>
      <c r="AM2053" s="43"/>
      <c r="AN2053" s="43"/>
      <c r="AO2053" s="43"/>
      <c r="AP2053" s="43"/>
      <c r="AQ2053" s="43"/>
      <c r="AR2053" s="43"/>
      <c r="AS2053" s="43"/>
      <c r="AT2053" s="43"/>
      <c r="AU2053" s="43"/>
      <c r="AV2053" s="43"/>
    </row>
    <row r="2054" ht="15.75" spans="1:48">
      <c r="A2054" s="12">
        <v>2050</v>
      </c>
      <c r="B2054" s="44">
        <v>2649</v>
      </c>
      <c r="C2054" s="45" t="s">
        <v>121</v>
      </c>
      <c r="D2054" s="46"/>
      <c r="E2054" s="47" t="s">
        <v>50</v>
      </c>
      <c r="F2054" s="48">
        <v>4.83</v>
      </c>
      <c r="G2054" s="38">
        <v>0</v>
      </c>
      <c r="H2054" s="39"/>
      <c r="I2054" s="39"/>
      <c r="J2054" s="39"/>
      <c r="K2054" s="39"/>
      <c r="L2054" s="39"/>
      <c r="M2054" s="39"/>
      <c r="N2054" s="39"/>
      <c r="O2054" s="39"/>
      <c r="P2054" s="39"/>
      <c r="Q2054" s="39"/>
      <c r="R2054" s="39"/>
      <c r="S2054" s="39"/>
      <c r="T2054" s="39"/>
      <c r="U2054" s="39"/>
      <c r="V2054" s="39"/>
      <c r="W2054" s="39"/>
      <c r="X2054" s="49" t="s">
        <v>155</v>
      </c>
      <c r="Y2054" s="50">
        <v>0</v>
      </c>
      <c r="Z2054" s="51"/>
      <c r="AA2054" s="52">
        <f t="shared" si="54"/>
        <v>0</v>
      </c>
      <c r="AB2054" s="12">
        <v>0</v>
      </c>
      <c r="AC2054" s="12">
        <v>0</v>
      </c>
      <c r="AD2054" s="43"/>
      <c r="AE2054" s="43"/>
      <c r="AF2054" s="43"/>
      <c r="AG2054" s="43"/>
      <c r="AH2054" s="43"/>
      <c r="AI2054" s="43"/>
      <c r="AJ2054" s="43"/>
      <c r="AK2054" s="43"/>
      <c r="AL2054" s="43"/>
      <c r="AM2054" s="43"/>
      <c r="AN2054" s="43"/>
      <c r="AO2054" s="43"/>
      <c r="AP2054" s="43"/>
      <c r="AQ2054" s="43"/>
      <c r="AR2054" s="43"/>
      <c r="AS2054" s="43"/>
      <c r="AT2054" s="43"/>
      <c r="AU2054" s="43"/>
      <c r="AV2054" s="43"/>
    </row>
    <row r="2055" ht="15.75" spans="1:48">
      <c r="A2055" s="12">
        <v>2051</v>
      </c>
      <c r="B2055" s="44">
        <v>4325</v>
      </c>
      <c r="C2055" s="45" t="s">
        <v>118</v>
      </c>
      <c r="D2055" s="46"/>
      <c r="E2055" s="47" t="s">
        <v>50</v>
      </c>
      <c r="F2055" s="48">
        <v>10</v>
      </c>
      <c r="G2055" s="38">
        <v>2</v>
      </c>
      <c r="H2055" s="39"/>
      <c r="I2055" s="39"/>
      <c r="J2055" s="39"/>
      <c r="K2055" s="39"/>
      <c r="L2055" s="39"/>
      <c r="M2055" s="39"/>
      <c r="N2055" s="39"/>
      <c r="O2055" s="39"/>
      <c r="P2055" s="39"/>
      <c r="Q2055" s="39">
        <v>1.17</v>
      </c>
      <c r="R2055" s="39"/>
      <c r="S2055" s="39">
        <v>0.83</v>
      </c>
      <c r="T2055" s="39"/>
      <c r="U2055" s="39"/>
      <c r="V2055" s="39"/>
      <c r="W2055" s="39"/>
      <c r="X2055" s="49" t="s">
        <v>424</v>
      </c>
      <c r="Y2055" s="50">
        <v>1200</v>
      </c>
      <c r="Z2055" s="51">
        <v>1200</v>
      </c>
      <c r="AA2055" s="52">
        <f t="shared" si="54"/>
        <v>1</v>
      </c>
      <c r="AB2055" s="12">
        <v>1200</v>
      </c>
      <c r="AC2055" s="12">
        <v>0</v>
      </c>
      <c r="AD2055" s="43"/>
      <c r="AE2055" s="43"/>
      <c r="AF2055" s="43"/>
      <c r="AG2055" s="43"/>
      <c r="AH2055" s="43"/>
      <c r="AI2055" s="43"/>
      <c r="AJ2055" s="43"/>
      <c r="AK2055" s="43"/>
      <c r="AL2055" s="43"/>
      <c r="AM2055" s="43"/>
      <c r="AN2055" s="43"/>
      <c r="AO2055" s="43"/>
      <c r="AP2055" s="43"/>
      <c r="AQ2055" s="43"/>
      <c r="AR2055" s="43"/>
      <c r="AS2055" s="43"/>
      <c r="AT2055" s="43"/>
      <c r="AU2055" s="43"/>
      <c r="AV2055" s="43"/>
    </row>
    <row r="2056" ht="15.75" spans="1:48">
      <c r="A2056" s="12">
        <v>2052</v>
      </c>
      <c r="B2056" s="44">
        <v>3187</v>
      </c>
      <c r="C2056" s="45" t="s">
        <v>52</v>
      </c>
      <c r="D2056" s="46">
        <v>4</v>
      </c>
      <c r="E2056" s="47" t="s">
        <v>50</v>
      </c>
      <c r="F2056" s="48">
        <v>10.67</v>
      </c>
      <c r="G2056" s="38">
        <v>1.34</v>
      </c>
      <c r="H2056" s="39"/>
      <c r="I2056" s="39"/>
      <c r="J2056" s="39"/>
      <c r="K2056" s="39"/>
      <c r="L2056" s="39"/>
      <c r="M2056" s="39"/>
      <c r="N2056" s="39"/>
      <c r="O2056" s="39"/>
      <c r="P2056" s="39"/>
      <c r="Q2056" s="39">
        <v>1.17</v>
      </c>
      <c r="R2056" s="39"/>
      <c r="S2056" s="39"/>
      <c r="T2056" s="39"/>
      <c r="U2056" s="39">
        <v>0.17</v>
      </c>
      <c r="V2056" s="39"/>
      <c r="W2056" s="39"/>
      <c r="X2056" s="49">
        <v>9116</v>
      </c>
      <c r="Y2056" s="50">
        <v>3201</v>
      </c>
      <c r="Z2056" s="51">
        <v>3200</v>
      </c>
      <c r="AA2056" s="52">
        <f t="shared" si="54"/>
        <v>0.999687597625742</v>
      </c>
      <c r="AB2056" s="12">
        <v>3200</v>
      </c>
      <c r="AC2056" s="12">
        <v>0</v>
      </c>
      <c r="AD2056" s="43"/>
      <c r="AE2056" s="43"/>
      <c r="AF2056" s="43"/>
      <c r="AG2056" s="43"/>
      <c r="AH2056" s="43"/>
      <c r="AI2056" s="43"/>
      <c r="AJ2056" s="43"/>
      <c r="AK2056" s="43"/>
      <c r="AL2056" s="43"/>
      <c r="AM2056" s="43"/>
      <c r="AN2056" s="43"/>
      <c r="AO2056" s="43"/>
      <c r="AP2056" s="43"/>
      <c r="AQ2056" s="43"/>
      <c r="AR2056" s="43"/>
      <c r="AS2056" s="43"/>
      <c r="AT2056" s="43"/>
      <c r="AU2056" s="43"/>
      <c r="AV2056" s="43"/>
    </row>
    <row r="2057" ht="15.75" spans="1:48">
      <c r="A2057" s="12">
        <v>2053</v>
      </c>
      <c r="B2057" s="44">
        <v>3959</v>
      </c>
      <c r="C2057" s="45" t="s">
        <v>123</v>
      </c>
      <c r="D2057" s="46"/>
      <c r="E2057" s="47" t="s">
        <v>50</v>
      </c>
      <c r="F2057" s="48">
        <v>10.83</v>
      </c>
      <c r="G2057" s="38">
        <v>1.17</v>
      </c>
      <c r="H2057" s="39"/>
      <c r="I2057" s="39"/>
      <c r="J2057" s="39"/>
      <c r="K2057" s="39"/>
      <c r="L2057" s="39"/>
      <c r="M2057" s="39"/>
      <c r="N2057" s="39"/>
      <c r="O2057" s="39"/>
      <c r="P2057" s="39"/>
      <c r="Q2057" s="39">
        <v>1.17</v>
      </c>
      <c r="R2057" s="39"/>
      <c r="S2057" s="39"/>
      <c r="T2057" s="39"/>
      <c r="U2057" s="39"/>
      <c r="V2057" s="39"/>
      <c r="W2057" s="39"/>
      <c r="X2057" s="49" t="s">
        <v>67</v>
      </c>
      <c r="Y2057" s="50">
        <v>2707.5</v>
      </c>
      <c r="Z2057" s="51">
        <v>2700</v>
      </c>
      <c r="AA2057" s="52">
        <f t="shared" si="54"/>
        <v>0.997229916897507</v>
      </c>
      <c r="AB2057" s="12">
        <v>2700</v>
      </c>
      <c r="AC2057" s="12">
        <v>0</v>
      </c>
      <c r="AD2057" s="43"/>
      <c r="AE2057" s="43"/>
      <c r="AF2057" s="43"/>
      <c r="AG2057" s="43"/>
      <c r="AH2057" s="43"/>
      <c r="AI2057" s="43"/>
      <c r="AJ2057" s="43"/>
      <c r="AK2057" s="43"/>
      <c r="AL2057" s="43"/>
      <c r="AM2057" s="43"/>
      <c r="AN2057" s="43"/>
      <c r="AO2057" s="43"/>
      <c r="AP2057" s="43"/>
      <c r="AQ2057" s="43"/>
      <c r="AR2057" s="43"/>
      <c r="AS2057" s="43"/>
      <c r="AT2057" s="43"/>
      <c r="AU2057" s="43"/>
      <c r="AV2057" s="43"/>
    </row>
    <row r="2058" ht="15.75" spans="1:48">
      <c r="A2058" s="12">
        <v>2054</v>
      </c>
      <c r="B2058" s="53">
        <v>3111</v>
      </c>
      <c r="C2058" s="55" t="s">
        <v>124</v>
      </c>
      <c r="D2058" s="56">
        <v>11</v>
      </c>
      <c r="E2058" s="47" t="s">
        <v>50</v>
      </c>
      <c r="F2058" s="48">
        <v>10</v>
      </c>
      <c r="G2058" s="38">
        <v>2</v>
      </c>
      <c r="H2058" s="39"/>
      <c r="I2058" s="39"/>
      <c r="J2058" s="39"/>
      <c r="K2058" s="39">
        <v>0.33</v>
      </c>
      <c r="L2058" s="39"/>
      <c r="M2058" s="39"/>
      <c r="N2058" s="39"/>
      <c r="O2058" s="39"/>
      <c r="P2058" s="39"/>
      <c r="Q2058" s="39">
        <v>1.17</v>
      </c>
      <c r="R2058" s="39"/>
      <c r="S2058" s="39"/>
      <c r="T2058" s="39"/>
      <c r="U2058" s="39">
        <v>0.17</v>
      </c>
      <c r="V2058" s="39">
        <v>0.33</v>
      </c>
      <c r="W2058" s="39"/>
      <c r="X2058" s="49" t="s">
        <v>69</v>
      </c>
      <c r="Y2058" s="50">
        <v>5100</v>
      </c>
      <c r="Z2058" s="51">
        <v>4995</v>
      </c>
      <c r="AA2058" s="52">
        <f t="shared" si="54"/>
        <v>0.979411764705882</v>
      </c>
      <c r="AB2058" s="12">
        <v>4995</v>
      </c>
      <c r="AC2058" s="12">
        <v>0</v>
      </c>
      <c r="AD2058" s="43"/>
      <c r="AE2058" s="43"/>
      <c r="AF2058" s="43"/>
      <c r="AG2058" s="43"/>
      <c r="AH2058" s="43"/>
      <c r="AI2058" s="43"/>
      <c r="AJ2058" s="43"/>
      <c r="AK2058" s="43"/>
      <c r="AL2058" s="43"/>
      <c r="AM2058" s="43"/>
      <c r="AN2058" s="43"/>
      <c r="AO2058" s="43"/>
      <c r="AP2058" s="43"/>
      <c r="AQ2058" s="43"/>
      <c r="AR2058" s="43"/>
      <c r="AS2058" s="43"/>
      <c r="AT2058" s="43"/>
      <c r="AU2058" s="43"/>
      <c r="AV2058" s="43"/>
    </row>
    <row r="2059" ht="15.75" spans="1:48">
      <c r="A2059" s="12">
        <v>2055</v>
      </c>
      <c r="B2059" s="44">
        <v>4504</v>
      </c>
      <c r="C2059" s="45" t="s">
        <v>304</v>
      </c>
      <c r="D2059" s="46">
        <v>1</v>
      </c>
      <c r="E2059" s="47" t="s">
        <v>50</v>
      </c>
      <c r="F2059" s="48">
        <v>7.17</v>
      </c>
      <c r="G2059" s="38">
        <v>0.83</v>
      </c>
      <c r="H2059" s="39"/>
      <c r="I2059" s="39"/>
      <c r="J2059" s="39"/>
      <c r="K2059" s="39"/>
      <c r="L2059" s="39"/>
      <c r="M2059" s="39"/>
      <c r="N2059" s="39"/>
      <c r="O2059" s="39"/>
      <c r="P2059" s="39"/>
      <c r="Q2059" s="39">
        <v>0.83</v>
      </c>
      <c r="R2059" s="39"/>
      <c r="S2059" s="39"/>
      <c r="T2059" s="39"/>
      <c r="U2059" s="39"/>
      <c r="V2059" s="39"/>
      <c r="W2059" s="39"/>
      <c r="X2059" s="49" t="s">
        <v>58</v>
      </c>
      <c r="Y2059" s="50">
        <v>2509.5</v>
      </c>
      <c r="Z2059" s="51">
        <v>2400</v>
      </c>
      <c r="AA2059" s="52">
        <f t="shared" si="54"/>
        <v>0.956365809922295</v>
      </c>
      <c r="AB2059" s="12">
        <v>2400</v>
      </c>
      <c r="AC2059" s="12">
        <v>0</v>
      </c>
      <c r="AD2059" s="43"/>
      <c r="AE2059" s="43"/>
      <c r="AF2059" s="43"/>
      <c r="AG2059" s="43"/>
      <c r="AH2059" s="43"/>
      <c r="AI2059" s="43"/>
      <c r="AJ2059" s="43"/>
      <c r="AK2059" s="43"/>
      <c r="AL2059" s="43"/>
      <c r="AM2059" s="43"/>
      <c r="AN2059" s="43"/>
      <c r="AO2059" s="43"/>
      <c r="AP2059" s="43"/>
      <c r="AQ2059" s="43"/>
      <c r="AR2059" s="43"/>
      <c r="AS2059" s="43"/>
      <c r="AT2059" s="43"/>
      <c r="AU2059" s="43"/>
      <c r="AV2059" s="43"/>
    </row>
    <row r="2060" ht="15.75" spans="1:48">
      <c r="A2060" s="12">
        <v>2056</v>
      </c>
      <c r="B2060" s="66" t="s">
        <v>346</v>
      </c>
      <c r="C2060" s="45" t="s">
        <v>347</v>
      </c>
      <c r="D2060" s="46"/>
      <c r="E2060" s="47" t="s">
        <v>50</v>
      </c>
      <c r="F2060" s="48"/>
      <c r="G2060" s="38">
        <v>0</v>
      </c>
      <c r="H2060" s="39"/>
      <c r="I2060" s="39"/>
      <c r="J2060" s="39"/>
      <c r="K2060" s="39"/>
      <c r="L2060" s="39"/>
      <c r="M2060" s="39"/>
      <c r="N2060" s="39"/>
      <c r="O2060" s="39"/>
      <c r="P2060" s="39"/>
      <c r="Q2060" s="39"/>
      <c r="R2060" s="39"/>
      <c r="S2060" s="39"/>
      <c r="T2060" s="39"/>
      <c r="U2060" s="39"/>
      <c r="V2060" s="39"/>
      <c r="W2060" s="39"/>
      <c r="X2060" s="49" t="s">
        <v>425</v>
      </c>
      <c r="Y2060" s="50">
        <v>0</v>
      </c>
      <c r="Z2060" s="51"/>
      <c r="AA2060" s="52">
        <f t="shared" si="54"/>
        <v>0</v>
      </c>
      <c r="AB2060" s="12">
        <v>0</v>
      </c>
      <c r="AC2060" s="12">
        <v>0</v>
      </c>
      <c r="AD2060" s="43"/>
      <c r="AE2060" s="43"/>
      <c r="AF2060" s="43"/>
      <c r="AG2060" s="43"/>
      <c r="AH2060" s="43"/>
      <c r="AI2060" s="43"/>
      <c r="AJ2060" s="43"/>
      <c r="AK2060" s="43"/>
      <c r="AL2060" s="43"/>
      <c r="AM2060" s="43"/>
      <c r="AN2060" s="43"/>
      <c r="AO2060" s="43"/>
      <c r="AP2060" s="43"/>
      <c r="AQ2060" s="43"/>
      <c r="AR2060" s="43"/>
      <c r="AS2060" s="43"/>
      <c r="AT2060" s="43"/>
      <c r="AU2060" s="43"/>
      <c r="AV2060" s="43"/>
    </row>
    <row r="2061" ht="15.75" spans="1:48">
      <c r="A2061" s="12">
        <v>2057</v>
      </c>
      <c r="B2061" s="44">
        <v>4496</v>
      </c>
      <c r="C2061" s="45" t="s">
        <v>133</v>
      </c>
      <c r="D2061" s="46" t="s">
        <v>78</v>
      </c>
      <c r="E2061" s="47" t="s">
        <v>50</v>
      </c>
      <c r="F2061" s="48">
        <v>10.83</v>
      </c>
      <c r="G2061" s="38">
        <v>1.17</v>
      </c>
      <c r="H2061" s="39"/>
      <c r="I2061" s="39"/>
      <c r="J2061" s="39"/>
      <c r="K2061" s="39">
        <v>0.17</v>
      </c>
      <c r="L2061" s="39"/>
      <c r="M2061" s="39"/>
      <c r="N2061" s="39"/>
      <c r="O2061" s="39"/>
      <c r="P2061" s="39"/>
      <c r="Q2061" s="39">
        <v>0.67</v>
      </c>
      <c r="R2061" s="39"/>
      <c r="S2061" s="39"/>
      <c r="T2061" s="39"/>
      <c r="U2061" s="39">
        <v>0.33</v>
      </c>
      <c r="V2061" s="39"/>
      <c r="W2061" s="39"/>
      <c r="X2061" s="49" t="s">
        <v>79</v>
      </c>
      <c r="Y2061" s="50">
        <v>72127.8</v>
      </c>
      <c r="Z2061" s="51">
        <v>64576</v>
      </c>
      <c r="AA2061" s="52">
        <f t="shared" si="54"/>
        <v>0.895299731864829</v>
      </c>
      <c r="AB2061" s="12">
        <v>64472</v>
      </c>
      <c r="AC2061" s="12">
        <v>104</v>
      </c>
      <c r="AD2061" s="43"/>
      <c r="AE2061" s="43"/>
      <c r="AF2061" s="43"/>
      <c r="AG2061" s="19">
        <v>64</v>
      </c>
      <c r="AH2061" s="43"/>
      <c r="AI2061" s="43"/>
      <c r="AJ2061" s="43"/>
      <c r="AK2061" s="43"/>
      <c r="AL2061" s="43"/>
      <c r="AM2061" s="43"/>
      <c r="AN2061" s="19">
        <v>40</v>
      </c>
      <c r="AO2061" s="43"/>
      <c r="AP2061" s="43"/>
      <c r="AQ2061" s="43"/>
      <c r="AR2061" s="43"/>
      <c r="AS2061" s="43"/>
      <c r="AT2061" s="43"/>
      <c r="AU2061" s="43"/>
      <c r="AV2061" s="43"/>
    </row>
    <row r="2062" ht="15.75" spans="1:48">
      <c r="A2062" s="12">
        <v>2058</v>
      </c>
      <c r="B2062" s="44">
        <v>4496</v>
      </c>
      <c r="C2062" s="45" t="s">
        <v>133</v>
      </c>
      <c r="D2062" s="46" t="s">
        <v>207</v>
      </c>
      <c r="E2062" s="47" t="s">
        <v>50</v>
      </c>
      <c r="F2062" s="48">
        <v>10.83</v>
      </c>
      <c r="G2062" s="38">
        <v>1.17</v>
      </c>
      <c r="H2062" s="39"/>
      <c r="I2062" s="39"/>
      <c r="J2062" s="39"/>
      <c r="K2062" s="39">
        <v>0.17</v>
      </c>
      <c r="L2062" s="39"/>
      <c r="M2062" s="39"/>
      <c r="N2062" s="39"/>
      <c r="O2062" s="39"/>
      <c r="P2062" s="39"/>
      <c r="Q2062" s="39">
        <v>0.67</v>
      </c>
      <c r="R2062" s="39"/>
      <c r="S2062" s="39"/>
      <c r="T2062" s="39"/>
      <c r="U2062" s="39">
        <v>0.33</v>
      </c>
      <c r="V2062" s="39"/>
      <c r="W2062" s="39"/>
      <c r="X2062" s="49" t="s">
        <v>79</v>
      </c>
      <c r="Y2062" s="50">
        <v>72127.8</v>
      </c>
      <c r="Z2062" s="51">
        <v>64272</v>
      </c>
      <c r="AA2062" s="52">
        <f t="shared" si="54"/>
        <v>0.891084990807982</v>
      </c>
      <c r="AB2062" s="12">
        <v>64160</v>
      </c>
      <c r="AC2062" s="12">
        <v>112</v>
      </c>
      <c r="AD2062" s="43"/>
      <c r="AE2062" s="43"/>
      <c r="AF2062" s="43"/>
      <c r="AG2062" s="19">
        <v>48</v>
      </c>
      <c r="AH2062" s="43"/>
      <c r="AI2062" s="43"/>
      <c r="AJ2062" s="43"/>
      <c r="AK2062" s="43"/>
      <c r="AL2062" s="43"/>
      <c r="AM2062" s="43"/>
      <c r="AN2062" s="19">
        <v>64</v>
      </c>
      <c r="AO2062" s="43"/>
      <c r="AP2062" s="43"/>
      <c r="AQ2062" s="43"/>
      <c r="AR2062" s="43"/>
      <c r="AS2062" s="43"/>
      <c r="AT2062" s="43"/>
      <c r="AU2062" s="43"/>
      <c r="AV2062" s="43"/>
    </row>
    <row r="2063" ht="15.75" spans="1:48">
      <c r="A2063" s="12">
        <v>2059</v>
      </c>
      <c r="B2063" s="44">
        <v>4496</v>
      </c>
      <c r="C2063" s="45" t="s">
        <v>133</v>
      </c>
      <c r="D2063" s="46" t="s">
        <v>83</v>
      </c>
      <c r="E2063" s="47" t="s">
        <v>50</v>
      </c>
      <c r="F2063" s="48">
        <v>7.5</v>
      </c>
      <c r="G2063" s="38">
        <v>1</v>
      </c>
      <c r="H2063" s="39"/>
      <c r="I2063" s="39"/>
      <c r="J2063" s="39"/>
      <c r="K2063" s="39">
        <v>0.17</v>
      </c>
      <c r="L2063" s="39"/>
      <c r="M2063" s="39"/>
      <c r="N2063" s="39"/>
      <c r="O2063" s="39"/>
      <c r="P2063" s="39"/>
      <c r="Q2063" s="39">
        <v>0.5</v>
      </c>
      <c r="R2063" s="39"/>
      <c r="S2063" s="39"/>
      <c r="T2063" s="39"/>
      <c r="U2063" s="39">
        <v>0.33</v>
      </c>
      <c r="V2063" s="39"/>
      <c r="W2063" s="39"/>
      <c r="X2063" s="49" t="s">
        <v>342</v>
      </c>
      <c r="Y2063" s="50">
        <v>33750</v>
      </c>
      <c r="Z2063" s="51">
        <v>34256</v>
      </c>
      <c r="AA2063" s="52">
        <f t="shared" si="54"/>
        <v>1.01499259259259</v>
      </c>
      <c r="AB2063" s="12">
        <v>34190</v>
      </c>
      <c r="AC2063" s="12">
        <v>66</v>
      </c>
      <c r="AD2063" s="43"/>
      <c r="AE2063" s="43"/>
      <c r="AF2063" s="43"/>
      <c r="AG2063" s="19">
        <v>30</v>
      </c>
      <c r="AH2063" s="43"/>
      <c r="AI2063" s="43"/>
      <c r="AJ2063" s="43"/>
      <c r="AK2063" s="43"/>
      <c r="AL2063" s="43"/>
      <c r="AM2063" s="43"/>
      <c r="AN2063" s="19">
        <v>36</v>
      </c>
      <c r="AO2063" s="43"/>
      <c r="AP2063" s="43"/>
      <c r="AQ2063" s="43"/>
      <c r="AR2063" s="43"/>
      <c r="AS2063" s="43"/>
      <c r="AT2063" s="43"/>
      <c r="AU2063" s="43"/>
      <c r="AV2063" s="43"/>
    </row>
    <row r="2064" ht="15.75" spans="1:48">
      <c r="A2064" s="12">
        <v>2060</v>
      </c>
      <c r="B2064" s="44">
        <v>4496</v>
      </c>
      <c r="C2064" s="45" t="s">
        <v>133</v>
      </c>
      <c r="D2064" s="46" t="s">
        <v>76</v>
      </c>
      <c r="E2064" s="47" t="s">
        <v>50</v>
      </c>
      <c r="F2064" s="48">
        <v>6</v>
      </c>
      <c r="G2064" s="38">
        <v>1.66</v>
      </c>
      <c r="H2064" s="39"/>
      <c r="I2064" s="39"/>
      <c r="J2064" s="39"/>
      <c r="K2064" s="39">
        <v>1.33</v>
      </c>
      <c r="L2064" s="39"/>
      <c r="M2064" s="39"/>
      <c r="N2064" s="39"/>
      <c r="O2064" s="39"/>
      <c r="P2064" s="39"/>
      <c r="Q2064" s="39"/>
      <c r="R2064" s="39"/>
      <c r="S2064" s="39"/>
      <c r="T2064" s="39"/>
      <c r="U2064" s="39">
        <v>0.33</v>
      </c>
      <c r="V2064" s="39"/>
      <c r="W2064" s="39"/>
      <c r="X2064" s="49" t="s">
        <v>79</v>
      </c>
      <c r="Y2064" s="50">
        <v>39960</v>
      </c>
      <c r="Z2064" s="51">
        <v>36136</v>
      </c>
      <c r="AA2064" s="52">
        <f t="shared" si="54"/>
        <v>0.904304304304304</v>
      </c>
      <c r="AB2064" s="12">
        <v>36096</v>
      </c>
      <c r="AC2064" s="12">
        <v>40</v>
      </c>
      <c r="AD2064" s="43"/>
      <c r="AE2064" s="43"/>
      <c r="AF2064" s="43"/>
      <c r="AG2064" s="19">
        <v>24</v>
      </c>
      <c r="AH2064" s="43"/>
      <c r="AI2064" s="43"/>
      <c r="AJ2064" s="43"/>
      <c r="AK2064" s="43"/>
      <c r="AL2064" s="43"/>
      <c r="AM2064" s="43"/>
      <c r="AN2064" s="19">
        <v>16</v>
      </c>
      <c r="AO2064" s="43"/>
      <c r="AP2064" s="43"/>
      <c r="AQ2064" s="43"/>
      <c r="AR2064" s="43"/>
      <c r="AS2064" s="43"/>
      <c r="AT2064" s="43"/>
      <c r="AU2064" s="43"/>
      <c r="AV2064" s="43"/>
    </row>
    <row r="2065" ht="15.75" spans="1:48">
      <c r="A2065" s="12">
        <v>2061</v>
      </c>
      <c r="B2065" s="44">
        <v>4496</v>
      </c>
      <c r="C2065" s="45" t="s">
        <v>133</v>
      </c>
      <c r="D2065" s="46" t="s">
        <v>76</v>
      </c>
      <c r="E2065" s="47" t="s">
        <v>50</v>
      </c>
      <c r="F2065" s="48">
        <v>3.33</v>
      </c>
      <c r="G2065" s="38">
        <v>1</v>
      </c>
      <c r="H2065" s="39"/>
      <c r="I2065" s="39"/>
      <c r="J2065" s="39"/>
      <c r="K2065" s="39"/>
      <c r="L2065" s="39"/>
      <c r="M2065" s="39"/>
      <c r="N2065" s="39"/>
      <c r="O2065" s="39"/>
      <c r="P2065" s="39"/>
      <c r="Q2065" s="39">
        <v>0.67</v>
      </c>
      <c r="R2065" s="39"/>
      <c r="S2065" s="39"/>
      <c r="T2065" s="39"/>
      <c r="U2065" s="39">
        <v>0.33</v>
      </c>
      <c r="V2065" s="39"/>
      <c r="W2065" s="39"/>
      <c r="X2065" s="49" t="s">
        <v>77</v>
      </c>
      <c r="Y2065" s="50">
        <v>19980</v>
      </c>
      <c r="Z2065" s="51">
        <v>18680</v>
      </c>
      <c r="AA2065" s="52">
        <f t="shared" si="54"/>
        <v>0.934934934934935</v>
      </c>
      <c r="AB2065" s="12">
        <v>18640</v>
      </c>
      <c r="AC2065" s="12">
        <v>40</v>
      </c>
      <c r="AD2065" s="43"/>
      <c r="AE2065" s="43"/>
      <c r="AF2065" s="43"/>
      <c r="AG2065" s="19">
        <v>24</v>
      </c>
      <c r="AH2065" s="43"/>
      <c r="AI2065" s="43"/>
      <c r="AJ2065" s="43"/>
      <c r="AK2065" s="43"/>
      <c r="AL2065" s="43"/>
      <c r="AM2065" s="43"/>
      <c r="AN2065" s="19">
        <v>16</v>
      </c>
      <c r="AO2065" s="43"/>
      <c r="AP2065" s="43"/>
      <c r="AQ2065" s="43"/>
      <c r="AR2065" s="43"/>
      <c r="AS2065" s="43"/>
      <c r="AT2065" s="43"/>
      <c r="AU2065" s="43"/>
      <c r="AV2065" s="43"/>
    </row>
    <row r="2066" ht="15.75" spans="1:48">
      <c r="A2066" s="12">
        <v>2062</v>
      </c>
      <c r="B2066" s="44">
        <v>4352</v>
      </c>
      <c r="C2066" s="45" t="s">
        <v>132</v>
      </c>
      <c r="D2066" s="46" t="s">
        <v>129</v>
      </c>
      <c r="E2066" s="47" t="s">
        <v>50</v>
      </c>
      <c r="F2066" s="48">
        <v>10.17</v>
      </c>
      <c r="G2066" s="38">
        <v>1.84</v>
      </c>
      <c r="H2066" s="39"/>
      <c r="I2066" s="39"/>
      <c r="J2066" s="39"/>
      <c r="K2066" s="39"/>
      <c r="L2066" s="39"/>
      <c r="M2066" s="39"/>
      <c r="N2066" s="39"/>
      <c r="O2066" s="39"/>
      <c r="P2066" s="39"/>
      <c r="Q2066" s="39">
        <v>1.17</v>
      </c>
      <c r="R2066" s="39"/>
      <c r="S2066" s="39"/>
      <c r="T2066" s="39"/>
      <c r="U2066" s="39">
        <v>0.67</v>
      </c>
      <c r="V2066" s="39"/>
      <c r="W2066" s="39"/>
      <c r="X2066" s="49" t="s">
        <v>220</v>
      </c>
      <c r="Y2066" s="50">
        <v>18306</v>
      </c>
      <c r="Z2066" s="51">
        <v>15390</v>
      </c>
      <c r="AA2066" s="52">
        <f t="shared" si="54"/>
        <v>0.84070796460177</v>
      </c>
      <c r="AB2066" s="12">
        <v>15360</v>
      </c>
      <c r="AC2066" s="12">
        <v>30</v>
      </c>
      <c r="AD2066" s="43"/>
      <c r="AE2066" s="43"/>
      <c r="AF2066" s="43"/>
      <c r="AG2066" s="19">
        <v>30</v>
      </c>
      <c r="AH2066" s="43"/>
      <c r="AI2066" s="43"/>
      <c r="AJ2066" s="43"/>
      <c r="AK2066" s="43"/>
      <c r="AL2066" s="43"/>
      <c r="AM2066" s="43"/>
      <c r="AN2066" s="43"/>
      <c r="AO2066" s="43"/>
      <c r="AP2066" s="43"/>
      <c r="AQ2066" s="43"/>
      <c r="AR2066" s="43"/>
      <c r="AS2066" s="43"/>
      <c r="AT2066" s="43"/>
      <c r="AU2066" s="43"/>
      <c r="AV2066" s="43"/>
    </row>
    <row r="2067" ht="15.75" spans="1:48">
      <c r="A2067" s="12">
        <v>2063</v>
      </c>
      <c r="B2067" s="73" t="s">
        <v>354</v>
      </c>
      <c r="C2067" s="45" t="s">
        <v>355</v>
      </c>
      <c r="D2067" s="46"/>
      <c r="E2067" s="47" t="s">
        <v>50</v>
      </c>
      <c r="F2067" s="48">
        <v>7.17</v>
      </c>
      <c r="G2067" s="38">
        <v>0.83</v>
      </c>
      <c r="H2067" s="39"/>
      <c r="I2067" s="39"/>
      <c r="J2067" s="39"/>
      <c r="K2067" s="39"/>
      <c r="L2067" s="39"/>
      <c r="M2067" s="39"/>
      <c r="N2067" s="39"/>
      <c r="O2067" s="39"/>
      <c r="P2067" s="39"/>
      <c r="Q2067" s="39">
        <v>0.83</v>
      </c>
      <c r="R2067" s="39"/>
      <c r="S2067" s="39"/>
      <c r="T2067" s="39"/>
      <c r="U2067" s="39"/>
      <c r="V2067" s="39"/>
      <c r="W2067" s="39"/>
      <c r="X2067" s="49" t="s">
        <v>310</v>
      </c>
      <c r="Y2067" s="50">
        <v>0</v>
      </c>
      <c r="Z2067" s="51"/>
      <c r="AA2067" s="52">
        <f t="shared" si="54"/>
        <v>0</v>
      </c>
      <c r="AB2067" s="12">
        <v>0</v>
      </c>
      <c r="AC2067" s="12">
        <v>0</v>
      </c>
      <c r="AD2067" s="43"/>
      <c r="AE2067" s="43"/>
      <c r="AF2067" s="43"/>
      <c r="AG2067" s="43"/>
      <c r="AH2067" s="43"/>
      <c r="AI2067" s="43"/>
      <c r="AJ2067" s="43"/>
      <c r="AK2067" s="43"/>
      <c r="AL2067" s="43"/>
      <c r="AM2067" s="43"/>
      <c r="AN2067" s="43"/>
      <c r="AO2067" s="43"/>
      <c r="AP2067" s="43"/>
      <c r="AQ2067" s="43"/>
      <c r="AR2067" s="43"/>
      <c r="AS2067" s="43"/>
      <c r="AT2067" s="43"/>
      <c r="AU2067" s="43"/>
      <c r="AV2067" s="43"/>
    </row>
    <row r="2068" ht="15.75" spans="1:48">
      <c r="A2068" s="12">
        <v>2064</v>
      </c>
      <c r="B2068" s="44">
        <v>3919</v>
      </c>
      <c r="C2068" s="45" t="s">
        <v>137</v>
      </c>
      <c r="D2068" s="46"/>
      <c r="E2068" s="47" t="s">
        <v>50</v>
      </c>
      <c r="F2068" s="48">
        <v>10.83</v>
      </c>
      <c r="G2068" s="38">
        <v>1.17</v>
      </c>
      <c r="H2068" s="39"/>
      <c r="I2068" s="39"/>
      <c r="J2068" s="39"/>
      <c r="K2068" s="39"/>
      <c r="L2068" s="39"/>
      <c r="M2068" s="39"/>
      <c r="N2068" s="39"/>
      <c r="O2068" s="39"/>
      <c r="P2068" s="39"/>
      <c r="Q2068" s="39">
        <v>1.17</v>
      </c>
      <c r="R2068" s="39"/>
      <c r="S2068" s="39"/>
      <c r="T2068" s="39"/>
      <c r="U2068" s="39"/>
      <c r="V2068" s="39"/>
      <c r="W2068" s="39"/>
      <c r="X2068" s="49" t="s">
        <v>140</v>
      </c>
      <c r="Y2068" s="50">
        <v>0</v>
      </c>
      <c r="Z2068" s="51"/>
      <c r="AA2068" s="52">
        <f t="shared" si="54"/>
        <v>0</v>
      </c>
      <c r="AB2068" s="12">
        <v>0</v>
      </c>
      <c r="AC2068" s="12">
        <v>0</v>
      </c>
      <c r="AD2068" s="43"/>
      <c r="AE2068" s="43"/>
      <c r="AF2068" s="43"/>
      <c r="AG2068" s="43"/>
      <c r="AH2068" s="43"/>
      <c r="AI2068" s="43"/>
      <c r="AJ2068" s="43"/>
      <c r="AK2068" s="43"/>
      <c r="AL2068" s="43"/>
      <c r="AM2068" s="43"/>
      <c r="AN2068" s="43"/>
      <c r="AO2068" s="43"/>
      <c r="AP2068" s="43"/>
      <c r="AQ2068" s="43"/>
      <c r="AR2068" s="43"/>
      <c r="AS2068" s="43"/>
      <c r="AT2068" s="43"/>
      <c r="AU2068" s="43"/>
      <c r="AV2068" s="43"/>
    </row>
    <row r="2069" ht="15.75" spans="1:48">
      <c r="A2069" s="12">
        <v>2065</v>
      </c>
      <c r="B2069" s="44">
        <v>4019</v>
      </c>
      <c r="C2069" s="45" t="s">
        <v>134</v>
      </c>
      <c r="D2069" s="46" t="s">
        <v>138</v>
      </c>
      <c r="E2069" s="47" t="s">
        <v>50</v>
      </c>
      <c r="F2069" s="48">
        <v>6.33</v>
      </c>
      <c r="G2069" s="38">
        <v>1.67</v>
      </c>
      <c r="H2069" s="39"/>
      <c r="I2069" s="39"/>
      <c r="J2069" s="39"/>
      <c r="K2069" s="39"/>
      <c r="L2069" s="39"/>
      <c r="M2069" s="39"/>
      <c r="N2069" s="39"/>
      <c r="O2069" s="39"/>
      <c r="P2069" s="39"/>
      <c r="Q2069" s="39">
        <v>0.83</v>
      </c>
      <c r="R2069" s="39"/>
      <c r="S2069" s="39">
        <v>0.67</v>
      </c>
      <c r="T2069" s="39"/>
      <c r="U2069" s="39">
        <v>0.17</v>
      </c>
      <c r="V2069" s="39"/>
      <c r="W2069" s="39"/>
      <c r="X2069" s="49" t="s">
        <v>74</v>
      </c>
      <c r="Y2069" s="50">
        <v>10286.25</v>
      </c>
      <c r="Z2069" s="51">
        <v>10074</v>
      </c>
      <c r="AA2069" s="52">
        <f t="shared" si="54"/>
        <v>0.979365658038644</v>
      </c>
      <c r="AB2069" s="12">
        <v>10074</v>
      </c>
      <c r="AC2069" s="12">
        <v>0</v>
      </c>
      <c r="AD2069" s="43"/>
      <c r="AE2069" s="43"/>
      <c r="AF2069" s="43"/>
      <c r="AG2069" s="43"/>
      <c r="AH2069" s="43"/>
      <c r="AI2069" s="43"/>
      <c r="AJ2069" s="43"/>
      <c r="AK2069" s="43"/>
      <c r="AL2069" s="43"/>
      <c r="AM2069" s="43"/>
      <c r="AN2069" s="43"/>
      <c r="AO2069" s="43"/>
      <c r="AP2069" s="43"/>
      <c r="AQ2069" s="43"/>
      <c r="AR2069" s="43"/>
      <c r="AS2069" s="43"/>
      <c r="AT2069" s="43"/>
      <c r="AU2069" s="43"/>
      <c r="AV2069" s="43"/>
    </row>
    <row r="2070" ht="15.75" spans="1:48">
      <c r="A2070" s="12">
        <v>2066</v>
      </c>
      <c r="B2070" s="44">
        <v>4110</v>
      </c>
      <c r="C2070" s="45" t="s">
        <v>135</v>
      </c>
      <c r="D2070" s="46" t="s">
        <v>73</v>
      </c>
      <c r="E2070" s="47" t="s">
        <v>50</v>
      </c>
      <c r="F2070" s="48">
        <v>3.5</v>
      </c>
      <c r="G2070" s="38">
        <v>1.34</v>
      </c>
      <c r="H2070" s="39"/>
      <c r="I2070" s="39"/>
      <c r="J2070" s="39"/>
      <c r="K2070" s="39"/>
      <c r="L2070" s="39"/>
      <c r="M2070" s="39"/>
      <c r="N2070" s="39"/>
      <c r="O2070" s="39"/>
      <c r="P2070" s="39"/>
      <c r="Q2070" s="39">
        <v>1.17</v>
      </c>
      <c r="R2070" s="39"/>
      <c r="S2070" s="39"/>
      <c r="T2070" s="39"/>
      <c r="U2070" s="39">
        <v>0.17</v>
      </c>
      <c r="V2070" s="39"/>
      <c r="W2070" s="39"/>
      <c r="X2070" s="49" t="s">
        <v>139</v>
      </c>
      <c r="Y2070" s="50">
        <v>5337.5</v>
      </c>
      <c r="Z2070" s="51">
        <v>5314</v>
      </c>
      <c r="AA2070" s="52">
        <f>IFERROR(Z2070/Y2070,0)</f>
        <v>0.99559718969555</v>
      </c>
      <c r="AB2070" s="12">
        <v>5304</v>
      </c>
      <c r="AC2070" s="12">
        <v>10</v>
      </c>
      <c r="AD2070" s="43"/>
      <c r="AE2070" s="43"/>
      <c r="AF2070" s="43"/>
      <c r="AG2070" s="19">
        <v>10</v>
      </c>
      <c r="AH2070" s="43"/>
      <c r="AI2070" s="43"/>
      <c r="AJ2070" s="43"/>
      <c r="AK2070" s="43"/>
      <c r="AL2070" s="43"/>
      <c r="AM2070" s="43"/>
      <c r="AN2070" s="43"/>
      <c r="AO2070" s="43"/>
      <c r="AP2070" s="43"/>
      <c r="AQ2070" s="43"/>
      <c r="AR2070" s="43"/>
      <c r="AS2070" s="43"/>
      <c r="AT2070" s="43"/>
      <c r="AU2070" s="43"/>
      <c r="AV2070" s="43"/>
    </row>
    <row r="2071" ht="15.75" spans="1:48">
      <c r="A2071" s="12">
        <v>2067</v>
      </c>
      <c r="B2071" s="53">
        <v>4110</v>
      </c>
      <c r="C2071" s="45" t="s">
        <v>135</v>
      </c>
      <c r="D2071" s="46"/>
      <c r="E2071" s="47" t="s">
        <v>50</v>
      </c>
      <c r="F2071" s="48">
        <v>4.67</v>
      </c>
      <c r="G2071" s="38">
        <v>0.17</v>
      </c>
      <c r="H2071" s="39"/>
      <c r="I2071" s="39"/>
      <c r="J2071" s="39"/>
      <c r="K2071" s="39"/>
      <c r="L2071" s="39"/>
      <c r="M2071" s="39"/>
      <c r="N2071" s="39"/>
      <c r="O2071" s="39"/>
      <c r="P2071" s="39"/>
      <c r="Q2071" s="39"/>
      <c r="R2071" s="39"/>
      <c r="S2071" s="39"/>
      <c r="T2071" s="39"/>
      <c r="U2071" s="39">
        <v>0.17</v>
      </c>
      <c r="V2071" s="39"/>
      <c r="W2071" s="39"/>
      <c r="X2071" s="49" t="s">
        <v>74</v>
      </c>
      <c r="Y2071" s="50">
        <v>7588.75</v>
      </c>
      <c r="Z2071" s="51">
        <v>7742</v>
      </c>
      <c r="AA2071" s="52">
        <f>IFERROR(Z2071/Y2071,0)</f>
        <v>1.02019436666118</v>
      </c>
      <c r="AB2071" s="12">
        <v>7724</v>
      </c>
      <c r="AC2071" s="12">
        <v>18</v>
      </c>
      <c r="AD2071" s="43"/>
      <c r="AE2071" s="43"/>
      <c r="AF2071" s="43"/>
      <c r="AG2071" s="19">
        <v>18</v>
      </c>
      <c r="AH2071" s="43"/>
      <c r="AI2071" s="43"/>
      <c r="AJ2071" s="43"/>
      <c r="AK2071" s="43"/>
      <c r="AL2071" s="43"/>
      <c r="AM2071" s="43"/>
      <c r="AN2071" s="43"/>
      <c r="AO2071" s="43"/>
      <c r="AP2071" s="43"/>
      <c r="AQ2071" s="43"/>
      <c r="AR2071" s="43"/>
      <c r="AS2071" s="43"/>
      <c r="AT2071" s="43"/>
      <c r="AU2071" s="43"/>
      <c r="AV2071" s="43"/>
    </row>
    <row r="2072" ht="15.75" spans="1:48">
      <c r="A2072" s="12">
        <v>2068</v>
      </c>
      <c r="B2072" s="44">
        <v>4017</v>
      </c>
      <c r="C2072" s="45" t="s">
        <v>148</v>
      </c>
      <c r="D2072" s="46">
        <v>2</v>
      </c>
      <c r="E2072" s="47" t="s">
        <v>50</v>
      </c>
      <c r="F2072" s="48">
        <v>7</v>
      </c>
      <c r="G2072" s="38">
        <v>1</v>
      </c>
      <c r="H2072" s="39"/>
      <c r="I2072" s="39"/>
      <c r="J2072" s="39"/>
      <c r="K2072" s="39"/>
      <c r="L2072" s="39"/>
      <c r="M2072" s="39"/>
      <c r="N2072" s="39"/>
      <c r="O2072" s="39"/>
      <c r="P2072" s="39"/>
      <c r="Q2072" s="39">
        <v>0.83</v>
      </c>
      <c r="R2072" s="39"/>
      <c r="S2072" s="39"/>
      <c r="T2072" s="39"/>
      <c r="U2072" s="39">
        <v>0.17</v>
      </c>
      <c r="V2072" s="39"/>
      <c r="W2072" s="39"/>
      <c r="X2072" s="49">
        <v>8234</v>
      </c>
      <c r="Y2072" s="50">
        <v>4620</v>
      </c>
      <c r="Z2072" s="51">
        <v>4658</v>
      </c>
      <c r="AA2072" s="52">
        <f>IFERROR(Z2072/Y2072,0)</f>
        <v>1.00822510822511</v>
      </c>
      <c r="AB2072" s="12">
        <v>4640</v>
      </c>
      <c r="AC2072" s="12">
        <v>18</v>
      </c>
      <c r="AD2072" s="19">
        <v>18</v>
      </c>
      <c r="AE2072" s="43"/>
      <c r="AF2072" s="43"/>
      <c r="AG2072" s="43"/>
      <c r="AH2072" s="43"/>
      <c r="AI2072" s="43"/>
      <c r="AJ2072" s="43"/>
      <c r="AK2072" s="43"/>
      <c r="AL2072" s="43"/>
      <c r="AM2072" s="43"/>
      <c r="AN2072" s="43"/>
      <c r="AO2072" s="43"/>
      <c r="AP2072" s="43"/>
      <c r="AQ2072" s="43"/>
      <c r="AR2072" s="43"/>
      <c r="AS2072" s="43"/>
      <c r="AT2072" s="43"/>
      <c r="AU2072" s="43"/>
      <c r="AV2072" s="43"/>
    </row>
    <row r="2073" ht="15.75" spans="1:48">
      <c r="A2073" s="12">
        <v>2069</v>
      </c>
      <c r="B2073" s="44">
        <v>2865</v>
      </c>
      <c r="C2073" s="45" t="s">
        <v>149</v>
      </c>
      <c r="D2073" s="46">
        <v>15</v>
      </c>
      <c r="E2073" s="47" t="s">
        <v>50</v>
      </c>
      <c r="F2073" s="48">
        <v>9</v>
      </c>
      <c r="G2073" s="38">
        <v>1.84</v>
      </c>
      <c r="H2073" s="39"/>
      <c r="I2073" s="39"/>
      <c r="J2073" s="39"/>
      <c r="K2073" s="39"/>
      <c r="L2073" s="39"/>
      <c r="M2073" s="39"/>
      <c r="N2073" s="39"/>
      <c r="O2073" s="39"/>
      <c r="P2073" s="39"/>
      <c r="Q2073" s="39">
        <v>1.17</v>
      </c>
      <c r="R2073" s="39"/>
      <c r="S2073" s="39"/>
      <c r="T2073" s="39">
        <v>0.5</v>
      </c>
      <c r="U2073" s="39">
        <v>0.17</v>
      </c>
      <c r="V2073" s="39"/>
      <c r="W2073" s="39"/>
      <c r="X2073" s="49">
        <v>3880</v>
      </c>
      <c r="Y2073" s="50">
        <v>3600</v>
      </c>
      <c r="Z2073" s="51">
        <v>3295</v>
      </c>
      <c r="AA2073" s="52">
        <f>IFERROR(Z2073/Y2073,0)</f>
        <v>0.915277777777778</v>
      </c>
      <c r="AB2073" s="12">
        <v>3115</v>
      </c>
      <c r="AC2073" s="12">
        <v>180</v>
      </c>
      <c r="AD2073" s="19">
        <v>180</v>
      </c>
      <c r="AE2073" s="43"/>
      <c r="AF2073" s="43"/>
      <c r="AG2073" s="43"/>
      <c r="AH2073" s="43"/>
      <c r="AI2073" s="43"/>
      <c r="AJ2073" s="43"/>
      <c r="AK2073" s="43"/>
      <c r="AL2073" s="43"/>
      <c r="AM2073" s="43"/>
      <c r="AN2073" s="43"/>
      <c r="AO2073" s="43"/>
      <c r="AP2073" s="43"/>
      <c r="AQ2073" s="43"/>
      <c r="AR2073" s="43"/>
      <c r="AS2073" s="43"/>
      <c r="AT2073" s="43"/>
      <c r="AU2073" s="43"/>
      <c r="AV2073" s="43"/>
    </row>
    <row r="2074" ht="15.75" spans="1:48">
      <c r="A2074" s="12">
        <v>2070</v>
      </c>
      <c r="B2074" s="44">
        <v>4342</v>
      </c>
      <c r="C2074" s="45" t="s">
        <v>147</v>
      </c>
      <c r="D2074" s="46"/>
      <c r="E2074" s="47" t="s">
        <v>50</v>
      </c>
      <c r="F2074" s="48">
        <v>10</v>
      </c>
      <c r="G2074" s="38">
        <v>2.01</v>
      </c>
      <c r="H2074" s="39"/>
      <c r="I2074" s="39"/>
      <c r="J2074" s="39"/>
      <c r="K2074" s="39"/>
      <c r="L2074" s="39"/>
      <c r="M2074" s="39"/>
      <c r="N2074" s="39"/>
      <c r="O2074" s="39"/>
      <c r="P2074" s="39"/>
      <c r="Q2074" s="39">
        <v>1.17</v>
      </c>
      <c r="R2074" s="39"/>
      <c r="S2074" s="39">
        <v>0.67</v>
      </c>
      <c r="T2074" s="39"/>
      <c r="U2074" s="39">
        <v>0.17</v>
      </c>
      <c r="V2074" s="39"/>
      <c r="W2074" s="39"/>
      <c r="X2074" s="49" t="s">
        <v>98</v>
      </c>
      <c r="Y2074" s="50">
        <v>4700</v>
      </c>
      <c r="Z2074" s="51">
        <v>4500</v>
      </c>
      <c r="AA2074" s="52">
        <f>IFERROR(Z2074/Y2074,0)</f>
        <v>0.957446808510638</v>
      </c>
      <c r="AB2074" s="12">
        <v>4500</v>
      </c>
      <c r="AC2074" s="12">
        <v>0</v>
      </c>
      <c r="AD2074" s="43"/>
      <c r="AE2074" s="43"/>
      <c r="AF2074" s="43"/>
      <c r="AG2074" s="43"/>
      <c r="AH2074" s="43"/>
      <c r="AI2074" s="43"/>
      <c r="AJ2074" s="43"/>
      <c r="AK2074" s="43"/>
      <c r="AL2074" s="43"/>
      <c r="AM2074" s="43"/>
      <c r="AN2074" s="43"/>
      <c r="AO2074" s="43"/>
      <c r="AP2074" s="43"/>
      <c r="AQ2074" s="43"/>
      <c r="AR2074" s="43"/>
      <c r="AS2074" s="43"/>
      <c r="AT2074" s="43"/>
      <c r="AU2074" s="43"/>
      <c r="AV2074" s="43"/>
    </row>
    <row r="2075" ht="15.75" spans="1:48">
      <c r="A2075" s="12">
        <v>2071</v>
      </c>
      <c r="B2075" s="44">
        <v>4335</v>
      </c>
      <c r="C2075" s="45" t="s">
        <v>154</v>
      </c>
      <c r="D2075" s="46"/>
      <c r="E2075" s="47" t="s">
        <v>50</v>
      </c>
      <c r="F2075" s="48">
        <v>10.83</v>
      </c>
      <c r="G2075" s="38">
        <v>1.17</v>
      </c>
      <c r="H2075" s="39"/>
      <c r="I2075" s="39"/>
      <c r="J2075" s="39"/>
      <c r="K2075" s="39"/>
      <c r="L2075" s="39"/>
      <c r="M2075" s="39"/>
      <c r="N2075" s="39"/>
      <c r="O2075" s="39"/>
      <c r="P2075" s="39"/>
      <c r="Q2075" s="39">
        <v>1.17</v>
      </c>
      <c r="R2075" s="39"/>
      <c r="S2075" s="39"/>
      <c r="T2075" s="39"/>
      <c r="U2075" s="39"/>
      <c r="V2075" s="39"/>
      <c r="W2075" s="39"/>
      <c r="X2075" s="49" t="s">
        <v>155</v>
      </c>
      <c r="Y2075" s="50">
        <v>0</v>
      </c>
      <c r="Z2075" s="51"/>
      <c r="AA2075" s="52">
        <f>IFERROR(Z2075/Y2075,0)</f>
        <v>0</v>
      </c>
      <c r="AB2075" s="12">
        <v>0</v>
      </c>
      <c r="AC2075" s="12">
        <v>0</v>
      </c>
      <c r="AD2075" s="43"/>
      <c r="AE2075" s="43"/>
      <c r="AF2075" s="43"/>
      <c r="AG2075" s="43"/>
      <c r="AH2075" s="43"/>
      <c r="AI2075" s="43"/>
      <c r="AJ2075" s="43"/>
      <c r="AK2075" s="43"/>
      <c r="AL2075" s="43"/>
      <c r="AM2075" s="43"/>
      <c r="AN2075" s="43"/>
      <c r="AO2075" s="43"/>
      <c r="AP2075" s="43"/>
      <c r="AQ2075" s="43"/>
      <c r="AR2075" s="43"/>
      <c r="AS2075" s="43"/>
      <c r="AT2075" s="43"/>
      <c r="AU2075" s="43"/>
      <c r="AV2075" s="43"/>
    </row>
    <row r="2076" ht="15.75" spans="1:48">
      <c r="A2076" s="12">
        <v>2072</v>
      </c>
      <c r="B2076" s="73" t="s">
        <v>365</v>
      </c>
      <c r="C2076" s="45" t="s">
        <v>366</v>
      </c>
      <c r="D2076" s="46">
        <v>5</v>
      </c>
      <c r="E2076" s="47" t="s">
        <v>50</v>
      </c>
      <c r="F2076" s="48">
        <v>7.17</v>
      </c>
      <c r="G2076" s="38">
        <v>0.83</v>
      </c>
      <c r="H2076" s="39"/>
      <c r="I2076" s="39"/>
      <c r="J2076" s="39"/>
      <c r="K2076" s="39"/>
      <c r="L2076" s="39"/>
      <c r="M2076" s="39"/>
      <c r="N2076" s="39"/>
      <c r="O2076" s="39"/>
      <c r="P2076" s="39"/>
      <c r="Q2076" s="39">
        <v>0.83</v>
      </c>
      <c r="R2076" s="39"/>
      <c r="S2076" s="39"/>
      <c r="T2076" s="39"/>
      <c r="U2076" s="39"/>
      <c r="V2076" s="39"/>
      <c r="W2076" s="39"/>
      <c r="X2076" s="49">
        <v>5770</v>
      </c>
      <c r="Y2076" s="50">
        <v>4337.85</v>
      </c>
      <c r="Z2076" s="51">
        <v>2400</v>
      </c>
      <c r="AA2076" s="52">
        <f t="shared" ref="AA2076:AA2111" si="55">IFERROR(Z2076/Y2076,0)</f>
        <v>0.553269476814551</v>
      </c>
      <c r="AB2076" s="12">
        <v>2400</v>
      </c>
      <c r="AC2076" s="12">
        <v>0</v>
      </c>
      <c r="AD2076" s="43"/>
      <c r="AE2076" s="43"/>
      <c r="AF2076" s="43"/>
      <c r="AG2076" s="43"/>
      <c r="AH2076" s="43"/>
      <c r="AI2076" s="43"/>
      <c r="AJ2076" s="43"/>
      <c r="AK2076" s="43"/>
      <c r="AL2076" s="43"/>
      <c r="AM2076" s="43"/>
      <c r="AN2076" s="43"/>
      <c r="AO2076" s="43"/>
      <c r="AP2076" s="43"/>
      <c r="AQ2076" s="43"/>
      <c r="AR2076" s="43"/>
      <c r="AS2076" s="43"/>
      <c r="AT2076" s="43"/>
      <c r="AU2076" s="43"/>
      <c r="AV2076" s="43"/>
    </row>
    <row r="2077" ht="15.75" spans="1:48">
      <c r="A2077" s="12">
        <v>2073</v>
      </c>
      <c r="B2077" s="73" t="s">
        <v>357</v>
      </c>
      <c r="C2077" s="45" t="s">
        <v>358</v>
      </c>
      <c r="D2077" s="46">
        <v>6</v>
      </c>
      <c r="E2077" s="47" t="s">
        <v>50</v>
      </c>
      <c r="F2077" s="48">
        <v>7.17</v>
      </c>
      <c r="G2077" s="38">
        <v>0.83</v>
      </c>
      <c r="H2077" s="39"/>
      <c r="I2077" s="39"/>
      <c r="J2077" s="39"/>
      <c r="K2077" s="39"/>
      <c r="L2077" s="39"/>
      <c r="M2077" s="39"/>
      <c r="N2077" s="39"/>
      <c r="O2077" s="39"/>
      <c r="P2077" s="39"/>
      <c r="Q2077" s="39">
        <v>0.83</v>
      </c>
      <c r="R2077" s="39"/>
      <c r="S2077" s="39"/>
      <c r="T2077" s="39"/>
      <c r="U2077" s="39"/>
      <c r="V2077" s="39"/>
      <c r="W2077" s="39"/>
      <c r="X2077" s="49">
        <v>5770</v>
      </c>
      <c r="Y2077" s="50">
        <v>4337.85</v>
      </c>
      <c r="Z2077" s="51">
        <v>2160</v>
      </c>
      <c r="AA2077" s="52">
        <f t="shared" si="55"/>
        <v>0.497942529133096</v>
      </c>
      <c r="AB2077" s="12">
        <v>2160</v>
      </c>
      <c r="AC2077" s="12">
        <v>0</v>
      </c>
      <c r="AD2077" s="43"/>
      <c r="AE2077" s="43"/>
      <c r="AF2077" s="43"/>
      <c r="AG2077" s="43"/>
      <c r="AH2077" s="43"/>
      <c r="AI2077" s="43"/>
      <c r="AJ2077" s="43"/>
      <c r="AK2077" s="43"/>
      <c r="AL2077" s="43"/>
      <c r="AM2077" s="43"/>
      <c r="AN2077" s="43"/>
      <c r="AO2077" s="43"/>
      <c r="AP2077" s="43"/>
      <c r="AQ2077" s="43"/>
      <c r="AR2077" s="43"/>
      <c r="AS2077" s="43"/>
      <c r="AT2077" s="43"/>
      <c r="AU2077" s="43"/>
      <c r="AV2077" s="43"/>
    </row>
    <row r="2078" ht="15.75" spans="1:48">
      <c r="A2078" s="12">
        <v>2074</v>
      </c>
      <c r="B2078" s="73" t="s">
        <v>361</v>
      </c>
      <c r="C2078" s="45" t="s">
        <v>362</v>
      </c>
      <c r="D2078" s="46">
        <v>7</v>
      </c>
      <c r="E2078" s="47" t="s">
        <v>50</v>
      </c>
      <c r="F2078" s="48">
        <v>7.17</v>
      </c>
      <c r="G2078" s="38">
        <v>0.83</v>
      </c>
      <c r="H2078" s="39"/>
      <c r="I2078" s="39"/>
      <c r="J2078" s="39"/>
      <c r="K2078" s="39"/>
      <c r="L2078" s="39"/>
      <c r="M2078" s="39"/>
      <c r="N2078" s="39"/>
      <c r="O2078" s="39"/>
      <c r="P2078" s="39"/>
      <c r="Q2078" s="39">
        <v>0.83</v>
      </c>
      <c r="R2078" s="39"/>
      <c r="S2078" s="39"/>
      <c r="T2078" s="39"/>
      <c r="U2078" s="39"/>
      <c r="V2078" s="39"/>
      <c r="W2078" s="39"/>
      <c r="X2078" s="49" t="s">
        <v>95</v>
      </c>
      <c r="Y2078" s="50">
        <v>10038</v>
      </c>
      <c r="Z2078" s="51">
        <v>2800</v>
      </c>
      <c r="AA2078" s="52">
        <f t="shared" si="55"/>
        <v>0.278940027894003</v>
      </c>
      <c r="AB2078" s="12">
        <v>2800</v>
      </c>
      <c r="AC2078" s="12">
        <v>0</v>
      </c>
      <c r="AD2078" s="43"/>
      <c r="AE2078" s="43"/>
      <c r="AF2078" s="43"/>
      <c r="AG2078" s="43"/>
      <c r="AH2078" s="43"/>
      <c r="AI2078" s="43"/>
      <c r="AJ2078" s="43"/>
      <c r="AK2078" s="43"/>
      <c r="AL2078" s="43"/>
      <c r="AM2078" s="43"/>
      <c r="AN2078" s="43"/>
      <c r="AO2078" s="43"/>
      <c r="AP2078" s="43"/>
      <c r="AQ2078" s="43"/>
      <c r="AR2078" s="43"/>
      <c r="AS2078" s="43"/>
      <c r="AT2078" s="43"/>
      <c r="AU2078" s="43"/>
      <c r="AV2078" s="43"/>
    </row>
    <row r="2079" ht="15.75" spans="1:48">
      <c r="A2079" s="12">
        <v>2075</v>
      </c>
      <c r="B2079" s="44">
        <v>4412</v>
      </c>
      <c r="C2079" s="45" t="s">
        <v>177</v>
      </c>
      <c r="D2079" s="46">
        <v>18</v>
      </c>
      <c r="E2079" s="47" t="s">
        <v>50</v>
      </c>
      <c r="F2079" s="48">
        <v>9</v>
      </c>
      <c r="G2079" s="38">
        <v>2.51</v>
      </c>
      <c r="H2079" s="39"/>
      <c r="I2079" s="39"/>
      <c r="J2079" s="39"/>
      <c r="K2079" s="39">
        <v>0.17</v>
      </c>
      <c r="L2079" s="39"/>
      <c r="M2079" s="39"/>
      <c r="N2079" s="39"/>
      <c r="O2079" s="39"/>
      <c r="P2079" s="39"/>
      <c r="Q2079" s="39">
        <v>1.17</v>
      </c>
      <c r="R2079" s="39"/>
      <c r="S2079" s="39">
        <v>0.17</v>
      </c>
      <c r="T2079" s="39">
        <v>0.83</v>
      </c>
      <c r="U2079" s="39">
        <v>0.17</v>
      </c>
      <c r="V2079" s="39"/>
      <c r="W2079" s="39"/>
      <c r="X2079" s="49">
        <v>2801</v>
      </c>
      <c r="Y2079" s="50">
        <v>5445</v>
      </c>
      <c r="Z2079" s="51">
        <v>5303</v>
      </c>
      <c r="AA2079" s="52">
        <f t="shared" si="55"/>
        <v>0.973921028466483</v>
      </c>
      <c r="AB2079" s="12">
        <v>4920</v>
      </c>
      <c r="AC2079" s="12">
        <v>383</v>
      </c>
      <c r="AD2079" s="19">
        <v>383</v>
      </c>
      <c r="AE2079" s="43"/>
      <c r="AF2079" s="43"/>
      <c r="AG2079" s="43"/>
      <c r="AH2079" s="43"/>
      <c r="AI2079" s="43"/>
      <c r="AJ2079" s="43"/>
      <c r="AK2079" s="43"/>
      <c r="AL2079" s="43"/>
      <c r="AM2079" s="43"/>
      <c r="AN2079" s="43"/>
      <c r="AO2079" s="43"/>
      <c r="AP2079" s="43"/>
      <c r="AQ2079" s="43"/>
      <c r="AR2079" s="43"/>
      <c r="AS2079" s="43"/>
      <c r="AT2079" s="43"/>
      <c r="AU2079" s="43"/>
      <c r="AV2079" s="43"/>
    </row>
    <row r="2080" ht="15.75" spans="1:48">
      <c r="A2080" s="12">
        <v>2076</v>
      </c>
      <c r="B2080" s="44">
        <v>4384</v>
      </c>
      <c r="C2080" s="45" t="s">
        <v>145</v>
      </c>
      <c r="D2080" s="46">
        <v>5</v>
      </c>
      <c r="E2080" s="47" t="s">
        <v>50</v>
      </c>
      <c r="F2080" s="48">
        <v>0.33</v>
      </c>
      <c r="G2080" s="38">
        <v>1</v>
      </c>
      <c r="H2080" s="39"/>
      <c r="I2080" s="39"/>
      <c r="J2080" s="39"/>
      <c r="K2080" s="39"/>
      <c r="L2080" s="39"/>
      <c r="M2080" s="39"/>
      <c r="N2080" s="39"/>
      <c r="O2080" s="39"/>
      <c r="P2080" s="39"/>
      <c r="Q2080" s="39"/>
      <c r="R2080" s="39"/>
      <c r="S2080" s="39">
        <v>1</v>
      </c>
      <c r="T2080" s="39"/>
      <c r="U2080" s="39"/>
      <c r="V2080" s="39"/>
      <c r="W2080" s="39"/>
      <c r="X2080" s="49">
        <v>5770</v>
      </c>
      <c r="Y2080" s="50">
        <v>199.65</v>
      </c>
      <c r="Z2080" s="51">
        <v>269</v>
      </c>
      <c r="AA2080" s="52">
        <f t="shared" si="55"/>
        <v>1.3473578762835</v>
      </c>
      <c r="AB2080" s="12">
        <v>269</v>
      </c>
      <c r="AC2080" s="12">
        <v>0</v>
      </c>
      <c r="AD2080" s="43"/>
      <c r="AE2080" s="43"/>
      <c r="AF2080" s="43"/>
      <c r="AG2080" s="43"/>
      <c r="AH2080" s="43"/>
      <c r="AI2080" s="43"/>
      <c r="AJ2080" s="43"/>
      <c r="AK2080" s="43"/>
      <c r="AL2080" s="43"/>
      <c r="AM2080" s="43"/>
      <c r="AN2080" s="43"/>
      <c r="AO2080" s="43"/>
      <c r="AP2080" s="43"/>
      <c r="AQ2080" s="43"/>
      <c r="AR2080" s="43"/>
      <c r="AS2080" s="43"/>
      <c r="AT2080" s="43"/>
      <c r="AU2080" s="43"/>
      <c r="AV2080" s="43"/>
    </row>
    <row r="2081" ht="15.75" spans="1:48">
      <c r="A2081" s="12">
        <v>2077</v>
      </c>
      <c r="B2081" s="44">
        <v>4384</v>
      </c>
      <c r="C2081" s="45" t="s">
        <v>145</v>
      </c>
      <c r="D2081" s="46"/>
      <c r="E2081" s="47" t="s">
        <v>50</v>
      </c>
      <c r="F2081" s="48">
        <v>8.83</v>
      </c>
      <c r="G2081" s="38">
        <v>1.17</v>
      </c>
      <c r="H2081" s="39"/>
      <c r="I2081" s="39"/>
      <c r="J2081" s="39"/>
      <c r="K2081" s="39"/>
      <c r="L2081" s="39"/>
      <c r="M2081" s="39"/>
      <c r="N2081" s="39"/>
      <c r="O2081" s="39"/>
      <c r="P2081" s="39"/>
      <c r="Q2081" s="39">
        <v>1.17</v>
      </c>
      <c r="R2081" s="39"/>
      <c r="S2081" s="39"/>
      <c r="T2081" s="39"/>
      <c r="U2081" s="39"/>
      <c r="V2081" s="39"/>
      <c r="W2081" s="39"/>
      <c r="X2081" s="49" t="s">
        <v>90</v>
      </c>
      <c r="Y2081" s="50">
        <v>4150.1</v>
      </c>
      <c r="Z2081" s="51">
        <v>3960</v>
      </c>
      <c r="AA2081" s="52">
        <f t="shared" si="55"/>
        <v>0.954193874846389</v>
      </c>
      <c r="AB2081" s="12">
        <v>3960</v>
      </c>
      <c r="AC2081" s="12">
        <v>0</v>
      </c>
      <c r="AD2081" s="43"/>
      <c r="AE2081" s="43"/>
      <c r="AF2081" s="43"/>
      <c r="AG2081" s="43"/>
      <c r="AH2081" s="43"/>
      <c r="AI2081" s="43"/>
      <c r="AJ2081" s="43"/>
      <c r="AK2081" s="43"/>
      <c r="AL2081" s="43"/>
      <c r="AM2081" s="43"/>
      <c r="AN2081" s="43"/>
      <c r="AO2081" s="43"/>
      <c r="AP2081" s="43"/>
      <c r="AQ2081" s="43"/>
      <c r="AR2081" s="43"/>
      <c r="AS2081" s="43"/>
      <c r="AT2081" s="43"/>
      <c r="AU2081" s="43"/>
      <c r="AV2081" s="43"/>
    </row>
    <row r="2082" ht="15.75" spans="1:48">
      <c r="A2082" s="12">
        <v>2078</v>
      </c>
      <c r="B2082" s="44">
        <v>947</v>
      </c>
      <c r="C2082" s="45" t="s">
        <v>143</v>
      </c>
      <c r="D2082" s="46">
        <v>8</v>
      </c>
      <c r="E2082" s="47" t="s">
        <v>50</v>
      </c>
      <c r="F2082" s="48">
        <v>2.5</v>
      </c>
      <c r="G2082" s="38">
        <v>2.67</v>
      </c>
      <c r="H2082" s="39"/>
      <c r="I2082" s="39"/>
      <c r="J2082" s="39"/>
      <c r="K2082" s="39"/>
      <c r="L2082" s="39"/>
      <c r="M2082" s="39"/>
      <c r="N2082" s="39"/>
      <c r="O2082" s="39"/>
      <c r="P2082" s="39"/>
      <c r="Q2082" s="39">
        <v>1.17</v>
      </c>
      <c r="R2082" s="39"/>
      <c r="S2082" s="39"/>
      <c r="T2082" s="39">
        <v>1.33</v>
      </c>
      <c r="U2082" s="39">
        <v>0.17</v>
      </c>
      <c r="V2082" s="39"/>
      <c r="W2082" s="39"/>
      <c r="X2082" s="49">
        <v>2801</v>
      </c>
      <c r="Y2082" s="50">
        <v>1512.5</v>
      </c>
      <c r="Z2082" s="51">
        <v>1560</v>
      </c>
      <c r="AA2082" s="52">
        <f t="shared" si="55"/>
        <v>1.03140495867769</v>
      </c>
      <c r="AB2082" s="12">
        <v>1560</v>
      </c>
      <c r="AC2082" s="12">
        <v>0</v>
      </c>
      <c r="AD2082" s="43"/>
      <c r="AE2082" s="43"/>
      <c r="AF2082" s="43"/>
      <c r="AG2082" s="43"/>
      <c r="AH2082" s="43"/>
      <c r="AI2082" s="43"/>
      <c r="AJ2082" s="43"/>
      <c r="AK2082" s="43"/>
      <c r="AL2082" s="43"/>
      <c r="AM2082" s="43"/>
      <c r="AN2082" s="43"/>
      <c r="AO2082" s="43"/>
      <c r="AP2082" s="43"/>
      <c r="AQ2082" s="43"/>
      <c r="AR2082" s="43"/>
      <c r="AS2082" s="43"/>
      <c r="AT2082" s="43"/>
      <c r="AU2082" s="43"/>
      <c r="AV2082" s="43"/>
    </row>
    <row r="2083" ht="15.75" spans="1:48">
      <c r="A2083" s="12">
        <v>2079</v>
      </c>
      <c r="B2083" s="44">
        <v>947</v>
      </c>
      <c r="C2083" s="45" t="s">
        <v>143</v>
      </c>
      <c r="D2083" s="46">
        <v>8</v>
      </c>
      <c r="E2083" s="47" t="s">
        <v>50</v>
      </c>
      <c r="F2083" s="48">
        <v>5.33</v>
      </c>
      <c r="G2083" s="38">
        <v>0.17</v>
      </c>
      <c r="H2083" s="39"/>
      <c r="I2083" s="39"/>
      <c r="J2083" s="39"/>
      <c r="K2083" s="39"/>
      <c r="L2083" s="39"/>
      <c r="M2083" s="39"/>
      <c r="N2083" s="39"/>
      <c r="O2083" s="39"/>
      <c r="P2083" s="39"/>
      <c r="Q2083" s="39"/>
      <c r="R2083" s="39"/>
      <c r="S2083" s="39"/>
      <c r="T2083" s="39"/>
      <c r="U2083" s="39">
        <v>0.17</v>
      </c>
      <c r="V2083" s="39"/>
      <c r="W2083" s="39"/>
      <c r="X2083" s="49">
        <v>9477</v>
      </c>
      <c r="Y2083" s="50">
        <v>3224.65</v>
      </c>
      <c r="Z2083" s="51">
        <v>3345</v>
      </c>
      <c r="AA2083" s="52">
        <f t="shared" si="55"/>
        <v>1.03732187989394</v>
      </c>
      <c r="AB2083" s="12">
        <v>3239</v>
      </c>
      <c r="AC2083" s="12">
        <v>106</v>
      </c>
      <c r="AD2083" s="19">
        <v>106</v>
      </c>
      <c r="AE2083" s="43"/>
      <c r="AF2083" s="43"/>
      <c r="AG2083" s="43"/>
      <c r="AH2083" s="43"/>
      <c r="AI2083" s="43"/>
      <c r="AJ2083" s="43"/>
      <c r="AK2083" s="43"/>
      <c r="AL2083" s="43"/>
      <c r="AM2083" s="43"/>
      <c r="AN2083" s="43"/>
      <c r="AO2083" s="43"/>
      <c r="AP2083" s="43"/>
      <c r="AQ2083" s="43"/>
      <c r="AR2083" s="43"/>
      <c r="AS2083" s="43"/>
      <c r="AT2083" s="43"/>
      <c r="AU2083" s="43"/>
      <c r="AV2083" s="43"/>
    </row>
    <row r="2084" ht="15.75" spans="1:48">
      <c r="A2084" s="12">
        <v>2080</v>
      </c>
      <c r="B2084" s="44">
        <v>666</v>
      </c>
      <c r="C2084" s="45" t="s">
        <v>151</v>
      </c>
      <c r="D2084" s="46"/>
      <c r="E2084" s="47" t="s">
        <v>50</v>
      </c>
      <c r="F2084" s="48">
        <v>6.33</v>
      </c>
      <c r="G2084" s="38">
        <v>2.84</v>
      </c>
      <c r="H2084" s="39"/>
      <c r="I2084" s="39"/>
      <c r="J2084" s="39"/>
      <c r="K2084" s="39"/>
      <c r="L2084" s="39"/>
      <c r="M2084" s="39"/>
      <c r="N2084" s="39"/>
      <c r="O2084" s="39"/>
      <c r="P2084" s="39"/>
      <c r="Q2084" s="39">
        <v>1.17</v>
      </c>
      <c r="R2084" s="39"/>
      <c r="S2084" s="39">
        <v>1.67</v>
      </c>
      <c r="T2084" s="39"/>
      <c r="U2084" s="39"/>
      <c r="V2084" s="39"/>
      <c r="W2084" s="39"/>
      <c r="X2084" s="49" t="s">
        <v>98</v>
      </c>
      <c r="Y2084" s="50">
        <v>2975.1</v>
      </c>
      <c r="Z2084" s="51">
        <v>2700</v>
      </c>
      <c r="AA2084" s="52">
        <f t="shared" si="55"/>
        <v>0.907532519915297</v>
      </c>
      <c r="AB2084" s="12">
        <v>2700</v>
      </c>
      <c r="AC2084" s="12">
        <v>0</v>
      </c>
      <c r="AD2084" s="43"/>
      <c r="AE2084" s="43"/>
      <c r="AF2084" s="43"/>
      <c r="AG2084" s="43"/>
      <c r="AH2084" s="43"/>
      <c r="AI2084" s="43"/>
      <c r="AJ2084" s="43"/>
      <c r="AK2084" s="43"/>
      <c r="AL2084" s="43"/>
      <c r="AM2084" s="43"/>
      <c r="AN2084" s="43"/>
      <c r="AO2084" s="43"/>
      <c r="AP2084" s="43"/>
      <c r="AQ2084" s="43"/>
      <c r="AR2084" s="43"/>
      <c r="AS2084" s="43"/>
      <c r="AT2084" s="43"/>
      <c r="AU2084" s="43"/>
      <c r="AV2084" s="43"/>
    </row>
    <row r="2085" ht="15.75" spans="1:48">
      <c r="A2085" s="12">
        <v>2081</v>
      </c>
      <c r="B2085" s="44">
        <v>666</v>
      </c>
      <c r="C2085" s="45" t="s">
        <v>151</v>
      </c>
      <c r="D2085" s="46"/>
      <c r="E2085" s="47" t="s">
        <v>50</v>
      </c>
      <c r="F2085" s="48">
        <v>1.67</v>
      </c>
      <c r="G2085" s="38">
        <v>0</v>
      </c>
      <c r="H2085" s="39"/>
      <c r="I2085" s="39"/>
      <c r="J2085" s="39"/>
      <c r="K2085" s="39"/>
      <c r="L2085" s="39"/>
      <c r="M2085" s="39"/>
      <c r="N2085" s="39"/>
      <c r="O2085" s="39"/>
      <c r="P2085" s="39"/>
      <c r="Q2085" s="39"/>
      <c r="R2085" s="39"/>
      <c r="S2085" s="39"/>
      <c r="T2085" s="39"/>
      <c r="U2085" s="39"/>
      <c r="V2085" s="39"/>
      <c r="W2085" s="39"/>
      <c r="X2085" s="49" t="s">
        <v>90</v>
      </c>
      <c r="Y2085" s="50">
        <v>784.9</v>
      </c>
      <c r="Z2085" s="51">
        <v>720</v>
      </c>
      <c r="AA2085" s="52">
        <f t="shared" si="55"/>
        <v>0.917314307555103</v>
      </c>
      <c r="AB2085" s="12">
        <v>720</v>
      </c>
      <c r="AC2085" s="12">
        <v>0</v>
      </c>
      <c r="AD2085" s="43"/>
      <c r="AE2085" s="43"/>
      <c r="AF2085" s="43"/>
      <c r="AG2085" s="43"/>
      <c r="AH2085" s="43"/>
      <c r="AI2085" s="43"/>
      <c r="AJ2085" s="43"/>
      <c r="AK2085" s="43"/>
      <c r="AL2085" s="43"/>
      <c r="AM2085" s="43"/>
      <c r="AN2085" s="43"/>
      <c r="AO2085" s="43"/>
      <c r="AP2085" s="43"/>
      <c r="AQ2085" s="43"/>
      <c r="AR2085" s="43"/>
      <c r="AS2085" s="43"/>
      <c r="AT2085" s="43"/>
      <c r="AU2085" s="43"/>
      <c r="AV2085" s="43"/>
    </row>
    <row r="2086" ht="15.75" spans="1:48">
      <c r="A2086" s="12">
        <v>2082</v>
      </c>
      <c r="B2086" s="44">
        <v>551</v>
      </c>
      <c r="C2086" s="45" t="s">
        <v>146</v>
      </c>
      <c r="D2086" s="46">
        <v>14</v>
      </c>
      <c r="E2086" s="47" t="s">
        <v>50</v>
      </c>
      <c r="F2086" s="48">
        <v>1.67</v>
      </c>
      <c r="G2086" s="38">
        <v>0.33</v>
      </c>
      <c r="H2086" s="39"/>
      <c r="I2086" s="39"/>
      <c r="J2086" s="39"/>
      <c r="K2086" s="39"/>
      <c r="L2086" s="39"/>
      <c r="M2086" s="39"/>
      <c r="N2086" s="39"/>
      <c r="O2086" s="39"/>
      <c r="P2086" s="39"/>
      <c r="Q2086" s="39"/>
      <c r="R2086" s="39"/>
      <c r="S2086" s="39"/>
      <c r="T2086" s="39">
        <v>0.33</v>
      </c>
      <c r="U2086" s="39"/>
      <c r="V2086" s="39"/>
      <c r="W2086" s="39"/>
      <c r="X2086" s="49">
        <v>8485</v>
      </c>
      <c r="Y2086" s="50">
        <v>951.9</v>
      </c>
      <c r="Z2086" s="51">
        <v>880</v>
      </c>
      <c r="AA2086" s="52">
        <f t="shared" si="55"/>
        <v>0.92446685576216</v>
      </c>
      <c r="AB2086" s="12">
        <v>880</v>
      </c>
      <c r="AC2086" s="12">
        <v>0</v>
      </c>
      <c r="AD2086" s="43"/>
      <c r="AE2086" s="43"/>
      <c r="AF2086" s="43"/>
      <c r="AG2086" s="43"/>
      <c r="AH2086" s="43"/>
      <c r="AI2086" s="43"/>
      <c r="AJ2086" s="43"/>
      <c r="AK2086" s="43"/>
      <c r="AL2086" s="43"/>
      <c r="AM2086" s="43"/>
      <c r="AN2086" s="43"/>
      <c r="AO2086" s="43"/>
      <c r="AP2086" s="43"/>
      <c r="AQ2086" s="43"/>
      <c r="AR2086" s="43"/>
      <c r="AS2086" s="43"/>
      <c r="AT2086" s="43"/>
      <c r="AU2086" s="43"/>
      <c r="AV2086" s="43"/>
    </row>
    <row r="2087" ht="15.75" spans="1:48">
      <c r="A2087" s="12">
        <v>2083</v>
      </c>
      <c r="B2087" s="44">
        <v>551</v>
      </c>
      <c r="C2087" s="45" t="s">
        <v>146</v>
      </c>
      <c r="D2087" s="46">
        <v>14</v>
      </c>
      <c r="E2087" s="47" t="s">
        <v>50</v>
      </c>
      <c r="F2087" s="48">
        <v>0.83</v>
      </c>
      <c r="G2087" s="38">
        <v>1.51</v>
      </c>
      <c r="H2087" s="39"/>
      <c r="I2087" s="39"/>
      <c r="J2087" s="39"/>
      <c r="K2087" s="39"/>
      <c r="L2087" s="39"/>
      <c r="M2087" s="39"/>
      <c r="N2087" s="39"/>
      <c r="O2087" s="39"/>
      <c r="P2087" s="39"/>
      <c r="Q2087" s="39">
        <v>1.17</v>
      </c>
      <c r="R2087" s="39"/>
      <c r="S2087" s="39"/>
      <c r="T2087" s="39">
        <v>0.17</v>
      </c>
      <c r="U2087" s="39">
        <v>0.17</v>
      </c>
      <c r="V2087" s="39"/>
      <c r="W2087" s="39"/>
      <c r="X2087" s="49">
        <v>8484</v>
      </c>
      <c r="Y2087" s="50">
        <v>448.2</v>
      </c>
      <c r="Z2087" s="51">
        <v>460</v>
      </c>
      <c r="AA2087" s="52">
        <f t="shared" si="55"/>
        <v>1.02632753235163</v>
      </c>
      <c r="AB2087" s="12">
        <v>460</v>
      </c>
      <c r="AC2087" s="12">
        <v>0</v>
      </c>
      <c r="AD2087" s="43"/>
      <c r="AE2087" s="43"/>
      <c r="AF2087" s="43"/>
      <c r="AG2087" s="43"/>
      <c r="AH2087" s="43"/>
      <c r="AI2087" s="43"/>
      <c r="AJ2087" s="43"/>
      <c r="AK2087" s="43"/>
      <c r="AL2087" s="43"/>
      <c r="AM2087" s="43"/>
      <c r="AN2087" s="43"/>
      <c r="AO2087" s="43"/>
      <c r="AP2087" s="43"/>
      <c r="AQ2087" s="43"/>
      <c r="AR2087" s="43"/>
      <c r="AS2087" s="43"/>
      <c r="AT2087" s="43"/>
      <c r="AU2087" s="43"/>
      <c r="AV2087" s="43"/>
    </row>
    <row r="2088" ht="15.75" spans="1:48">
      <c r="A2088" s="12">
        <v>2084</v>
      </c>
      <c r="B2088" s="44">
        <v>551</v>
      </c>
      <c r="C2088" s="45" t="s">
        <v>146</v>
      </c>
      <c r="D2088" s="46">
        <v>17</v>
      </c>
      <c r="E2088" s="47" t="s">
        <v>50</v>
      </c>
      <c r="F2088" s="48">
        <v>5</v>
      </c>
      <c r="G2088" s="38">
        <v>0.17</v>
      </c>
      <c r="H2088" s="39"/>
      <c r="I2088" s="39"/>
      <c r="J2088" s="39"/>
      <c r="K2088" s="39"/>
      <c r="L2088" s="39"/>
      <c r="M2088" s="39"/>
      <c r="N2088" s="39"/>
      <c r="O2088" s="39"/>
      <c r="P2088" s="39"/>
      <c r="Q2088" s="39"/>
      <c r="R2088" s="39"/>
      <c r="S2088" s="39"/>
      <c r="T2088" s="39"/>
      <c r="U2088" s="39">
        <v>0.17</v>
      </c>
      <c r="V2088" s="39"/>
      <c r="W2088" s="39"/>
      <c r="X2088" s="49" t="s">
        <v>222</v>
      </c>
      <c r="Y2088" s="50">
        <v>7250</v>
      </c>
      <c r="Z2088" s="51">
        <v>7200</v>
      </c>
      <c r="AA2088" s="52">
        <f t="shared" si="55"/>
        <v>0.993103448275862</v>
      </c>
      <c r="AB2088" s="12">
        <v>7200</v>
      </c>
      <c r="AC2088" s="12">
        <v>0</v>
      </c>
      <c r="AD2088" s="43"/>
      <c r="AE2088" s="43"/>
      <c r="AF2088" s="43"/>
      <c r="AG2088" s="43"/>
      <c r="AH2088" s="43"/>
      <c r="AI2088" s="43"/>
      <c r="AJ2088" s="43"/>
      <c r="AK2088" s="43"/>
      <c r="AL2088" s="43"/>
      <c r="AM2088" s="43"/>
      <c r="AN2088" s="43"/>
      <c r="AO2088" s="43"/>
      <c r="AP2088" s="43"/>
      <c r="AQ2088" s="43"/>
      <c r="AR2088" s="43"/>
      <c r="AS2088" s="43"/>
      <c r="AT2088" s="43"/>
      <c r="AU2088" s="43"/>
      <c r="AV2088" s="43"/>
    </row>
    <row r="2089" ht="15.75" spans="1:48">
      <c r="A2089" s="12">
        <v>2085</v>
      </c>
      <c r="B2089" s="44">
        <v>551</v>
      </c>
      <c r="C2089" s="45" t="s">
        <v>146</v>
      </c>
      <c r="D2089" s="46"/>
      <c r="E2089" s="47" t="s">
        <v>50</v>
      </c>
      <c r="F2089" s="48">
        <v>1.17</v>
      </c>
      <c r="G2089" s="38">
        <v>0</v>
      </c>
      <c r="H2089" s="39"/>
      <c r="I2089" s="39"/>
      <c r="J2089" s="39"/>
      <c r="K2089" s="39"/>
      <c r="L2089" s="39"/>
      <c r="M2089" s="39"/>
      <c r="N2089" s="39"/>
      <c r="O2089" s="39"/>
      <c r="P2089" s="39"/>
      <c r="Q2089" s="39"/>
      <c r="R2089" s="39"/>
      <c r="S2089" s="39"/>
      <c r="T2089" s="39"/>
      <c r="U2089" s="39"/>
      <c r="V2089" s="39"/>
      <c r="W2089" s="39"/>
      <c r="X2089" s="49" t="s">
        <v>105</v>
      </c>
      <c r="Y2089" s="50">
        <v>772.2</v>
      </c>
      <c r="Z2089" s="51">
        <v>980</v>
      </c>
      <c r="AA2089" s="52">
        <f t="shared" si="55"/>
        <v>1.26910126910127</v>
      </c>
      <c r="AB2089" s="12">
        <v>980</v>
      </c>
      <c r="AC2089" s="12">
        <v>0</v>
      </c>
      <c r="AD2089" s="43"/>
      <c r="AE2089" s="43"/>
      <c r="AF2089" s="43"/>
      <c r="AG2089" s="43"/>
      <c r="AH2089" s="43"/>
      <c r="AI2089" s="43"/>
      <c r="AJ2089" s="43"/>
      <c r="AK2089" s="43"/>
      <c r="AL2089" s="43"/>
      <c r="AM2089" s="43"/>
      <c r="AN2089" s="43"/>
      <c r="AO2089" s="43"/>
      <c r="AP2089" s="43"/>
      <c r="AQ2089" s="43"/>
      <c r="AR2089" s="43"/>
      <c r="AS2089" s="43"/>
      <c r="AT2089" s="43"/>
      <c r="AU2089" s="43"/>
      <c r="AV2089" s="43"/>
    </row>
    <row r="2090" ht="15.75" spans="1:48">
      <c r="A2090" s="12">
        <v>2086</v>
      </c>
      <c r="B2090" s="44">
        <v>551</v>
      </c>
      <c r="C2090" s="45" t="s">
        <v>146</v>
      </c>
      <c r="D2090" s="46"/>
      <c r="E2090" s="47" t="s">
        <v>50</v>
      </c>
      <c r="F2090" s="48">
        <v>1.33</v>
      </c>
      <c r="G2090" s="38">
        <v>0</v>
      </c>
      <c r="H2090" s="39"/>
      <c r="I2090" s="39"/>
      <c r="J2090" s="39"/>
      <c r="K2090" s="39"/>
      <c r="L2090" s="39"/>
      <c r="M2090" s="39"/>
      <c r="N2090" s="39"/>
      <c r="O2090" s="39"/>
      <c r="P2090" s="39"/>
      <c r="Q2090" s="39"/>
      <c r="R2090" s="39"/>
      <c r="S2090" s="39"/>
      <c r="T2090" s="39"/>
      <c r="U2090" s="39"/>
      <c r="V2090" s="39"/>
      <c r="W2090" s="39"/>
      <c r="X2090" s="49" t="s">
        <v>104</v>
      </c>
      <c r="Y2090" s="50">
        <v>19950</v>
      </c>
      <c r="Z2090" s="51">
        <v>20000</v>
      </c>
      <c r="AA2090" s="52">
        <f t="shared" si="55"/>
        <v>1.00250626566416</v>
      </c>
      <c r="AB2090" s="12">
        <v>20000</v>
      </c>
      <c r="AC2090" s="12">
        <v>0</v>
      </c>
      <c r="AD2090" s="43"/>
      <c r="AE2090" s="43"/>
      <c r="AF2090" s="43"/>
      <c r="AG2090" s="43"/>
      <c r="AH2090" s="43"/>
      <c r="AI2090" s="43"/>
      <c r="AJ2090" s="43"/>
      <c r="AK2090" s="43"/>
      <c r="AL2090" s="43"/>
      <c r="AM2090" s="43"/>
      <c r="AN2090" s="43"/>
      <c r="AO2090" s="43"/>
      <c r="AP2090" s="43"/>
      <c r="AQ2090" s="43"/>
      <c r="AR2090" s="43"/>
      <c r="AS2090" s="43"/>
      <c r="AT2090" s="43"/>
      <c r="AU2090" s="43"/>
      <c r="AV2090" s="43"/>
    </row>
    <row r="2091" ht="15.75" spans="1:48">
      <c r="A2091" s="12">
        <v>2087</v>
      </c>
      <c r="B2091" s="73" t="s">
        <v>363</v>
      </c>
      <c r="C2091" s="45" t="s">
        <v>364</v>
      </c>
      <c r="D2091" s="46"/>
      <c r="E2091" s="47" t="s">
        <v>50</v>
      </c>
      <c r="F2091" s="48">
        <v>7.17</v>
      </c>
      <c r="G2091" s="38">
        <v>0.83</v>
      </c>
      <c r="H2091" s="39"/>
      <c r="I2091" s="39"/>
      <c r="J2091" s="39"/>
      <c r="K2091" s="39"/>
      <c r="L2091" s="39"/>
      <c r="M2091" s="39"/>
      <c r="N2091" s="39"/>
      <c r="O2091" s="39"/>
      <c r="P2091" s="39"/>
      <c r="Q2091" s="39">
        <v>0.83</v>
      </c>
      <c r="R2091" s="39"/>
      <c r="S2091" s="39"/>
      <c r="T2091" s="39"/>
      <c r="U2091" s="39"/>
      <c r="V2091" s="39"/>
      <c r="W2091" s="39"/>
      <c r="X2091" s="49" t="s">
        <v>103</v>
      </c>
      <c r="Y2091" s="50">
        <v>6022.8</v>
      </c>
      <c r="Z2091" s="51">
        <v>2460</v>
      </c>
      <c r="AA2091" s="52">
        <f t="shared" si="55"/>
        <v>0.408447897987647</v>
      </c>
      <c r="AB2091" s="12">
        <v>2460</v>
      </c>
      <c r="AC2091" s="12">
        <v>0</v>
      </c>
      <c r="AD2091" s="43"/>
      <c r="AE2091" s="43"/>
      <c r="AF2091" s="43"/>
      <c r="AG2091" s="43"/>
      <c r="AH2091" s="43"/>
      <c r="AI2091" s="43"/>
      <c r="AJ2091" s="43"/>
      <c r="AK2091" s="43"/>
      <c r="AL2091" s="43"/>
      <c r="AM2091" s="43"/>
      <c r="AN2091" s="43"/>
      <c r="AO2091" s="43"/>
      <c r="AP2091" s="43"/>
      <c r="AQ2091" s="43"/>
      <c r="AR2091" s="43"/>
      <c r="AS2091" s="43"/>
      <c r="AT2091" s="43"/>
      <c r="AU2091" s="43"/>
      <c r="AV2091" s="43"/>
    </row>
    <row r="2092" ht="15.75" spans="1:48">
      <c r="A2092" s="12">
        <v>2088</v>
      </c>
      <c r="B2092" s="73" t="s">
        <v>372</v>
      </c>
      <c r="C2092" s="45" t="s">
        <v>373</v>
      </c>
      <c r="D2092" s="46"/>
      <c r="E2092" s="47" t="s">
        <v>50</v>
      </c>
      <c r="F2092" s="48">
        <v>7.17</v>
      </c>
      <c r="G2092" s="38">
        <v>0.83</v>
      </c>
      <c r="H2092" s="39"/>
      <c r="I2092" s="39"/>
      <c r="J2092" s="39"/>
      <c r="K2092" s="39"/>
      <c r="L2092" s="39"/>
      <c r="M2092" s="39"/>
      <c r="N2092" s="39"/>
      <c r="O2092" s="39"/>
      <c r="P2092" s="39"/>
      <c r="Q2092" s="39">
        <v>0.83</v>
      </c>
      <c r="R2092" s="39"/>
      <c r="S2092" s="39"/>
      <c r="T2092" s="39"/>
      <c r="U2092" s="39"/>
      <c r="V2092" s="39"/>
      <c r="W2092" s="39"/>
      <c r="X2092" s="49" t="s">
        <v>103</v>
      </c>
      <c r="Y2092" s="50">
        <v>6022.8</v>
      </c>
      <c r="Z2092" s="51">
        <v>2400</v>
      </c>
      <c r="AA2092" s="52">
        <f t="shared" si="55"/>
        <v>0.39848575413429</v>
      </c>
      <c r="AB2092" s="12">
        <v>2400</v>
      </c>
      <c r="AC2092" s="12">
        <v>0</v>
      </c>
      <c r="AD2092" s="43"/>
      <c r="AE2092" s="43"/>
      <c r="AF2092" s="43"/>
      <c r="AG2092" s="43"/>
      <c r="AH2092" s="43"/>
      <c r="AI2092" s="43"/>
      <c r="AJ2092" s="43"/>
      <c r="AK2092" s="43"/>
      <c r="AL2092" s="43"/>
      <c r="AM2092" s="43"/>
      <c r="AN2092" s="43"/>
      <c r="AO2092" s="43"/>
      <c r="AP2092" s="43"/>
      <c r="AQ2092" s="43"/>
      <c r="AR2092" s="43"/>
      <c r="AS2092" s="43"/>
      <c r="AT2092" s="43"/>
      <c r="AU2092" s="43"/>
      <c r="AV2092" s="43"/>
    </row>
    <row r="2093" ht="15.75" spans="1:48">
      <c r="A2093" s="12">
        <v>2089</v>
      </c>
      <c r="B2093" s="73" t="s">
        <v>374</v>
      </c>
      <c r="C2093" s="45" t="s">
        <v>375</v>
      </c>
      <c r="D2093" s="46"/>
      <c r="E2093" s="47" t="s">
        <v>50</v>
      </c>
      <c r="F2093" s="48">
        <v>7.17</v>
      </c>
      <c r="G2093" s="38">
        <v>0.83</v>
      </c>
      <c r="H2093" s="39"/>
      <c r="I2093" s="39"/>
      <c r="J2093" s="39"/>
      <c r="K2093" s="39"/>
      <c r="L2093" s="39"/>
      <c r="M2093" s="39"/>
      <c r="N2093" s="39"/>
      <c r="O2093" s="39"/>
      <c r="P2093" s="39"/>
      <c r="Q2093" s="39">
        <v>0.83</v>
      </c>
      <c r="R2093" s="39"/>
      <c r="S2093" s="39"/>
      <c r="T2093" s="39"/>
      <c r="U2093" s="39"/>
      <c r="V2093" s="39"/>
      <c r="W2093" s="39"/>
      <c r="X2093" s="49" t="s">
        <v>426</v>
      </c>
      <c r="Y2093" s="50">
        <v>0</v>
      </c>
      <c r="Z2093" s="51">
        <v>10000</v>
      </c>
      <c r="AA2093" s="52">
        <f t="shared" si="55"/>
        <v>0</v>
      </c>
      <c r="AB2093" s="12">
        <v>10000</v>
      </c>
      <c r="AC2093" s="12">
        <v>0</v>
      </c>
      <c r="AD2093" s="43"/>
      <c r="AE2093" s="43"/>
      <c r="AF2093" s="43"/>
      <c r="AG2093" s="43"/>
      <c r="AH2093" s="43"/>
      <c r="AI2093" s="43"/>
      <c r="AJ2093" s="43"/>
      <c r="AK2093" s="43"/>
      <c r="AL2093" s="43"/>
      <c r="AM2093" s="43"/>
      <c r="AN2093" s="43"/>
      <c r="AO2093" s="43"/>
      <c r="AP2093" s="43"/>
      <c r="AQ2093" s="43"/>
      <c r="AR2093" s="43"/>
      <c r="AS2093" s="43"/>
      <c r="AT2093" s="43"/>
      <c r="AU2093" s="43"/>
      <c r="AV2093" s="43"/>
    </row>
    <row r="2094" ht="15.75" spans="1:48">
      <c r="A2094" s="12">
        <v>2090</v>
      </c>
      <c r="B2094" s="73" t="s">
        <v>376</v>
      </c>
      <c r="C2094" s="45" t="s">
        <v>377</v>
      </c>
      <c r="D2094" s="46"/>
      <c r="E2094" s="47" t="s">
        <v>50</v>
      </c>
      <c r="F2094" s="48">
        <v>7.17</v>
      </c>
      <c r="G2094" s="38">
        <v>0.83</v>
      </c>
      <c r="H2094" s="39"/>
      <c r="I2094" s="39"/>
      <c r="J2094" s="39"/>
      <c r="K2094" s="39"/>
      <c r="L2094" s="39"/>
      <c r="M2094" s="39"/>
      <c r="N2094" s="39"/>
      <c r="O2094" s="39"/>
      <c r="P2094" s="39"/>
      <c r="Q2094" s="39">
        <v>0.83</v>
      </c>
      <c r="R2094" s="39"/>
      <c r="S2094" s="39"/>
      <c r="T2094" s="39"/>
      <c r="U2094" s="39"/>
      <c r="V2094" s="39"/>
      <c r="W2094" s="39"/>
      <c r="X2094" s="49" t="s">
        <v>426</v>
      </c>
      <c r="Y2094" s="50">
        <v>0</v>
      </c>
      <c r="Z2094" s="51">
        <v>10000</v>
      </c>
      <c r="AA2094" s="52">
        <f t="shared" si="55"/>
        <v>0</v>
      </c>
      <c r="AB2094" s="12">
        <v>10000</v>
      </c>
      <c r="AC2094" s="12">
        <v>0</v>
      </c>
      <c r="AD2094" s="43"/>
      <c r="AE2094" s="43"/>
      <c r="AF2094" s="43"/>
      <c r="AG2094" s="43"/>
      <c r="AH2094" s="43"/>
      <c r="AI2094" s="43"/>
      <c r="AJ2094" s="43"/>
      <c r="AK2094" s="43"/>
      <c r="AL2094" s="43"/>
      <c r="AM2094" s="43"/>
      <c r="AN2094" s="43"/>
      <c r="AO2094" s="43"/>
      <c r="AP2094" s="43"/>
      <c r="AQ2094" s="43"/>
      <c r="AR2094" s="43"/>
      <c r="AS2094" s="43"/>
      <c r="AT2094" s="43"/>
      <c r="AU2094" s="43"/>
      <c r="AV2094" s="43"/>
    </row>
    <row r="2095" ht="15.75" spans="1:48">
      <c r="A2095" s="12">
        <v>2091</v>
      </c>
      <c r="B2095" s="73" t="s">
        <v>359</v>
      </c>
      <c r="C2095" s="45" t="s">
        <v>360</v>
      </c>
      <c r="D2095" s="46"/>
      <c r="E2095" s="47" t="s">
        <v>50</v>
      </c>
      <c r="F2095" s="48">
        <v>7.17</v>
      </c>
      <c r="G2095" s="38">
        <v>0.83</v>
      </c>
      <c r="H2095" s="39"/>
      <c r="I2095" s="39"/>
      <c r="J2095" s="39"/>
      <c r="K2095" s="39"/>
      <c r="L2095" s="39"/>
      <c r="M2095" s="39"/>
      <c r="N2095" s="39"/>
      <c r="O2095" s="39"/>
      <c r="P2095" s="39"/>
      <c r="Q2095" s="39">
        <v>0.83</v>
      </c>
      <c r="R2095" s="39"/>
      <c r="S2095" s="39"/>
      <c r="T2095" s="39"/>
      <c r="U2095" s="39"/>
      <c r="V2095" s="39"/>
      <c r="W2095" s="39"/>
      <c r="X2095" s="49" t="s">
        <v>426</v>
      </c>
      <c r="Y2095" s="50">
        <v>0</v>
      </c>
      <c r="Z2095" s="51">
        <v>10000</v>
      </c>
      <c r="AA2095" s="52">
        <f t="shared" si="55"/>
        <v>0</v>
      </c>
      <c r="AB2095" s="12">
        <v>10000</v>
      </c>
      <c r="AC2095" s="12">
        <v>0</v>
      </c>
      <c r="AD2095" s="43"/>
      <c r="AE2095" s="43"/>
      <c r="AF2095" s="43"/>
      <c r="AG2095" s="43"/>
      <c r="AH2095" s="43"/>
      <c r="AI2095" s="43"/>
      <c r="AJ2095" s="43"/>
      <c r="AK2095" s="43"/>
      <c r="AL2095" s="43"/>
      <c r="AM2095" s="43"/>
      <c r="AN2095" s="43"/>
      <c r="AO2095" s="43"/>
      <c r="AP2095" s="43"/>
      <c r="AQ2095" s="43"/>
      <c r="AR2095" s="43"/>
      <c r="AS2095" s="43"/>
      <c r="AT2095" s="43"/>
      <c r="AU2095" s="43"/>
      <c r="AV2095" s="43"/>
    </row>
    <row r="2096" ht="15.75" spans="1:48">
      <c r="A2096" s="12">
        <v>2092</v>
      </c>
      <c r="B2096" s="44" t="s">
        <v>339</v>
      </c>
      <c r="C2096" s="45" t="s">
        <v>340</v>
      </c>
      <c r="D2096" s="46"/>
      <c r="E2096" s="47" t="s">
        <v>50</v>
      </c>
      <c r="F2096" s="48">
        <v>7.17</v>
      </c>
      <c r="G2096" s="38">
        <v>0.83</v>
      </c>
      <c r="H2096" s="39"/>
      <c r="I2096" s="39"/>
      <c r="J2096" s="39"/>
      <c r="K2096" s="39"/>
      <c r="L2096" s="39"/>
      <c r="M2096" s="39"/>
      <c r="N2096" s="39"/>
      <c r="O2096" s="39"/>
      <c r="P2096" s="39"/>
      <c r="Q2096" s="39">
        <v>0.83</v>
      </c>
      <c r="R2096" s="39"/>
      <c r="S2096" s="39"/>
      <c r="T2096" s="39"/>
      <c r="U2096" s="39"/>
      <c r="V2096" s="39"/>
      <c r="W2096" s="39"/>
      <c r="X2096" s="49" t="s">
        <v>103</v>
      </c>
      <c r="Y2096" s="50">
        <v>6022.8</v>
      </c>
      <c r="Z2096" s="51">
        <v>3960</v>
      </c>
      <c r="AA2096" s="52">
        <f t="shared" si="55"/>
        <v>0.657501494321578</v>
      </c>
      <c r="AB2096" s="12">
        <v>3960</v>
      </c>
      <c r="AC2096" s="12">
        <v>0</v>
      </c>
      <c r="AD2096" s="43"/>
      <c r="AE2096" s="43"/>
      <c r="AF2096" s="43"/>
      <c r="AG2096" s="43"/>
      <c r="AH2096" s="43"/>
      <c r="AI2096" s="43"/>
      <c r="AJ2096" s="43"/>
      <c r="AK2096" s="43"/>
      <c r="AL2096" s="43"/>
      <c r="AM2096" s="43"/>
      <c r="AN2096" s="43"/>
      <c r="AO2096" s="43"/>
      <c r="AP2096" s="43"/>
      <c r="AQ2096" s="43"/>
      <c r="AR2096" s="43"/>
      <c r="AS2096" s="43"/>
      <c r="AT2096" s="43"/>
      <c r="AU2096" s="43"/>
      <c r="AV2096" s="43"/>
    </row>
    <row r="2097" ht="15.75" spans="1:48">
      <c r="A2097" s="12">
        <v>2093</v>
      </c>
      <c r="B2097" s="73" t="s">
        <v>370</v>
      </c>
      <c r="C2097" s="45" t="s">
        <v>371</v>
      </c>
      <c r="D2097" s="46"/>
      <c r="E2097" s="47" t="s">
        <v>50</v>
      </c>
      <c r="F2097" s="48">
        <v>7.17</v>
      </c>
      <c r="G2097" s="38">
        <v>0.83</v>
      </c>
      <c r="H2097" s="39"/>
      <c r="I2097" s="39"/>
      <c r="J2097" s="39"/>
      <c r="K2097" s="39"/>
      <c r="L2097" s="39"/>
      <c r="M2097" s="39"/>
      <c r="N2097" s="39"/>
      <c r="O2097" s="39"/>
      <c r="P2097" s="39"/>
      <c r="Q2097" s="39">
        <v>0.83</v>
      </c>
      <c r="R2097" s="39"/>
      <c r="S2097" s="39"/>
      <c r="T2097" s="39"/>
      <c r="U2097" s="39"/>
      <c r="V2097" s="39"/>
      <c r="W2097" s="39"/>
      <c r="X2097" s="49" t="s">
        <v>105</v>
      </c>
      <c r="Y2097" s="50">
        <v>4732.2</v>
      </c>
      <c r="Z2097" s="51">
        <v>3800</v>
      </c>
      <c r="AA2097" s="52">
        <f t="shared" si="55"/>
        <v>0.803009171210008</v>
      </c>
      <c r="AB2097" s="12">
        <v>3800</v>
      </c>
      <c r="AC2097" s="12">
        <v>0</v>
      </c>
      <c r="AD2097" s="43"/>
      <c r="AE2097" s="43"/>
      <c r="AF2097" s="43"/>
      <c r="AG2097" s="43"/>
      <c r="AH2097" s="43"/>
      <c r="AI2097" s="43"/>
      <c r="AJ2097" s="43"/>
      <c r="AK2097" s="43"/>
      <c r="AL2097" s="43"/>
      <c r="AM2097" s="43"/>
      <c r="AN2097" s="43"/>
      <c r="AO2097" s="43"/>
      <c r="AP2097" s="43"/>
      <c r="AQ2097" s="43"/>
      <c r="AR2097" s="43"/>
      <c r="AS2097" s="43"/>
      <c r="AT2097" s="43"/>
      <c r="AU2097" s="43"/>
      <c r="AV2097" s="43"/>
    </row>
    <row r="2098" ht="15.75" spans="1:48">
      <c r="A2098" s="12">
        <v>2094</v>
      </c>
      <c r="B2098" s="44">
        <v>947</v>
      </c>
      <c r="C2098" s="45" t="s">
        <v>143</v>
      </c>
      <c r="D2098" s="46"/>
      <c r="E2098" s="47" t="s">
        <v>50</v>
      </c>
      <c r="F2098" s="48">
        <v>1.33</v>
      </c>
      <c r="G2098" s="38">
        <v>0</v>
      </c>
      <c r="H2098" s="39"/>
      <c r="I2098" s="39"/>
      <c r="J2098" s="39"/>
      <c r="K2098" s="39"/>
      <c r="L2098" s="39"/>
      <c r="M2098" s="39"/>
      <c r="N2098" s="39"/>
      <c r="O2098" s="39"/>
      <c r="P2098" s="39"/>
      <c r="Q2098" s="39"/>
      <c r="R2098" s="39"/>
      <c r="S2098" s="39"/>
      <c r="T2098" s="39"/>
      <c r="U2098" s="39"/>
      <c r="V2098" s="39"/>
      <c r="W2098" s="39"/>
      <c r="X2098" s="49" t="s">
        <v>105</v>
      </c>
      <c r="Y2098" s="50">
        <v>877.8</v>
      </c>
      <c r="Z2098" s="51">
        <v>800</v>
      </c>
      <c r="AA2098" s="52">
        <f t="shared" si="55"/>
        <v>0.911369332421964</v>
      </c>
      <c r="AB2098" s="12">
        <v>800</v>
      </c>
      <c r="AC2098" s="12">
        <v>0</v>
      </c>
      <c r="AD2098" s="43"/>
      <c r="AE2098" s="43"/>
      <c r="AF2098" s="43"/>
      <c r="AG2098" s="43"/>
      <c r="AH2098" s="43"/>
      <c r="AI2098" s="43"/>
      <c r="AJ2098" s="43"/>
      <c r="AK2098" s="43"/>
      <c r="AL2098" s="43"/>
      <c r="AM2098" s="43"/>
      <c r="AN2098" s="43"/>
      <c r="AO2098" s="43"/>
      <c r="AP2098" s="43"/>
      <c r="AQ2098" s="43"/>
      <c r="AR2098" s="43"/>
      <c r="AS2098" s="43"/>
      <c r="AT2098" s="43"/>
      <c r="AU2098" s="43"/>
      <c r="AV2098" s="43"/>
    </row>
    <row r="2099" ht="15.75" spans="1:48">
      <c r="A2099" s="12">
        <v>2095</v>
      </c>
      <c r="B2099" s="44">
        <v>2865</v>
      </c>
      <c r="C2099" s="45" t="s">
        <v>149</v>
      </c>
      <c r="D2099" s="46"/>
      <c r="E2099" s="47" t="s">
        <v>50</v>
      </c>
      <c r="F2099" s="48">
        <v>1.17</v>
      </c>
      <c r="G2099" s="38">
        <v>0</v>
      </c>
      <c r="H2099" s="39"/>
      <c r="I2099" s="39"/>
      <c r="J2099" s="39"/>
      <c r="K2099" s="39"/>
      <c r="L2099" s="39"/>
      <c r="M2099" s="39"/>
      <c r="N2099" s="39"/>
      <c r="O2099" s="39"/>
      <c r="P2099" s="39"/>
      <c r="Q2099" s="39"/>
      <c r="R2099" s="39"/>
      <c r="S2099" s="39"/>
      <c r="T2099" s="39"/>
      <c r="U2099" s="39"/>
      <c r="V2099" s="39"/>
      <c r="W2099" s="39"/>
      <c r="X2099" s="49" t="s">
        <v>103</v>
      </c>
      <c r="Y2099" s="50">
        <v>982.8</v>
      </c>
      <c r="Z2099" s="51">
        <v>895</v>
      </c>
      <c r="AA2099" s="52">
        <f t="shared" si="55"/>
        <v>0.910663410663411</v>
      </c>
      <c r="AB2099" s="12">
        <v>895</v>
      </c>
      <c r="AC2099" s="12">
        <v>0</v>
      </c>
      <c r="AD2099" s="43"/>
      <c r="AE2099" s="43"/>
      <c r="AF2099" s="43"/>
      <c r="AG2099" s="43"/>
      <c r="AH2099" s="43"/>
      <c r="AI2099" s="43"/>
      <c r="AJ2099" s="43"/>
      <c r="AK2099" s="43"/>
      <c r="AL2099" s="43"/>
      <c r="AM2099" s="43"/>
      <c r="AN2099" s="43"/>
      <c r="AO2099" s="43"/>
      <c r="AP2099" s="43"/>
      <c r="AQ2099" s="43"/>
      <c r="AR2099" s="43"/>
      <c r="AS2099" s="43"/>
      <c r="AT2099" s="43"/>
      <c r="AU2099" s="43"/>
      <c r="AV2099" s="43"/>
    </row>
    <row r="2100" ht="15.75" spans="1:48">
      <c r="A2100" s="12">
        <v>2096</v>
      </c>
      <c r="B2100" s="44">
        <v>666</v>
      </c>
      <c r="C2100" s="45" t="s">
        <v>151</v>
      </c>
      <c r="D2100" s="46"/>
      <c r="E2100" s="47" t="s">
        <v>50</v>
      </c>
      <c r="F2100" s="48">
        <v>1.17</v>
      </c>
      <c r="G2100" s="38">
        <v>0</v>
      </c>
      <c r="H2100" s="39"/>
      <c r="I2100" s="39"/>
      <c r="J2100" s="39"/>
      <c r="K2100" s="39"/>
      <c r="L2100" s="39"/>
      <c r="M2100" s="39"/>
      <c r="N2100" s="39"/>
      <c r="O2100" s="39"/>
      <c r="P2100" s="39"/>
      <c r="Q2100" s="39"/>
      <c r="R2100" s="39"/>
      <c r="S2100" s="39"/>
      <c r="T2100" s="39"/>
      <c r="U2100" s="39"/>
      <c r="V2100" s="39"/>
      <c r="W2100" s="39"/>
      <c r="X2100" s="49" t="s">
        <v>229</v>
      </c>
      <c r="Y2100" s="50">
        <v>4352.4</v>
      </c>
      <c r="Z2100" s="51">
        <v>4500</v>
      </c>
      <c r="AA2100" s="52">
        <f t="shared" si="55"/>
        <v>1.0339123242349</v>
      </c>
      <c r="AB2100" s="12">
        <v>4500</v>
      </c>
      <c r="AC2100" s="12">
        <v>0</v>
      </c>
      <c r="AD2100" s="43"/>
      <c r="AE2100" s="43"/>
      <c r="AF2100" s="43"/>
      <c r="AG2100" s="43"/>
      <c r="AH2100" s="43"/>
      <c r="AI2100" s="43"/>
      <c r="AJ2100" s="43"/>
      <c r="AK2100" s="43"/>
      <c r="AL2100" s="43"/>
      <c r="AM2100" s="43"/>
      <c r="AN2100" s="43"/>
      <c r="AO2100" s="43"/>
      <c r="AP2100" s="43"/>
      <c r="AQ2100" s="43"/>
      <c r="AR2100" s="43"/>
      <c r="AS2100" s="43"/>
      <c r="AT2100" s="43"/>
      <c r="AU2100" s="43"/>
      <c r="AV2100" s="43"/>
    </row>
    <row r="2101" ht="15.75" spans="1:48">
      <c r="A2101" s="12">
        <v>2097</v>
      </c>
      <c r="B2101" s="44">
        <v>692</v>
      </c>
      <c r="C2101" s="45" t="s">
        <v>142</v>
      </c>
      <c r="D2101" s="46"/>
      <c r="E2101" s="47" t="s">
        <v>50</v>
      </c>
      <c r="F2101" s="48">
        <v>0.9</v>
      </c>
      <c r="G2101" s="38">
        <v>0</v>
      </c>
      <c r="H2101" s="39"/>
      <c r="I2101" s="39"/>
      <c r="J2101" s="39"/>
      <c r="K2101" s="39"/>
      <c r="L2101" s="39"/>
      <c r="M2101" s="39"/>
      <c r="N2101" s="39"/>
      <c r="O2101" s="39"/>
      <c r="P2101" s="39"/>
      <c r="Q2101" s="39"/>
      <c r="R2101" s="39"/>
      <c r="S2101" s="39"/>
      <c r="T2101" s="39"/>
      <c r="U2101" s="39"/>
      <c r="V2101" s="39"/>
      <c r="W2101" s="39"/>
      <c r="X2101" s="49" t="s">
        <v>229</v>
      </c>
      <c r="Y2101" s="50">
        <v>3348</v>
      </c>
      <c r="Z2101" s="51">
        <v>2700</v>
      </c>
      <c r="AA2101" s="52">
        <f t="shared" si="55"/>
        <v>0.806451612903226</v>
      </c>
      <c r="AB2101" s="12">
        <v>2700</v>
      </c>
      <c r="AC2101" s="12">
        <v>0</v>
      </c>
      <c r="AD2101" s="43"/>
      <c r="AE2101" s="43"/>
      <c r="AF2101" s="43"/>
      <c r="AG2101" s="43"/>
      <c r="AH2101" s="43"/>
      <c r="AI2101" s="43"/>
      <c r="AJ2101" s="43"/>
      <c r="AK2101" s="43"/>
      <c r="AL2101" s="43"/>
      <c r="AM2101" s="43"/>
      <c r="AN2101" s="43"/>
      <c r="AO2101" s="43"/>
      <c r="AP2101" s="43"/>
      <c r="AQ2101" s="43"/>
      <c r="AR2101" s="43"/>
      <c r="AS2101" s="43"/>
      <c r="AT2101" s="43"/>
      <c r="AU2101" s="43"/>
      <c r="AV2101" s="43"/>
    </row>
    <row r="2102" ht="15.75" spans="1:48">
      <c r="A2102" s="12">
        <v>2098</v>
      </c>
      <c r="B2102" s="44">
        <v>692</v>
      </c>
      <c r="C2102" s="45" t="s">
        <v>142</v>
      </c>
      <c r="D2102" s="46"/>
      <c r="E2102" s="47" t="s">
        <v>50</v>
      </c>
      <c r="F2102" s="48">
        <v>0.6</v>
      </c>
      <c r="G2102" s="38">
        <v>0</v>
      </c>
      <c r="H2102" s="39"/>
      <c r="I2102" s="39"/>
      <c r="J2102" s="39"/>
      <c r="K2102" s="39"/>
      <c r="L2102" s="39"/>
      <c r="M2102" s="39"/>
      <c r="N2102" s="39"/>
      <c r="O2102" s="39"/>
      <c r="P2102" s="39"/>
      <c r="Q2102" s="39"/>
      <c r="R2102" s="39"/>
      <c r="S2102" s="39"/>
      <c r="T2102" s="39"/>
      <c r="U2102" s="39"/>
      <c r="V2102" s="39"/>
      <c r="W2102" s="39"/>
      <c r="X2102" s="49" t="s">
        <v>102</v>
      </c>
      <c r="Y2102" s="50">
        <v>2700</v>
      </c>
      <c r="Z2102" s="51">
        <v>2500</v>
      </c>
      <c r="AA2102" s="52">
        <f t="shared" si="55"/>
        <v>0.925925925925926</v>
      </c>
      <c r="AB2102" s="12">
        <v>2500</v>
      </c>
      <c r="AC2102" s="12">
        <v>0</v>
      </c>
      <c r="AD2102" s="43"/>
      <c r="AE2102" s="43"/>
      <c r="AF2102" s="43"/>
      <c r="AG2102" s="43"/>
      <c r="AH2102" s="43"/>
      <c r="AI2102" s="43"/>
      <c r="AJ2102" s="43"/>
      <c r="AK2102" s="43"/>
      <c r="AL2102" s="43"/>
      <c r="AM2102" s="43"/>
      <c r="AN2102" s="43"/>
      <c r="AO2102" s="43"/>
      <c r="AP2102" s="43"/>
      <c r="AQ2102" s="43"/>
      <c r="AR2102" s="43"/>
      <c r="AS2102" s="43"/>
      <c r="AT2102" s="43"/>
      <c r="AU2102" s="43"/>
      <c r="AV2102" s="43"/>
    </row>
    <row r="2103" ht="15.75" spans="1:48">
      <c r="A2103" s="12">
        <v>2099</v>
      </c>
      <c r="B2103" s="44">
        <v>692</v>
      </c>
      <c r="C2103" s="45" t="s">
        <v>142</v>
      </c>
      <c r="D2103" s="46"/>
      <c r="E2103" s="47" t="s">
        <v>50</v>
      </c>
      <c r="F2103" s="48">
        <v>3.67</v>
      </c>
      <c r="G2103" s="38">
        <v>2.34</v>
      </c>
      <c r="H2103" s="39"/>
      <c r="I2103" s="39"/>
      <c r="J2103" s="39"/>
      <c r="K2103" s="39"/>
      <c r="L2103" s="39"/>
      <c r="M2103" s="39"/>
      <c r="N2103" s="39"/>
      <c r="O2103" s="39"/>
      <c r="P2103" s="39"/>
      <c r="Q2103" s="39">
        <v>1.17</v>
      </c>
      <c r="R2103" s="39"/>
      <c r="S2103" s="39">
        <v>1</v>
      </c>
      <c r="T2103" s="39"/>
      <c r="U2103" s="39">
        <v>0.17</v>
      </c>
      <c r="V2103" s="39"/>
      <c r="W2103" s="39"/>
      <c r="X2103" s="49" t="s">
        <v>101</v>
      </c>
      <c r="Y2103" s="50">
        <v>7046.4</v>
      </c>
      <c r="Z2103" s="51">
        <v>6660</v>
      </c>
      <c r="AA2103" s="52">
        <f t="shared" si="55"/>
        <v>0.94516348773842</v>
      </c>
      <c r="AB2103" s="12">
        <v>6660</v>
      </c>
      <c r="AC2103" s="12">
        <v>0</v>
      </c>
      <c r="AD2103" s="43"/>
      <c r="AE2103" s="43"/>
      <c r="AF2103" s="43"/>
      <c r="AG2103" s="43"/>
      <c r="AH2103" s="43"/>
      <c r="AI2103" s="43"/>
      <c r="AJ2103" s="43"/>
      <c r="AK2103" s="43"/>
      <c r="AL2103" s="43"/>
      <c r="AM2103" s="43"/>
      <c r="AN2103" s="43"/>
      <c r="AO2103" s="43"/>
      <c r="AP2103" s="43"/>
      <c r="AQ2103" s="43"/>
      <c r="AR2103" s="43"/>
      <c r="AS2103" s="43"/>
      <c r="AT2103" s="43"/>
      <c r="AU2103" s="43"/>
      <c r="AV2103" s="43"/>
    </row>
    <row r="2104" ht="15.75" spans="1:48">
      <c r="A2104" s="12">
        <v>2100</v>
      </c>
      <c r="B2104" s="44">
        <v>692</v>
      </c>
      <c r="C2104" s="45" t="s">
        <v>142</v>
      </c>
      <c r="D2104" s="46"/>
      <c r="E2104" s="47" t="s">
        <v>50</v>
      </c>
      <c r="F2104" s="48">
        <v>2.5</v>
      </c>
      <c r="G2104" s="38">
        <v>0</v>
      </c>
      <c r="H2104" s="39"/>
      <c r="I2104" s="39"/>
      <c r="J2104" s="39"/>
      <c r="K2104" s="39"/>
      <c r="L2104" s="39"/>
      <c r="M2104" s="39"/>
      <c r="N2104" s="39"/>
      <c r="O2104" s="39"/>
      <c r="P2104" s="39"/>
      <c r="Q2104" s="39"/>
      <c r="R2104" s="39"/>
      <c r="S2104" s="39"/>
      <c r="T2104" s="39"/>
      <c r="U2104" s="39"/>
      <c r="V2104" s="39"/>
      <c r="W2104" s="39"/>
      <c r="X2104" s="49" t="s">
        <v>100</v>
      </c>
      <c r="Y2104" s="50">
        <v>4800</v>
      </c>
      <c r="Z2104" s="51">
        <v>4140</v>
      </c>
      <c r="AA2104" s="52">
        <f t="shared" si="55"/>
        <v>0.8625</v>
      </c>
      <c r="AB2104" s="12">
        <v>4140</v>
      </c>
      <c r="AC2104" s="12">
        <v>0</v>
      </c>
      <c r="AD2104" s="43"/>
      <c r="AE2104" s="43"/>
      <c r="AF2104" s="43"/>
      <c r="AG2104" s="43"/>
      <c r="AH2104" s="43"/>
      <c r="AI2104" s="43"/>
      <c r="AJ2104" s="43"/>
      <c r="AK2104" s="43"/>
      <c r="AL2104" s="43"/>
      <c r="AM2104" s="43"/>
      <c r="AN2104" s="43"/>
      <c r="AO2104" s="43"/>
      <c r="AP2104" s="43"/>
      <c r="AQ2104" s="43"/>
      <c r="AR2104" s="43"/>
      <c r="AS2104" s="43"/>
      <c r="AT2104" s="43"/>
      <c r="AU2104" s="43"/>
      <c r="AV2104" s="43"/>
    </row>
    <row r="2105" ht="15.75" spans="1:48">
      <c r="A2105" s="12">
        <v>2101</v>
      </c>
      <c r="B2105" s="44">
        <v>692</v>
      </c>
      <c r="C2105" s="45" t="s">
        <v>142</v>
      </c>
      <c r="D2105" s="46"/>
      <c r="E2105" s="47" t="s">
        <v>50</v>
      </c>
      <c r="F2105" s="48">
        <v>2</v>
      </c>
      <c r="G2105" s="38">
        <v>0</v>
      </c>
      <c r="H2105" s="39"/>
      <c r="I2105" s="39"/>
      <c r="J2105" s="39"/>
      <c r="K2105" s="39"/>
      <c r="L2105" s="39"/>
      <c r="M2105" s="39"/>
      <c r="N2105" s="39"/>
      <c r="O2105" s="39"/>
      <c r="P2105" s="39"/>
      <c r="Q2105" s="39"/>
      <c r="R2105" s="39"/>
      <c r="S2105" s="39"/>
      <c r="T2105" s="39"/>
      <c r="U2105" s="39"/>
      <c r="V2105" s="39"/>
      <c r="W2105" s="39"/>
      <c r="X2105" s="49" t="s">
        <v>152</v>
      </c>
      <c r="Y2105" s="50">
        <v>8700</v>
      </c>
      <c r="Z2105" s="51">
        <v>7700</v>
      </c>
      <c r="AA2105" s="52">
        <f t="shared" si="55"/>
        <v>0.885057471264368</v>
      </c>
      <c r="AB2105" s="12">
        <v>7700</v>
      </c>
      <c r="AC2105" s="12">
        <v>0</v>
      </c>
      <c r="AD2105" s="43"/>
      <c r="AE2105" s="43"/>
      <c r="AF2105" s="43"/>
      <c r="AG2105" s="43"/>
      <c r="AH2105" s="43"/>
      <c r="AI2105" s="43"/>
      <c r="AJ2105" s="43"/>
      <c r="AK2105" s="43"/>
      <c r="AL2105" s="43"/>
      <c r="AM2105" s="43"/>
      <c r="AN2105" s="43"/>
      <c r="AO2105" s="43"/>
      <c r="AP2105" s="43"/>
      <c r="AQ2105" s="43"/>
      <c r="AR2105" s="43"/>
      <c r="AS2105" s="43"/>
      <c r="AT2105" s="43"/>
      <c r="AU2105" s="43"/>
      <c r="AV2105" s="43"/>
    </row>
    <row r="2106" ht="15.75" spans="1:48">
      <c r="A2106" s="12">
        <v>2102</v>
      </c>
      <c r="B2106" s="44">
        <v>4110</v>
      </c>
      <c r="C2106" s="45" t="s">
        <v>135</v>
      </c>
      <c r="D2106" s="46"/>
      <c r="E2106" s="47" t="s">
        <v>50</v>
      </c>
      <c r="F2106" s="48">
        <v>1.83</v>
      </c>
      <c r="G2106" s="38">
        <v>0.5</v>
      </c>
      <c r="H2106" s="39"/>
      <c r="I2106" s="39"/>
      <c r="J2106" s="39"/>
      <c r="K2106" s="39"/>
      <c r="L2106" s="39"/>
      <c r="M2106" s="39"/>
      <c r="N2106" s="39"/>
      <c r="O2106" s="39"/>
      <c r="P2106" s="39"/>
      <c r="Q2106" s="39"/>
      <c r="R2106" s="39"/>
      <c r="S2106" s="39"/>
      <c r="T2106" s="39"/>
      <c r="U2106" s="39">
        <v>0.5</v>
      </c>
      <c r="V2106" s="39"/>
      <c r="W2106" s="39"/>
      <c r="X2106" s="49" t="s">
        <v>105</v>
      </c>
      <c r="Y2106" s="50">
        <v>1207.8</v>
      </c>
      <c r="Z2106" s="51">
        <v>1200</v>
      </c>
      <c r="AA2106" s="52">
        <f t="shared" si="55"/>
        <v>0.993541977148535</v>
      </c>
      <c r="AB2106" s="12">
        <v>1200</v>
      </c>
      <c r="AC2106" s="12">
        <v>0</v>
      </c>
      <c r="AD2106" s="43"/>
      <c r="AE2106" s="43"/>
      <c r="AF2106" s="43"/>
      <c r="AG2106" s="43"/>
      <c r="AH2106" s="43"/>
      <c r="AI2106" s="43"/>
      <c r="AJ2106" s="43"/>
      <c r="AK2106" s="43"/>
      <c r="AL2106" s="43"/>
      <c r="AM2106" s="43"/>
      <c r="AN2106" s="43"/>
      <c r="AO2106" s="43"/>
      <c r="AP2106" s="43"/>
      <c r="AQ2106" s="43"/>
      <c r="AR2106" s="43"/>
      <c r="AS2106" s="43"/>
      <c r="AT2106" s="43"/>
      <c r="AU2106" s="43"/>
      <c r="AV2106" s="43"/>
    </row>
    <row r="2107" ht="15.75" spans="1:48">
      <c r="A2107" s="12">
        <v>2103</v>
      </c>
      <c r="B2107" s="44">
        <v>4384</v>
      </c>
      <c r="C2107" s="45" t="s">
        <v>145</v>
      </c>
      <c r="D2107" s="46"/>
      <c r="E2107" s="47" t="s">
        <v>50</v>
      </c>
      <c r="F2107" s="48">
        <v>0.27</v>
      </c>
      <c r="G2107" s="38">
        <v>0</v>
      </c>
      <c r="H2107" s="39"/>
      <c r="I2107" s="39"/>
      <c r="J2107" s="39"/>
      <c r="K2107" s="39"/>
      <c r="L2107" s="39"/>
      <c r="M2107" s="39"/>
      <c r="N2107" s="39"/>
      <c r="O2107" s="39"/>
      <c r="P2107" s="39"/>
      <c r="Q2107" s="39"/>
      <c r="R2107" s="39"/>
      <c r="S2107" s="39"/>
      <c r="T2107" s="39"/>
      <c r="U2107" s="39"/>
      <c r="V2107" s="39"/>
      <c r="W2107" s="39"/>
      <c r="X2107" s="49" t="s">
        <v>100</v>
      </c>
      <c r="Y2107" s="50">
        <v>518.4</v>
      </c>
      <c r="Z2107" s="51">
        <v>540</v>
      </c>
      <c r="AA2107" s="52">
        <f t="shared" si="55"/>
        <v>1.04166666666667</v>
      </c>
      <c r="AB2107" s="12">
        <v>540</v>
      </c>
      <c r="AC2107" s="12">
        <v>0</v>
      </c>
      <c r="AD2107" s="43"/>
      <c r="AE2107" s="43"/>
      <c r="AF2107" s="43"/>
      <c r="AG2107" s="43"/>
      <c r="AH2107" s="43"/>
      <c r="AI2107" s="43"/>
      <c r="AJ2107" s="43"/>
      <c r="AK2107" s="43"/>
      <c r="AL2107" s="43"/>
      <c r="AM2107" s="43"/>
      <c r="AN2107" s="43"/>
      <c r="AO2107" s="43"/>
      <c r="AP2107" s="43"/>
      <c r="AQ2107" s="43"/>
      <c r="AR2107" s="43"/>
      <c r="AS2107" s="43"/>
      <c r="AT2107" s="43"/>
      <c r="AU2107" s="43"/>
      <c r="AV2107" s="43"/>
    </row>
    <row r="2108" ht="15.75" spans="1:48">
      <c r="A2108" s="12">
        <v>2104</v>
      </c>
      <c r="B2108" s="44">
        <v>4384</v>
      </c>
      <c r="C2108" s="45" t="s">
        <v>145</v>
      </c>
      <c r="D2108" s="46"/>
      <c r="E2108" s="47" t="s">
        <v>50</v>
      </c>
      <c r="F2108" s="48">
        <v>0.4</v>
      </c>
      <c r="G2108" s="38">
        <v>0</v>
      </c>
      <c r="H2108" s="39"/>
      <c r="I2108" s="39"/>
      <c r="J2108" s="39"/>
      <c r="K2108" s="39"/>
      <c r="L2108" s="39"/>
      <c r="M2108" s="39"/>
      <c r="N2108" s="39"/>
      <c r="O2108" s="39"/>
      <c r="P2108" s="39"/>
      <c r="Q2108" s="39"/>
      <c r="R2108" s="39"/>
      <c r="S2108" s="39"/>
      <c r="T2108" s="39"/>
      <c r="U2108" s="39"/>
      <c r="V2108" s="39"/>
      <c r="W2108" s="39"/>
      <c r="X2108" s="49" t="s">
        <v>229</v>
      </c>
      <c r="Y2108" s="50">
        <v>1488</v>
      </c>
      <c r="Z2108" s="51">
        <v>1800</v>
      </c>
      <c r="AA2108" s="52">
        <f t="shared" si="55"/>
        <v>1.20967741935484</v>
      </c>
      <c r="AB2108" s="12">
        <v>1800</v>
      </c>
      <c r="AC2108" s="12">
        <v>0</v>
      </c>
      <c r="AD2108" s="43"/>
      <c r="AE2108" s="43"/>
      <c r="AF2108" s="43"/>
      <c r="AG2108" s="43"/>
      <c r="AH2108" s="43"/>
      <c r="AI2108" s="43"/>
      <c r="AJ2108" s="43"/>
      <c r="AK2108" s="43"/>
      <c r="AL2108" s="43"/>
      <c r="AM2108" s="43"/>
      <c r="AN2108" s="43"/>
      <c r="AO2108" s="43"/>
      <c r="AP2108" s="43"/>
      <c r="AQ2108" s="43"/>
      <c r="AR2108" s="43"/>
      <c r="AS2108" s="43"/>
      <c r="AT2108" s="43"/>
      <c r="AU2108" s="43"/>
      <c r="AV2108" s="43"/>
    </row>
    <row r="2109" ht="15.75" spans="1:48">
      <c r="A2109" s="12">
        <v>2105</v>
      </c>
      <c r="B2109" s="44">
        <v>1733</v>
      </c>
      <c r="C2109" s="45" t="s">
        <v>153</v>
      </c>
      <c r="D2109" s="46"/>
      <c r="E2109" s="47" t="s">
        <v>50</v>
      </c>
      <c r="F2109" s="48">
        <v>10.83</v>
      </c>
      <c r="G2109" s="38">
        <v>1.17</v>
      </c>
      <c r="H2109" s="39"/>
      <c r="I2109" s="39"/>
      <c r="J2109" s="39"/>
      <c r="K2109" s="39"/>
      <c r="L2109" s="39"/>
      <c r="M2109" s="39"/>
      <c r="N2109" s="39"/>
      <c r="O2109" s="39"/>
      <c r="P2109" s="39"/>
      <c r="Q2109" s="39">
        <v>1.17</v>
      </c>
      <c r="R2109" s="39"/>
      <c r="S2109" s="39"/>
      <c r="T2109" s="39"/>
      <c r="U2109" s="39"/>
      <c r="V2109" s="39"/>
      <c r="W2109" s="39"/>
      <c r="X2109" s="49" t="s">
        <v>103</v>
      </c>
      <c r="Y2109" s="50">
        <v>9097.2</v>
      </c>
      <c r="Z2109" s="51">
        <v>7358</v>
      </c>
      <c r="AA2109" s="52">
        <f t="shared" si="55"/>
        <v>0.808820296354922</v>
      </c>
      <c r="AB2109" s="12">
        <v>7358</v>
      </c>
      <c r="AC2109" s="12">
        <v>0</v>
      </c>
      <c r="AD2109" s="43"/>
      <c r="AE2109" s="43"/>
      <c r="AF2109" s="43"/>
      <c r="AG2109" s="43"/>
      <c r="AH2109" s="43"/>
      <c r="AI2109" s="43"/>
      <c r="AJ2109" s="43"/>
      <c r="AK2109" s="43"/>
      <c r="AL2109" s="43"/>
      <c r="AM2109" s="43"/>
      <c r="AN2109" s="43"/>
      <c r="AO2109" s="43"/>
      <c r="AP2109" s="43"/>
      <c r="AQ2109" s="43"/>
      <c r="AR2109" s="43"/>
      <c r="AS2109" s="43"/>
      <c r="AT2109" s="43"/>
      <c r="AU2109" s="43"/>
      <c r="AV2109" s="43"/>
    </row>
    <row r="2110" ht="15.75" spans="1:48">
      <c r="A2110" s="12">
        <v>2106</v>
      </c>
      <c r="B2110" s="44">
        <v>4412</v>
      </c>
      <c r="C2110" s="45" t="s">
        <v>177</v>
      </c>
      <c r="D2110" s="46"/>
      <c r="E2110" s="47" t="s">
        <v>50</v>
      </c>
      <c r="F2110" s="48">
        <v>0.5</v>
      </c>
      <c r="G2110" s="38">
        <v>0</v>
      </c>
      <c r="H2110" s="39"/>
      <c r="I2110" s="39"/>
      <c r="J2110" s="39"/>
      <c r="K2110" s="39"/>
      <c r="L2110" s="39"/>
      <c r="M2110" s="39"/>
      <c r="N2110" s="39"/>
      <c r="O2110" s="39"/>
      <c r="P2110" s="39"/>
      <c r="Q2110" s="39"/>
      <c r="R2110" s="39"/>
      <c r="S2110" s="39"/>
      <c r="T2110" s="39"/>
      <c r="U2110" s="39"/>
      <c r="V2110" s="39"/>
      <c r="W2110" s="39"/>
      <c r="X2110" s="49" t="s">
        <v>103</v>
      </c>
      <c r="Y2110" s="50">
        <v>420</v>
      </c>
      <c r="Z2110" s="51">
        <v>509</v>
      </c>
      <c r="AA2110" s="52">
        <f t="shared" si="55"/>
        <v>1.21190476190476</v>
      </c>
      <c r="AB2110" s="12">
        <v>509</v>
      </c>
      <c r="AC2110" s="12">
        <v>0</v>
      </c>
      <c r="AD2110" s="43"/>
      <c r="AE2110" s="43"/>
      <c r="AF2110" s="43"/>
      <c r="AG2110" s="43"/>
      <c r="AH2110" s="43"/>
      <c r="AI2110" s="43"/>
      <c r="AJ2110" s="43"/>
      <c r="AK2110" s="43"/>
      <c r="AL2110" s="43"/>
      <c r="AM2110" s="43"/>
      <c r="AN2110" s="43"/>
      <c r="AO2110" s="43"/>
      <c r="AP2110" s="43"/>
      <c r="AQ2110" s="43"/>
      <c r="AR2110" s="43"/>
      <c r="AS2110" s="43"/>
      <c r="AT2110" s="43"/>
      <c r="AU2110" s="43"/>
      <c r="AV2110" s="43"/>
    </row>
    <row r="2111" ht="15.75" spans="1:48">
      <c r="A2111" s="12">
        <v>2107</v>
      </c>
      <c r="B2111" s="44">
        <v>3353</v>
      </c>
      <c r="C2111" s="45" t="s">
        <v>48</v>
      </c>
      <c r="D2111" s="46" t="s">
        <v>116</v>
      </c>
      <c r="E2111" s="47" t="s">
        <v>113</v>
      </c>
      <c r="F2111" s="48">
        <v>7</v>
      </c>
      <c r="G2111" s="38">
        <v>1.5</v>
      </c>
      <c r="H2111" s="39"/>
      <c r="I2111" s="39"/>
      <c r="J2111" s="39"/>
      <c r="K2111" s="39"/>
      <c r="L2111" s="39"/>
      <c r="M2111" s="39"/>
      <c r="N2111" s="39"/>
      <c r="O2111" s="39"/>
      <c r="P2111" s="39"/>
      <c r="Q2111" s="39">
        <v>1.33</v>
      </c>
      <c r="R2111" s="39"/>
      <c r="S2111" s="39"/>
      <c r="T2111" s="39"/>
      <c r="U2111" s="39">
        <v>0.17</v>
      </c>
      <c r="V2111" s="39"/>
      <c r="W2111" s="39"/>
      <c r="X2111" s="49" t="s">
        <v>381</v>
      </c>
      <c r="Y2111" s="50">
        <v>28616</v>
      </c>
      <c r="Z2111" s="51">
        <v>28800</v>
      </c>
      <c r="AA2111" s="52">
        <f t="shared" si="55"/>
        <v>1.00642996924797</v>
      </c>
      <c r="AB2111" s="12">
        <v>28800</v>
      </c>
      <c r="AC2111" s="12">
        <v>0</v>
      </c>
      <c r="AD2111" s="43"/>
      <c r="AE2111" s="43"/>
      <c r="AF2111" s="43"/>
      <c r="AG2111" s="43"/>
      <c r="AH2111" s="43"/>
      <c r="AI2111" s="43"/>
      <c r="AJ2111" s="43"/>
      <c r="AK2111" s="43"/>
      <c r="AL2111" s="43"/>
      <c r="AM2111" s="43"/>
      <c r="AN2111" s="43"/>
      <c r="AO2111" s="43"/>
      <c r="AP2111" s="43"/>
      <c r="AQ2111" s="43"/>
      <c r="AR2111" s="43"/>
      <c r="AS2111" s="43"/>
      <c r="AT2111" s="43"/>
      <c r="AU2111" s="43"/>
      <c r="AV2111" s="43"/>
    </row>
    <row r="2112" ht="15.75" spans="1:48">
      <c r="A2112" s="12">
        <v>2108</v>
      </c>
      <c r="B2112" s="44">
        <v>3353</v>
      </c>
      <c r="C2112" s="45" t="s">
        <v>48</v>
      </c>
      <c r="D2112" s="46"/>
      <c r="E2112" s="47" t="s">
        <v>113</v>
      </c>
      <c r="F2112" s="48">
        <v>3.5</v>
      </c>
      <c r="G2112" s="38">
        <v>0</v>
      </c>
      <c r="H2112" s="39"/>
      <c r="I2112" s="39"/>
      <c r="J2112" s="39"/>
      <c r="K2112" s="39"/>
      <c r="L2112" s="39"/>
      <c r="M2112" s="39"/>
      <c r="N2112" s="39"/>
      <c r="O2112" s="39"/>
      <c r="P2112" s="39"/>
      <c r="Q2112" s="39"/>
      <c r="R2112" s="39"/>
      <c r="S2112" s="39"/>
      <c r="T2112" s="39"/>
      <c r="U2112" s="39"/>
      <c r="V2112" s="39"/>
      <c r="W2112" s="39"/>
      <c r="X2112" s="49" t="s">
        <v>122</v>
      </c>
      <c r="Y2112" s="50">
        <v>0</v>
      </c>
      <c r="Z2112" s="51"/>
      <c r="AA2112" s="52">
        <f>IFERROR(Z2112/Y2112,0)</f>
        <v>0</v>
      </c>
      <c r="AB2112" s="12">
        <v>0</v>
      </c>
      <c r="AC2112" s="12">
        <v>0</v>
      </c>
      <c r="AD2112" s="43"/>
      <c r="AE2112" s="43"/>
      <c r="AF2112" s="43"/>
      <c r="AG2112" s="43"/>
      <c r="AH2112" s="43"/>
      <c r="AI2112" s="43"/>
      <c r="AJ2112" s="43"/>
      <c r="AK2112" s="43"/>
      <c r="AL2112" s="43"/>
      <c r="AM2112" s="43"/>
      <c r="AN2112" s="43"/>
      <c r="AO2112" s="43"/>
      <c r="AP2112" s="43"/>
      <c r="AQ2112" s="43"/>
      <c r="AR2112" s="43"/>
      <c r="AS2112" s="43"/>
      <c r="AT2112" s="43"/>
      <c r="AU2112" s="43"/>
      <c r="AV2112" s="43"/>
    </row>
    <row r="2113" ht="15.75" spans="1:48">
      <c r="A2113" s="12">
        <v>2109</v>
      </c>
      <c r="B2113" s="44">
        <v>2516</v>
      </c>
      <c r="C2113" s="45" t="s">
        <v>189</v>
      </c>
      <c r="D2113" s="46" t="s">
        <v>264</v>
      </c>
      <c r="E2113" s="47" t="s">
        <v>113</v>
      </c>
      <c r="F2113" s="48">
        <v>10</v>
      </c>
      <c r="G2113" s="38">
        <v>2</v>
      </c>
      <c r="H2113" s="39"/>
      <c r="I2113" s="39"/>
      <c r="J2113" s="39"/>
      <c r="K2113" s="39">
        <v>0.17</v>
      </c>
      <c r="L2113" s="39"/>
      <c r="M2113" s="39"/>
      <c r="N2113" s="39"/>
      <c r="O2113" s="39"/>
      <c r="P2113" s="39"/>
      <c r="Q2113" s="39">
        <v>1.33</v>
      </c>
      <c r="R2113" s="39"/>
      <c r="S2113" s="39"/>
      <c r="T2113" s="39"/>
      <c r="U2113" s="39">
        <v>0.5</v>
      </c>
      <c r="V2113" s="39"/>
      <c r="W2113" s="39"/>
      <c r="X2113" s="49" t="s">
        <v>216</v>
      </c>
      <c r="Y2113" s="50">
        <v>8500</v>
      </c>
      <c r="Z2113" s="51">
        <v>8400</v>
      </c>
      <c r="AA2113" s="52">
        <f t="shared" ref="AA2113:AA2121" si="56">IFERROR(Z2113/Y2113,0)</f>
        <v>0.988235294117647</v>
      </c>
      <c r="AB2113" s="12">
        <v>8400</v>
      </c>
      <c r="AC2113" s="12">
        <v>0</v>
      </c>
      <c r="AD2113" s="43"/>
      <c r="AE2113" s="43"/>
      <c r="AF2113" s="43"/>
      <c r="AG2113" s="43"/>
      <c r="AH2113" s="43"/>
      <c r="AI2113" s="43"/>
      <c r="AJ2113" s="43"/>
      <c r="AK2113" s="43"/>
      <c r="AL2113" s="43"/>
      <c r="AM2113" s="43"/>
      <c r="AN2113" s="43"/>
      <c r="AO2113" s="43"/>
      <c r="AP2113" s="43"/>
      <c r="AQ2113" s="43"/>
      <c r="AR2113" s="43"/>
      <c r="AS2113" s="43"/>
      <c r="AT2113" s="43"/>
      <c r="AU2113" s="43"/>
      <c r="AV2113" s="43"/>
    </row>
    <row r="2114" ht="15.75" spans="1:48">
      <c r="A2114" s="12">
        <v>2110</v>
      </c>
      <c r="B2114" s="44">
        <v>698</v>
      </c>
      <c r="C2114" s="45" t="s">
        <v>68</v>
      </c>
      <c r="D2114" s="46">
        <v>1</v>
      </c>
      <c r="E2114" s="47" t="s">
        <v>113</v>
      </c>
      <c r="F2114" s="48">
        <v>10.17</v>
      </c>
      <c r="G2114" s="38">
        <v>1.83</v>
      </c>
      <c r="H2114" s="39"/>
      <c r="I2114" s="39"/>
      <c r="J2114" s="39"/>
      <c r="K2114" s="39">
        <v>0.33</v>
      </c>
      <c r="L2114" s="39"/>
      <c r="M2114" s="39"/>
      <c r="N2114" s="39"/>
      <c r="O2114" s="39"/>
      <c r="P2114" s="39"/>
      <c r="Q2114" s="39">
        <v>1.33</v>
      </c>
      <c r="R2114" s="39"/>
      <c r="S2114" s="39"/>
      <c r="T2114" s="39"/>
      <c r="U2114" s="39">
        <v>0.17</v>
      </c>
      <c r="V2114" s="39"/>
      <c r="W2114" s="39"/>
      <c r="X2114" s="49" t="s">
        <v>199</v>
      </c>
      <c r="Y2114" s="50">
        <v>3559.5</v>
      </c>
      <c r="Z2114" s="51">
        <v>3660</v>
      </c>
      <c r="AA2114" s="52">
        <f t="shared" si="56"/>
        <v>1.02823430257059</v>
      </c>
      <c r="AB2114" s="12">
        <v>3660</v>
      </c>
      <c r="AC2114" s="12">
        <v>0</v>
      </c>
      <c r="AD2114" s="43"/>
      <c r="AE2114" s="43"/>
      <c r="AF2114" s="43"/>
      <c r="AG2114" s="43"/>
      <c r="AH2114" s="43"/>
      <c r="AI2114" s="43"/>
      <c r="AJ2114" s="43"/>
      <c r="AK2114" s="43"/>
      <c r="AL2114" s="43"/>
      <c r="AM2114" s="43"/>
      <c r="AN2114" s="43"/>
      <c r="AO2114" s="43"/>
      <c r="AP2114" s="43"/>
      <c r="AQ2114" s="43"/>
      <c r="AR2114" s="43"/>
      <c r="AS2114" s="43"/>
      <c r="AT2114" s="43"/>
      <c r="AU2114" s="43"/>
      <c r="AV2114" s="43"/>
    </row>
    <row r="2115" ht="15.75" spans="1:48">
      <c r="A2115" s="12">
        <v>2111</v>
      </c>
      <c r="B2115" s="44">
        <v>4396</v>
      </c>
      <c r="C2115" s="45" t="s">
        <v>415</v>
      </c>
      <c r="D2115" s="46">
        <v>12</v>
      </c>
      <c r="E2115" s="47" t="s">
        <v>427</v>
      </c>
      <c r="F2115" s="48">
        <v>10.17</v>
      </c>
      <c r="G2115" s="38">
        <v>1.83</v>
      </c>
      <c r="H2115" s="39"/>
      <c r="I2115" s="39"/>
      <c r="J2115" s="39"/>
      <c r="K2115" s="39">
        <v>0.33</v>
      </c>
      <c r="L2115" s="39"/>
      <c r="M2115" s="39"/>
      <c r="N2115" s="39"/>
      <c r="O2115" s="39"/>
      <c r="P2115" s="39"/>
      <c r="Q2115" s="39">
        <v>1.33</v>
      </c>
      <c r="R2115" s="39"/>
      <c r="S2115" s="39"/>
      <c r="T2115" s="39"/>
      <c r="U2115" s="39">
        <v>0.17</v>
      </c>
      <c r="V2115" s="39"/>
      <c r="W2115" s="39"/>
      <c r="X2115" s="49" t="s">
        <v>71</v>
      </c>
      <c r="Y2115" s="50">
        <v>2725.56</v>
      </c>
      <c r="Z2115" s="51">
        <v>2760</v>
      </c>
      <c r="AA2115" s="52">
        <f t="shared" si="56"/>
        <v>1.01263593536741</v>
      </c>
      <c r="AB2115" s="12">
        <v>2760</v>
      </c>
      <c r="AC2115" s="12">
        <v>0</v>
      </c>
      <c r="AD2115" s="43"/>
      <c r="AE2115" s="43"/>
      <c r="AF2115" s="43"/>
      <c r="AG2115" s="43"/>
      <c r="AH2115" s="43"/>
      <c r="AI2115" s="43"/>
      <c r="AJ2115" s="43"/>
      <c r="AK2115" s="43"/>
      <c r="AL2115" s="43"/>
      <c r="AM2115" s="43"/>
      <c r="AN2115" s="43"/>
      <c r="AO2115" s="43"/>
      <c r="AP2115" s="43"/>
      <c r="AQ2115" s="43"/>
      <c r="AR2115" s="43"/>
      <c r="AS2115" s="43"/>
      <c r="AT2115" s="43"/>
      <c r="AU2115" s="43"/>
      <c r="AV2115" s="43"/>
    </row>
    <row r="2116" ht="15.75" spans="1:48">
      <c r="A2116" s="12">
        <v>2112</v>
      </c>
      <c r="B2116" s="44">
        <v>3352</v>
      </c>
      <c r="C2116" s="45" t="s">
        <v>66</v>
      </c>
      <c r="D2116" s="46"/>
      <c r="E2116" s="47" t="s">
        <v>113</v>
      </c>
      <c r="F2116" s="48">
        <v>10.66</v>
      </c>
      <c r="G2116" s="38">
        <v>1.33</v>
      </c>
      <c r="H2116" s="39"/>
      <c r="I2116" s="39"/>
      <c r="J2116" s="39"/>
      <c r="K2116" s="39"/>
      <c r="L2116" s="39"/>
      <c r="M2116" s="39"/>
      <c r="N2116" s="39"/>
      <c r="O2116" s="39"/>
      <c r="P2116" s="39"/>
      <c r="Q2116" s="39">
        <v>1.33</v>
      </c>
      <c r="R2116" s="39"/>
      <c r="S2116" s="39"/>
      <c r="T2116" s="39"/>
      <c r="U2116" s="39"/>
      <c r="V2116" s="39"/>
      <c r="W2116" s="39"/>
      <c r="X2116" s="49" t="s">
        <v>120</v>
      </c>
      <c r="Y2116" s="50">
        <v>2665</v>
      </c>
      <c r="Z2116" s="51">
        <v>2650</v>
      </c>
      <c r="AA2116" s="52">
        <f t="shared" si="56"/>
        <v>0.99437148217636</v>
      </c>
      <c r="AB2116" s="12">
        <v>2650</v>
      </c>
      <c r="AC2116" s="12">
        <v>0</v>
      </c>
      <c r="AD2116" s="43"/>
      <c r="AE2116" s="43"/>
      <c r="AF2116" s="43"/>
      <c r="AG2116" s="43"/>
      <c r="AH2116" s="43"/>
      <c r="AI2116" s="43"/>
      <c r="AJ2116" s="43"/>
      <c r="AK2116" s="43"/>
      <c r="AL2116" s="43"/>
      <c r="AM2116" s="43"/>
      <c r="AN2116" s="43"/>
      <c r="AO2116" s="43"/>
      <c r="AP2116" s="43"/>
      <c r="AQ2116" s="43"/>
      <c r="AR2116" s="43"/>
      <c r="AS2116" s="43"/>
      <c r="AT2116" s="43"/>
      <c r="AU2116" s="43"/>
      <c r="AV2116" s="43"/>
    </row>
    <row r="2117" ht="15.75" spans="1:48">
      <c r="A2117" s="12">
        <v>2113</v>
      </c>
      <c r="B2117" s="44">
        <v>3526</v>
      </c>
      <c r="C2117" s="45" t="s">
        <v>65</v>
      </c>
      <c r="D2117" s="46"/>
      <c r="E2117" s="47" t="s">
        <v>113</v>
      </c>
      <c r="F2117" s="48">
        <v>10.66</v>
      </c>
      <c r="G2117" s="38">
        <v>1.33</v>
      </c>
      <c r="H2117" s="39"/>
      <c r="I2117" s="39"/>
      <c r="J2117" s="39"/>
      <c r="K2117" s="39"/>
      <c r="L2117" s="39"/>
      <c r="M2117" s="39"/>
      <c r="N2117" s="39"/>
      <c r="O2117" s="39"/>
      <c r="P2117" s="39"/>
      <c r="Q2117" s="39">
        <v>1.33</v>
      </c>
      <c r="R2117" s="39"/>
      <c r="S2117" s="39"/>
      <c r="T2117" s="39"/>
      <c r="U2117" s="39"/>
      <c r="V2117" s="39"/>
      <c r="W2117" s="39"/>
      <c r="X2117" s="49" t="s">
        <v>246</v>
      </c>
      <c r="Y2117" s="50">
        <v>3571.1</v>
      </c>
      <c r="Z2117" s="51">
        <v>3350</v>
      </c>
      <c r="AA2117" s="52">
        <f t="shared" si="56"/>
        <v>0.938086303939963</v>
      </c>
      <c r="AB2117" s="12">
        <v>3350</v>
      </c>
      <c r="AC2117" s="12">
        <v>0</v>
      </c>
      <c r="AD2117" s="43"/>
      <c r="AE2117" s="43"/>
      <c r="AF2117" s="43"/>
      <c r="AG2117" s="43"/>
      <c r="AH2117" s="43"/>
      <c r="AI2117" s="43"/>
      <c r="AJ2117" s="43"/>
      <c r="AK2117" s="43"/>
      <c r="AL2117" s="43"/>
      <c r="AM2117" s="43"/>
      <c r="AN2117" s="43"/>
      <c r="AO2117" s="43"/>
      <c r="AP2117" s="43"/>
      <c r="AQ2117" s="43"/>
      <c r="AR2117" s="43"/>
      <c r="AS2117" s="43"/>
      <c r="AT2117" s="43"/>
      <c r="AU2117" s="43"/>
      <c r="AV2117" s="43"/>
    </row>
    <row r="2118" ht="15.75" spans="1:48">
      <c r="A2118" s="12">
        <v>2114</v>
      </c>
      <c r="B2118" s="44">
        <v>4031</v>
      </c>
      <c r="C2118" s="45" t="s">
        <v>64</v>
      </c>
      <c r="D2118" s="46"/>
      <c r="E2118" s="47" t="s">
        <v>113</v>
      </c>
      <c r="F2118" s="48">
        <v>5.66</v>
      </c>
      <c r="G2118" s="38">
        <v>1.33</v>
      </c>
      <c r="H2118" s="39"/>
      <c r="I2118" s="39"/>
      <c r="J2118" s="39"/>
      <c r="K2118" s="39"/>
      <c r="L2118" s="39"/>
      <c r="M2118" s="39"/>
      <c r="N2118" s="39"/>
      <c r="O2118" s="39"/>
      <c r="P2118" s="39"/>
      <c r="Q2118" s="39">
        <v>1.33</v>
      </c>
      <c r="R2118" s="39"/>
      <c r="S2118" s="39"/>
      <c r="T2118" s="39"/>
      <c r="U2118" s="39"/>
      <c r="V2118" s="39"/>
      <c r="W2118" s="39"/>
      <c r="X2118" s="49" t="s">
        <v>413</v>
      </c>
      <c r="Y2118" s="50">
        <v>679.2</v>
      </c>
      <c r="Z2118" s="51">
        <v>681</v>
      </c>
      <c r="AA2118" s="52">
        <f t="shared" si="56"/>
        <v>1.00265017667845</v>
      </c>
      <c r="AB2118" s="12">
        <v>681</v>
      </c>
      <c r="AC2118" s="12">
        <v>0</v>
      </c>
      <c r="AD2118" s="43"/>
      <c r="AE2118" s="43"/>
      <c r="AF2118" s="43"/>
      <c r="AG2118" s="43"/>
      <c r="AH2118" s="43"/>
      <c r="AI2118" s="43"/>
      <c r="AJ2118" s="43"/>
      <c r="AK2118" s="43"/>
      <c r="AL2118" s="43"/>
      <c r="AM2118" s="43"/>
      <c r="AN2118" s="43"/>
      <c r="AO2118" s="43"/>
      <c r="AP2118" s="43"/>
      <c r="AQ2118" s="43"/>
      <c r="AR2118" s="43"/>
      <c r="AS2118" s="43"/>
      <c r="AT2118" s="43"/>
      <c r="AU2118" s="43"/>
      <c r="AV2118" s="43"/>
    </row>
    <row r="2119" ht="15.75" spans="1:48">
      <c r="A2119" s="12">
        <v>2115</v>
      </c>
      <c r="B2119" s="44">
        <v>4031</v>
      </c>
      <c r="C2119" s="45" t="s">
        <v>64</v>
      </c>
      <c r="D2119" s="46"/>
      <c r="E2119" s="47" t="s">
        <v>113</v>
      </c>
      <c r="F2119" s="48">
        <v>4.5</v>
      </c>
      <c r="G2119" s="38">
        <v>0</v>
      </c>
      <c r="H2119" s="39"/>
      <c r="I2119" s="39"/>
      <c r="J2119" s="39"/>
      <c r="K2119" s="39"/>
      <c r="L2119" s="39"/>
      <c r="M2119" s="39"/>
      <c r="N2119" s="39"/>
      <c r="O2119" s="39"/>
      <c r="P2119" s="39"/>
      <c r="Q2119" s="39"/>
      <c r="R2119" s="39"/>
      <c r="S2119" s="39"/>
      <c r="T2119" s="39"/>
      <c r="U2119" s="39"/>
      <c r="V2119" s="39"/>
      <c r="W2119" s="39"/>
      <c r="X2119" s="49" t="s">
        <v>213</v>
      </c>
      <c r="Y2119" s="50">
        <v>540</v>
      </c>
      <c r="Z2119" s="51">
        <v>550</v>
      </c>
      <c r="AA2119" s="52">
        <f t="shared" si="56"/>
        <v>1.01851851851852</v>
      </c>
      <c r="AB2119" s="12">
        <v>550</v>
      </c>
      <c r="AC2119" s="12">
        <v>0</v>
      </c>
      <c r="AD2119" s="43"/>
      <c r="AE2119" s="43"/>
      <c r="AF2119" s="43"/>
      <c r="AG2119" s="43"/>
      <c r="AH2119" s="43"/>
      <c r="AI2119" s="43"/>
      <c r="AJ2119" s="43"/>
      <c r="AK2119" s="43"/>
      <c r="AL2119" s="43"/>
      <c r="AM2119" s="43"/>
      <c r="AN2119" s="43"/>
      <c r="AO2119" s="43"/>
      <c r="AP2119" s="43"/>
      <c r="AQ2119" s="43"/>
      <c r="AR2119" s="43"/>
      <c r="AS2119" s="43"/>
      <c r="AT2119" s="43"/>
      <c r="AU2119" s="43"/>
      <c r="AV2119" s="43"/>
    </row>
    <row r="2120" ht="15.75" spans="1:48">
      <c r="A2120" s="12">
        <v>2116</v>
      </c>
      <c r="B2120" s="44">
        <v>4031</v>
      </c>
      <c r="C2120" s="45" t="s">
        <v>64</v>
      </c>
      <c r="D2120" s="46"/>
      <c r="E2120" s="47" t="s">
        <v>113</v>
      </c>
      <c r="F2120" s="48">
        <v>0.5</v>
      </c>
      <c r="G2120" s="38">
        <v>0</v>
      </c>
      <c r="H2120" s="39"/>
      <c r="I2120" s="39"/>
      <c r="J2120" s="39"/>
      <c r="K2120" s="39"/>
      <c r="L2120" s="39"/>
      <c r="M2120" s="39"/>
      <c r="N2120" s="39"/>
      <c r="O2120" s="39"/>
      <c r="P2120" s="39"/>
      <c r="Q2120" s="39"/>
      <c r="R2120" s="39"/>
      <c r="S2120" s="39"/>
      <c r="T2120" s="39"/>
      <c r="U2120" s="39"/>
      <c r="V2120" s="39"/>
      <c r="W2120" s="39"/>
      <c r="X2120" s="49" t="s">
        <v>414</v>
      </c>
      <c r="Y2120" s="50">
        <v>675</v>
      </c>
      <c r="Z2120" s="51">
        <v>550</v>
      </c>
      <c r="AA2120" s="52">
        <f t="shared" si="56"/>
        <v>0.814814814814815</v>
      </c>
      <c r="AB2120" s="12">
        <v>550</v>
      </c>
      <c r="AC2120" s="12">
        <v>0</v>
      </c>
      <c r="AD2120" s="43"/>
      <c r="AE2120" s="43"/>
      <c r="AF2120" s="43"/>
      <c r="AG2120" s="43"/>
      <c r="AH2120" s="43"/>
      <c r="AI2120" s="43"/>
      <c r="AJ2120" s="43"/>
      <c r="AK2120" s="43"/>
      <c r="AL2120" s="43"/>
      <c r="AM2120" s="43"/>
      <c r="AN2120" s="43"/>
      <c r="AO2120" s="43"/>
      <c r="AP2120" s="43"/>
      <c r="AQ2120" s="43"/>
      <c r="AR2120" s="43"/>
      <c r="AS2120" s="43"/>
      <c r="AT2120" s="43"/>
      <c r="AU2120" s="43"/>
      <c r="AV2120" s="43"/>
    </row>
    <row r="2121" ht="15.75" spans="1:48">
      <c r="A2121" s="12">
        <v>2117</v>
      </c>
      <c r="B2121" s="44">
        <v>2959</v>
      </c>
      <c r="C2121" s="45" t="s">
        <v>86</v>
      </c>
      <c r="D2121" s="46" t="s">
        <v>73</v>
      </c>
      <c r="E2121" s="47" t="s">
        <v>113</v>
      </c>
      <c r="F2121" s="48">
        <v>2</v>
      </c>
      <c r="G2121" s="38">
        <v>1.5</v>
      </c>
      <c r="H2121" s="39"/>
      <c r="I2121" s="39"/>
      <c r="J2121" s="39"/>
      <c r="K2121" s="39"/>
      <c r="L2121" s="39"/>
      <c r="M2121" s="39"/>
      <c r="N2121" s="39"/>
      <c r="O2121" s="39"/>
      <c r="P2121" s="39"/>
      <c r="Q2121" s="39">
        <v>1.33</v>
      </c>
      <c r="R2121" s="39"/>
      <c r="S2121" s="39"/>
      <c r="T2121" s="39"/>
      <c r="U2121" s="39">
        <v>0.17</v>
      </c>
      <c r="V2121" s="39"/>
      <c r="W2121" s="39"/>
      <c r="X2121" s="49" t="s">
        <v>139</v>
      </c>
      <c r="Y2121" s="50">
        <v>3050</v>
      </c>
      <c r="Z2121" s="51">
        <v>3020</v>
      </c>
      <c r="AA2121" s="52">
        <f t="shared" si="56"/>
        <v>0.99016393442623</v>
      </c>
      <c r="AB2121" s="12">
        <v>3008</v>
      </c>
      <c r="AC2121" s="12">
        <v>12</v>
      </c>
      <c r="AD2121" s="43"/>
      <c r="AE2121" s="43"/>
      <c r="AF2121" s="43"/>
      <c r="AG2121" s="19">
        <v>12</v>
      </c>
      <c r="AH2121" s="43"/>
      <c r="AI2121" s="43"/>
      <c r="AJ2121" s="43"/>
      <c r="AK2121" s="43"/>
      <c r="AL2121" s="43"/>
      <c r="AM2121" s="43"/>
      <c r="AN2121" s="43"/>
      <c r="AO2121" s="43"/>
      <c r="AP2121" s="43"/>
      <c r="AQ2121" s="43"/>
      <c r="AR2121" s="43"/>
      <c r="AS2121" s="43"/>
      <c r="AT2121" s="43"/>
      <c r="AU2121" s="43"/>
      <c r="AV2121" s="43"/>
    </row>
    <row r="2122" ht="15.75" spans="1:48">
      <c r="A2122" s="12">
        <v>2118</v>
      </c>
      <c r="B2122" s="44">
        <v>2959</v>
      </c>
      <c r="C2122" s="45" t="s">
        <v>86</v>
      </c>
      <c r="D2122" s="46"/>
      <c r="E2122" s="47" t="s">
        <v>113</v>
      </c>
      <c r="F2122" s="48">
        <v>8.5</v>
      </c>
      <c r="G2122" s="38">
        <v>0</v>
      </c>
      <c r="H2122" s="39"/>
      <c r="I2122" s="39"/>
      <c r="J2122" s="39"/>
      <c r="K2122" s="39"/>
      <c r="L2122" s="39"/>
      <c r="M2122" s="39"/>
      <c r="N2122" s="39"/>
      <c r="O2122" s="39"/>
      <c r="P2122" s="39"/>
      <c r="Q2122" s="39"/>
      <c r="R2122" s="39"/>
      <c r="S2122" s="39"/>
      <c r="T2122" s="39"/>
      <c r="U2122" s="39"/>
      <c r="V2122" s="39"/>
      <c r="W2122" s="39"/>
      <c r="X2122" s="49" t="s">
        <v>428</v>
      </c>
      <c r="Y2122" s="50">
        <v>0</v>
      </c>
      <c r="Z2122" s="51"/>
      <c r="AA2122" s="52">
        <f>IFERROR(Z2122/Y2122,0)</f>
        <v>0</v>
      </c>
      <c r="AB2122" s="12">
        <v>0</v>
      </c>
      <c r="AC2122" s="12">
        <v>0</v>
      </c>
      <c r="AD2122" s="43"/>
      <c r="AE2122" s="43"/>
      <c r="AF2122" s="43"/>
      <c r="AG2122" s="43"/>
      <c r="AH2122" s="43"/>
      <c r="AI2122" s="43"/>
      <c r="AJ2122" s="43"/>
      <c r="AK2122" s="43"/>
      <c r="AL2122" s="43"/>
      <c r="AM2122" s="43"/>
      <c r="AN2122" s="43"/>
      <c r="AO2122" s="43"/>
      <c r="AP2122" s="43"/>
      <c r="AQ2122" s="43"/>
      <c r="AR2122" s="43"/>
      <c r="AS2122" s="43"/>
      <c r="AT2122" s="43"/>
      <c r="AU2122" s="43"/>
      <c r="AV2122" s="43"/>
    </row>
    <row r="2123" ht="15.75" spans="1:48">
      <c r="A2123" s="12">
        <v>2119</v>
      </c>
      <c r="B2123" s="44">
        <v>4185</v>
      </c>
      <c r="C2123" s="45" t="s">
        <v>72</v>
      </c>
      <c r="D2123" s="46" t="s">
        <v>76</v>
      </c>
      <c r="E2123" s="47" t="s">
        <v>113</v>
      </c>
      <c r="F2123" s="48">
        <v>10.17</v>
      </c>
      <c r="G2123" s="38">
        <v>1.83</v>
      </c>
      <c r="H2123" s="39"/>
      <c r="I2123" s="39"/>
      <c r="J2123" s="39"/>
      <c r="K2123" s="39">
        <v>0.17</v>
      </c>
      <c r="L2123" s="39"/>
      <c r="M2123" s="39"/>
      <c r="N2123" s="39"/>
      <c r="O2123" s="39"/>
      <c r="P2123" s="39"/>
      <c r="Q2123" s="39">
        <v>1.33</v>
      </c>
      <c r="R2123" s="39"/>
      <c r="S2123" s="39"/>
      <c r="T2123" s="39"/>
      <c r="U2123" s="39">
        <v>0.33</v>
      </c>
      <c r="V2123" s="39"/>
      <c r="W2123" s="39"/>
      <c r="X2123" s="49" t="s">
        <v>79</v>
      </c>
      <c r="Y2123" s="50">
        <v>67732.2</v>
      </c>
      <c r="Z2123" s="51">
        <v>58664</v>
      </c>
      <c r="AA2123" s="52">
        <f t="shared" ref="AA2123:AA2149" si="57">IFERROR(Z2123/Y2123,0)</f>
        <v>0.866116854317444</v>
      </c>
      <c r="AB2123" s="12">
        <v>58608</v>
      </c>
      <c r="AC2123" s="12">
        <v>56</v>
      </c>
      <c r="AD2123" s="43"/>
      <c r="AE2123" s="43"/>
      <c r="AF2123" s="43"/>
      <c r="AG2123" s="19">
        <v>56</v>
      </c>
      <c r="AH2123" s="43"/>
      <c r="AI2123" s="43"/>
      <c r="AJ2123" s="43"/>
      <c r="AK2123" s="43"/>
      <c r="AL2123" s="43"/>
      <c r="AM2123" s="43"/>
      <c r="AN2123" s="43"/>
      <c r="AO2123" s="43"/>
      <c r="AP2123" s="43"/>
      <c r="AQ2123" s="43"/>
      <c r="AR2123" s="43"/>
      <c r="AS2123" s="43"/>
      <c r="AT2123" s="43"/>
      <c r="AU2123" s="43"/>
      <c r="AV2123" s="43"/>
    </row>
    <row r="2124" ht="15.75" spans="1:48">
      <c r="A2124" s="12">
        <v>2120</v>
      </c>
      <c r="B2124" s="44">
        <v>4185</v>
      </c>
      <c r="C2124" s="45" t="s">
        <v>72</v>
      </c>
      <c r="D2124" s="46" t="s">
        <v>78</v>
      </c>
      <c r="E2124" s="47" t="s">
        <v>113</v>
      </c>
      <c r="F2124" s="48">
        <v>10</v>
      </c>
      <c r="G2124" s="38">
        <v>1.99</v>
      </c>
      <c r="H2124" s="39"/>
      <c r="I2124" s="39"/>
      <c r="J2124" s="39"/>
      <c r="K2124" s="39">
        <v>0.33</v>
      </c>
      <c r="L2124" s="39"/>
      <c r="M2124" s="39"/>
      <c r="N2124" s="39"/>
      <c r="O2124" s="39"/>
      <c r="P2124" s="39"/>
      <c r="Q2124" s="39">
        <v>1.33</v>
      </c>
      <c r="R2124" s="39"/>
      <c r="S2124" s="39"/>
      <c r="T2124" s="39"/>
      <c r="U2124" s="39">
        <v>0.33</v>
      </c>
      <c r="V2124" s="39"/>
      <c r="W2124" s="39"/>
      <c r="X2124" s="49" t="s">
        <v>79</v>
      </c>
      <c r="Y2124" s="50">
        <v>66600</v>
      </c>
      <c r="Z2124" s="51">
        <v>58168</v>
      </c>
      <c r="AA2124" s="52">
        <f t="shared" si="57"/>
        <v>0.873393393393393</v>
      </c>
      <c r="AB2124" s="12">
        <v>58096</v>
      </c>
      <c r="AC2124" s="12">
        <v>72</v>
      </c>
      <c r="AD2124" s="43"/>
      <c r="AE2124" s="43"/>
      <c r="AF2124" s="43"/>
      <c r="AG2124" s="19">
        <v>72</v>
      </c>
      <c r="AH2124" s="43"/>
      <c r="AI2124" s="43"/>
      <c r="AJ2124" s="43"/>
      <c r="AK2124" s="43"/>
      <c r="AL2124" s="43"/>
      <c r="AM2124" s="43"/>
      <c r="AN2124" s="43"/>
      <c r="AO2124" s="43"/>
      <c r="AP2124" s="43"/>
      <c r="AQ2124" s="43"/>
      <c r="AR2124" s="43"/>
      <c r="AS2124" s="43"/>
      <c r="AT2124" s="43"/>
      <c r="AU2124" s="43"/>
      <c r="AV2124" s="43"/>
    </row>
    <row r="2125" ht="15.75" spans="1:48">
      <c r="A2125" s="12">
        <v>2121</v>
      </c>
      <c r="B2125" s="44">
        <v>4185</v>
      </c>
      <c r="C2125" s="45" t="s">
        <v>72</v>
      </c>
      <c r="D2125" s="46" t="s">
        <v>207</v>
      </c>
      <c r="E2125" s="47" t="s">
        <v>113</v>
      </c>
      <c r="F2125" s="48">
        <v>10.33</v>
      </c>
      <c r="G2125" s="38">
        <v>1.66</v>
      </c>
      <c r="H2125" s="39"/>
      <c r="I2125" s="39"/>
      <c r="J2125" s="39"/>
      <c r="K2125" s="39"/>
      <c r="L2125" s="39"/>
      <c r="M2125" s="39"/>
      <c r="N2125" s="39"/>
      <c r="O2125" s="39"/>
      <c r="P2125" s="39"/>
      <c r="Q2125" s="39">
        <v>1.33</v>
      </c>
      <c r="R2125" s="39"/>
      <c r="S2125" s="39"/>
      <c r="T2125" s="39"/>
      <c r="U2125" s="39">
        <v>0.33</v>
      </c>
      <c r="V2125" s="39"/>
      <c r="W2125" s="39"/>
      <c r="X2125" s="49" t="s">
        <v>79</v>
      </c>
      <c r="Y2125" s="50">
        <v>68797.8</v>
      </c>
      <c r="Z2125" s="51">
        <v>60192</v>
      </c>
      <c r="AA2125" s="52">
        <f t="shared" si="57"/>
        <v>0.874911697757777</v>
      </c>
      <c r="AB2125" s="12">
        <v>60096</v>
      </c>
      <c r="AC2125" s="12">
        <v>96</v>
      </c>
      <c r="AD2125" s="43"/>
      <c r="AE2125" s="43"/>
      <c r="AF2125" s="43"/>
      <c r="AG2125" s="19">
        <v>96</v>
      </c>
      <c r="AH2125" s="43"/>
      <c r="AI2125" s="43"/>
      <c r="AJ2125" s="43"/>
      <c r="AK2125" s="43"/>
      <c r="AL2125" s="43"/>
      <c r="AM2125" s="43"/>
      <c r="AN2125" s="43"/>
      <c r="AO2125" s="43"/>
      <c r="AP2125" s="43"/>
      <c r="AQ2125" s="43"/>
      <c r="AR2125" s="43"/>
      <c r="AS2125" s="43"/>
      <c r="AT2125" s="43"/>
      <c r="AU2125" s="43"/>
      <c r="AV2125" s="43"/>
    </row>
    <row r="2126" ht="15.75" spans="1:48">
      <c r="A2126" s="12">
        <v>2122</v>
      </c>
      <c r="B2126" s="44">
        <v>4344</v>
      </c>
      <c r="C2126" s="45" t="s">
        <v>85</v>
      </c>
      <c r="D2126" s="46" t="s">
        <v>73</v>
      </c>
      <c r="E2126" s="47" t="s">
        <v>113</v>
      </c>
      <c r="F2126" s="48">
        <v>3.83</v>
      </c>
      <c r="G2126" s="38">
        <v>0.17</v>
      </c>
      <c r="H2126" s="39"/>
      <c r="I2126" s="39"/>
      <c r="J2126" s="39"/>
      <c r="K2126" s="39"/>
      <c r="L2126" s="39"/>
      <c r="M2126" s="39"/>
      <c r="N2126" s="39"/>
      <c r="O2126" s="39"/>
      <c r="P2126" s="39"/>
      <c r="Q2126" s="39"/>
      <c r="R2126" s="39"/>
      <c r="S2126" s="39"/>
      <c r="T2126" s="39"/>
      <c r="U2126" s="39">
        <v>0.17</v>
      </c>
      <c r="V2126" s="39"/>
      <c r="W2126" s="39"/>
      <c r="X2126" s="49" t="s">
        <v>139</v>
      </c>
      <c r="Y2126" s="50">
        <v>5840.75</v>
      </c>
      <c r="Z2126" s="51">
        <v>6032</v>
      </c>
      <c r="AA2126" s="52">
        <f t="shared" si="57"/>
        <v>1.03274408252365</v>
      </c>
      <c r="AB2126" s="12">
        <v>6032</v>
      </c>
      <c r="AC2126" s="12">
        <v>0</v>
      </c>
      <c r="AD2126" s="43"/>
      <c r="AE2126" s="43"/>
      <c r="AF2126" s="43"/>
      <c r="AG2126" s="43"/>
      <c r="AH2126" s="43"/>
      <c r="AI2126" s="43"/>
      <c r="AJ2126" s="43"/>
      <c r="AK2126" s="43"/>
      <c r="AL2126" s="43"/>
      <c r="AM2126" s="43"/>
      <c r="AN2126" s="43"/>
      <c r="AO2126" s="43"/>
      <c r="AP2126" s="43"/>
      <c r="AQ2126" s="43"/>
      <c r="AR2126" s="43"/>
      <c r="AS2126" s="43"/>
      <c r="AT2126" s="43"/>
      <c r="AU2126" s="43"/>
      <c r="AV2126" s="43"/>
    </row>
    <row r="2127" ht="15.75" spans="1:48">
      <c r="A2127" s="12">
        <v>2123</v>
      </c>
      <c r="B2127" s="44">
        <v>4344</v>
      </c>
      <c r="C2127" s="45" t="s">
        <v>85</v>
      </c>
      <c r="D2127" s="46" t="s">
        <v>138</v>
      </c>
      <c r="E2127" s="47" t="s">
        <v>113</v>
      </c>
      <c r="F2127" s="48">
        <v>2.67</v>
      </c>
      <c r="G2127" s="38">
        <v>0.17</v>
      </c>
      <c r="H2127" s="39"/>
      <c r="I2127" s="39"/>
      <c r="J2127" s="39"/>
      <c r="K2127" s="39"/>
      <c r="L2127" s="39"/>
      <c r="M2127" s="39"/>
      <c r="N2127" s="39"/>
      <c r="O2127" s="39"/>
      <c r="P2127" s="39"/>
      <c r="Q2127" s="39"/>
      <c r="R2127" s="39"/>
      <c r="S2127" s="39"/>
      <c r="T2127" s="39"/>
      <c r="U2127" s="39">
        <v>0.17</v>
      </c>
      <c r="V2127" s="39"/>
      <c r="W2127" s="39"/>
      <c r="X2127" s="49" t="s">
        <v>74</v>
      </c>
      <c r="Y2127" s="50">
        <v>4338.75</v>
      </c>
      <c r="Z2127" s="51">
        <v>4100</v>
      </c>
      <c r="AA2127" s="52">
        <f t="shared" si="57"/>
        <v>0.944972630365889</v>
      </c>
      <c r="AB2127" s="12">
        <v>4000</v>
      </c>
      <c r="AC2127" s="12">
        <v>100</v>
      </c>
      <c r="AD2127" s="43"/>
      <c r="AE2127" s="43"/>
      <c r="AF2127" s="43"/>
      <c r="AG2127" s="19">
        <v>100</v>
      </c>
      <c r="AH2127" s="43"/>
      <c r="AI2127" s="43"/>
      <c r="AJ2127" s="43"/>
      <c r="AK2127" s="43"/>
      <c r="AL2127" s="43"/>
      <c r="AM2127" s="43"/>
      <c r="AN2127" s="43"/>
      <c r="AO2127" s="43"/>
      <c r="AP2127" s="43"/>
      <c r="AQ2127" s="43"/>
      <c r="AR2127" s="43"/>
      <c r="AS2127" s="43"/>
      <c r="AT2127" s="43"/>
      <c r="AU2127" s="43"/>
      <c r="AV2127" s="43"/>
    </row>
    <row r="2128" ht="15.75" spans="1:48">
      <c r="A2128" s="12">
        <v>2124</v>
      </c>
      <c r="B2128" s="44">
        <v>4344</v>
      </c>
      <c r="C2128" s="45" t="s">
        <v>85</v>
      </c>
      <c r="D2128" s="46" t="s">
        <v>81</v>
      </c>
      <c r="E2128" s="47" t="s">
        <v>113</v>
      </c>
      <c r="F2128" s="48">
        <v>3.67</v>
      </c>
      <c r="G2128" s="38">
        <v>1.5</v>
      </c>
      <c r="H2128" s="39"/>
      <c r="I2128" s="39"/>
      <c r="J2128" s="39"/>
      <c r="K2128" s="39"/>
      <c r="L2128" s="39"/>
      <c r="M2128" s="39"/>
      <c r="N2128" s="39"/>
      <c r="O2128" s="39"/>
      <c r="P2128" s="39"/>
      <c r="Q2128" s="39">
        <v>1.33</v>
      </c>
      <c r="R2128" s="39"/>
      <c r="S2128" s="39"/>
      <c r="T2128" s="39"/>
      <c r="U2128" s="39">
        <v>0.17</v>
      </c>
      <c r="V2128" s="39"/>
      <c r="W2128" s="39"/>
      <c r="X2128" s="49" t="s">
        <v>208</v>
      </c>
      <c r="Y2128" s="50">
        <v>5596.75</v>
      </c>
      <c r="Z2128" s="51">
        <v>5232</v>
      </c>
      <c r="AA2128" s="52">
        <f t="shared" si="57"/>
        <v>0.934828248537097</v>
      </c>
      <c r="AB2128" s="12">
        <v>5216</v>
      </c>
      <c r="AC2128" s="12">
        <v>16</v>
      </c>
      <c r="AD2128" s="43"/>
      <c r="AE2128" s="43"/>
      <c r="AF2128" s="43"/>
      <c r="AG2128" s="19">
        <v>16</v>
      </c>
      <c r="AH2128" s="43"/>
      <c r="AI2128" s="43"/>
      <c r="AJ2128" s="43"/>
      <c r="AK2128" s="43"/>
      <c r="AL2128" s="43"/>
      <c r="AM2128" s="43"/>
      <c r="AN2128" s="43"/>
      <c r="AO2128" s="43"/>
      <c r="AP2128" s="43"/>
      <c r="AQ2128" s="43"/>
      <c r="AR2128" s="43"/>
      <c r="AS2128" s="43"/>
      <c r="AT2128" s="43"/>
      <c r="AU2128" s="43"/>
      <c r="AV2128" s="43"/>
    </row>
    <row r="2129" ht="15.75" spans="1:48">
      <c r="A2129" s="12">
        <v>2125</v>
      </c>
      <c r="B2129" s="44">
        <v>4478</v>
      </c>
      <c r="C2129" s="45" t="s">
        <v>128</v>
      </c>
      <c r="D2129" s="46" t="s">
        <v>129</v>
      </c>
      <c r="E2129" s="47" t="s">
        <v>113</v>
      </c>
      <c r="F2129" s="48">
        <v>1.83</v>
      </c>
      <c r="G2129" s="38">
        <v>1.83</v>
      </c>
      <c r="H2129" s="39"/>
      <c r="I2129" s="39"/>
      <c r="J2129" s="39"/>
      <c r="K2129" s="39">
        <v>0.33</v>
      </c>
      <c r="L2129" s="39"/>
      <c r="M2129" s="39"/>
      <c r="N2129" s="39"/>
      <c r="O2129" s="39"/>
      <c r="P2129" s="39"/>
      <c r="Q2129" s="39">
        <v>1.33</v>
      </c>
      <c r="R2129" s="39"/>
      <c r="S2129" s="39"/>
      <c r="T2129" s="39"/>
      <c r="U2129" s="39">
        <v>0.17</v>
      </c>
      <c r="V2129" s="39"/>
      <c r="W2129" s="39"/>
      <c r="X2129" s="49" t="s">
        <v>220</v>
      </c>
      <c r="Y2129" s="50">
        <v>3294</v>
      </c>
      <c r="Z2129" s="51">
        <v>3060</v>
      </c>
      <c r="AA2129" s="52">
        <f t="shared" si="57"/>
        <v>0.92896174863388</v>
      </c>
      <c r="AB2129" s="12">
        <v>3060</v>
      </c>
      <c r="AC2129" s="12">
        <v>0</v>
      </c>
      <c r="AD2129" s="43"/>
      <c r="AE2129" s="43"/>
      <c r="AF2129" s="43"/>
      <c r="AG2129" s="43"/>
      <c r="AH2129" s="43"/>
      <c r="AI2129" s="43"/>
      <c r="AJ2129" s="43"/>
      <c r="AK2129" s="43"/>
      <c r="AL2129" s="43"/>
      <c r="AM2129" s="43"/>
      <c r="AN2129" s="43"/>
      <c r="AO2129" s="43"/>
      <c r="AP2129" s="43"/>
      <c r="AQ2129" s="43"/>
      <c r="AR2129" s="43"/>
      <c r="AS2129" s="43"/>
      <c r="AT2129" s="43"/>
      <c r="AU2129" s="43"/>
      <c r="AV2129" s="43"/>
    </row>
    <row r="2130" ht="15.75" spans="1:48">
      <c r="A2130" s="12">
        <v>2126</v>
      </c>
      <c r="B2130" s="44">
        <v>4478</v>
      </c>
      <c r="C2130" s="45" t="s">
        <v>128</v>
      </c>
      <c r="D2130" s="46"/>
      <c r="E2130" s="47" t="s">
        <v>113</v>
      </c>
      <c r="F2130" s="48">
        <v>8.33</v>
      </c>
      <c r="G2130" s="38">
        <v>0</v>
      </c>
      <c r="H2130" s="39"/>
      <c r="I2130" s="39"/>
      <c r="J2130" s="39"/>
      <c r="K2130" s="39"/>
      <c r="L2130" s="39"/>
      <c r="M2130" s="39"/>
      <c r="N2130" s="39"/>
      <c r="O2130" s="39"/>
      <c r="P2130" s="39"/>
      <c r="Q2130" s="39"/>
      <c r="R2130" s="39"/>
      <c r="S2130" s="39"/>
      <c r="T2130" s="39"/>
      <c r="U2130" s="39"/>
      <c r="V2130" s="39"/>
      <c r="W2130" s="39"/>
      <c r="X2130" s="49" t="s">
        <v>311</v>
      </c>
      <c r="Y2130" s="50">
        <v>16660</v>
      </c>
      <c r="Z2130" s="51">
        <v>16000</v>
      </c>
      <c r="AA2130" s="52">
        <f t="shared" si="57"/>
        <v>0.960384153661465</v>
      </c>
      <c r="AB2130" s="12">
        <v>16000</v>
      </c>
      <c r="AC2130" s="12">
        <v>0</v>
      </c>
      <c r="AD2130" s="43"/>
      <c r="AE2130" s="43"/>
      <c r="AF2130" s="43"/>
      <c r="AG2130" s="43"/>
      <c r="AH2130" s="43"/>
      <c r="AI2130" s="43"/>
      <c r="AJ2130" s="43"/>
      <c r="AK2130" s="43"/>
      <c r="AL2130" s="43"/>
      <c r="AM2130" s="43"/>
      <c r="AN2130" s="43"/>
      <c r="AO2130" s="43"/>
      <c r="AP2130" s="43"/>
      <c r="AQ2130" s="43"/>
      <c r="AR2130" s="43"/>
      <c r="AS2130" s="43"/>
      <c r="AT2130" s="43"/>
      <c r="AU2130" s="43"/>
      <c r="AV2130" s="43"/>
    </row>
    <row r="2131" ht="15.75" spans="1:48">
      <c r="A2131" s="12">
        <v>2127</v>
      </c>
      <c r="B2131" s="44" t="s">
        <v>211</v>
      </c>
      <c r="C2131" s="45" t="s">
        <v>176</v>
      </c>
      <c r="D2131" s="46">
        <v>5</v>
      </c>
      <c r="E2131" s="47" t="s">
        <v>113</v>
      </c>
      <c r="F2131" s="48">
        <v>5</v>
      </c>
      <c r="G2131" s="38">
        <v>0</v>
      </c>
      <c r="H2131" s="39"/>
      <c r="I2131" s="39"/>
      <c r="J2131" s="39"/>
      <c r="K2131" s="39"/>
      <c r="L2131" s="39"/>
      <c r="M2131" s="39"/>
      <c r="N2131" s="39"/>
      <c r="O2131" s="39"/>
      <c r="P2131" s="39"/>
      <c r="Q2131" s="39"/>
      <c r="R2131" s="39"/>
      <c r="S2131" s="39"/>
      <c r="T2131" s="39"/>
      <c r="U2131" s="39"/>
      <c r="V2131" s="39"/>
      <c r="W2131" s="39"/>
      <c r="X2131" s="49">
        <v>5770</v>
      </c>
      <c r="Y2131" s="50">
        <v>3025</v>
      </c>
      <c r="Z2131" s="51">
        <v>3000</v>
      </c>
      <c r="AA2131" s="52">
        <f t="shared" si="57"/>
        <v>0.991735537190083</v>
      </c>
      <c r="AB2131" s="12">
        <v>3000</v>
      </c>
      <c r="AC2131" s="12">
        <v>0</v>
      </c>
      <c r="AD2131" s="43"/>
      <c r="AE2131" s="43"/>
      <c r="AF2131" s="43"/>
      <c r="AG2131" s="43"/>
      <c r="AH2131" s="43"/>
      <c r="AI2131" s="43"/>
      <c r="AJ2131" s="43"/>
      <c r="AK2131" s="43"/>
      <c r="AL2131" s="43"/>
      <c r="AM2131" s="43"/>
      <c r="AN2131" s="43"/>
      <c r="AO2131" s="43"/>
      <c r="AP2131" s="43"/>
      <c r="AQ2131" s="43"/>
      <c r="AR2131" s="43"/>
      <c r="AS2131" s="43"/>
      <c r="AT2131" s="43"/>
      <c r="AU2131" s="43"/>
      <c r="AV2131" s="43"/>
    </row>
    <row r="2132" ht="15.75" spans="1:48">
      <c r="A2132" s="12">
        <v>2128</v>
      </c>
      <c r="B2132" s="44" t="s">
        <v>187</v>
      </c>
      <c r="C2132" s="45" t="s">
        <v>188</v>
      </c>
      <c r="D2132" s="46">
        <v>6</v>
      </c>
      <c r="E2132" s="47" t="s">
        <v>113</v>
      </c>
      <c r="F2132" s="48">
        <v>3</v>
      </c>
      <c r="G2132" s="38">
        <v>0</v>
      </c>
      <c r="H2132" s="39"/>
      <c r="I2132" s="39"/>
      <c r="J2132" s="39"/>
      <c r="K2132" s="39"/>
      <c r="L2132" s="39"/>
      <c r="M2132" s="39"/>
      <c r="N2132" s="39"/>
      <c r="O2132" s="39"/>
      <c r="P2132" s="39"/>
      <c r="Q2132" s="39"/>
      <c r="R2132" s="39"/>
      <c r="S2132" s="39"/>
      <c r="T2132" s="39"/>
      <c r="U2132" s="39"/>
      <c r="V2132" s="39"/>
      <c r="W2132" s="39"/>
      <c r="X2132" s="49">
        <v>5770</v>
      </c>
      <c r="Y2132" s="50">
        <v>1815</v>
      </c>
      <c r="Z2132" s="51">
        <v>1920</v>
      </c>
      <c r="AA2132" s="52">
        <f t="shared" si="57"/>
        <v>1.05785123966942</v>
      </c>
      <c r="AB2132" s="12">
        <v>1920</v>
      </c>
      <c r="AC2132" s="12">
        <v>0</v>
      </c>
      <c r="AD2132" s="43"/>
      <c r="AE2132" s="43"/>
      <c r="AF2132" s="43"/>
      <c r="AG2132" s="43"/>
      <c r="AH2132" s="43"/>
      <c r="AI2132" s="43"/>
      <c r="AJ2132" s="43"/>
      <c r="AK2132" s="43"/>
      <c r="AL2132" s="43"/>
      <c r="AM2132" s="43"/>
      <c r="AN2132" s="43"/>
      <c r="AO2132" s="43"/>
      <c r="AP2132" s="43"/>
      <c r="AQ2132" s="43"/>
      <c r="AR2132" s="43"/>
      <c r="AS2132" s="43"/>
      <c r="AT2132" s="43"/>
      <c r="AU2132" s="43"/>
      <c r="AV2132" s="43"/>
    </row>
    <row r="2133" ht="15.75" spans="1:48">
      <c r="A2133" s="12">
        <v>2129</v>
      </c>
      <c r="B2133" s="53">
        <v>4382</v>
      </c>
      <c r="C2133" s="45" t="s">
        <v>173</v>
      </c>
      <c r="D2133" s="46">
        <v>8</v>
      </c>
      <c r="E2133" s="47" t="s">
        <v>113</v>
      </c>
      <c r="F2133" s="48">
        <v>7.67</v>
      </c>
      <c r="G2133" s="38">
        <v>1.83</v>
      </c>
      <c r="H2133" s="39"/>
      <c r="I2133" s="39"/>
      <c r="J2133" s="39"/>
      <c r="K2133" s="39"/>
      <c r="L2133" s="39"/>
      <c r="M2133" s="39"/>
      <c r="N2133" s="39"/>
      <c r="O2133" s="39"/>
      <c r="P2133" s="39"/>
      <c r="Q2133" s="39">
        <v>1.33</v>
      </c>
      <c r="R2133" s="39"/>
      <c r="S2133" s="39"/>
      <c r="T2133" s="39">
        <v>0.33</v>
      </c>
      <c r="U2133" s="39">
        <v>0.17</v>
      </c>
      <c r="V2133" s="39"/>
      <c r="W2133" s="39"/>
      <c r="X2133" s="49">
        <v>6270</v>
      </c>
      <c r="Y2133" s="50">
        <v>4640.35</v>
      </c>
      <c r="Z2133" s="51">
        <v>4732</v>
      </c>
      <c r="AA2133" s="52">
        <f t="shared" si="57"/>
        <v>1.01975066535929</v>
      </c>
      <c r="AB2133" s="12">
        <v>4530</v>
      </c>
      <c r="AC2133" s="12">
        <v>202</v>
      </c>
      <c r="AD2133" s="19">
        <v>202</v>
      </c>
      <c r="AE2133" s="43"/>
      <c r="AF2133" s="43"/>
      <c r="AG2133" s="43"/>
      <c r="AH2133" s="43"/>
      <c r="AI2133" s="43"/>
      <c r="AJ2133" s="43"/>
      <c r="AK2133" s="43"/>
      <c r="AL2133" s="43"/>
      <c r="AM2133" s="43"/>
      <c r="AN2133" s="43"/>
      <c r="AO2133" s="43"/>
      <c r="AP2133" s="43"/>
      <c r="AQ2133" s="43"/>
      <c r="AR2133" s="43"/>
      <c r="AS2133" s="43"/>
      <c r="AT2133" s="43"/>
      <c r="AU2133" s="43"/>
      <c r="AV2133" s="43"/>
    </row>
    <row r="2134" ht="15.75" spans="1:48">
      <c r="A2134" s="12">
        <v>2130</v>
      </c>
      <c r="B2134" s="44">
        <v>4382</v>
      </c>
      <c r="C2134" s="45" t="s">
        <v>173</v>
      </c>
      <c r="D2134" s="46">
        <v>8</v>
      </c>
      <c r="E2134" s="47" t="s">
        <v>113</v>
      </c>
      <c r="F2134" s="48">
        <v>0.83</v>
      </c>
      <c r="G2134" s="38">
        <v>0</v>
      </c>
      <c r="H2134" s="39"/>
      <c r="I2134" s="39"/>
      <c r="J2134" s="39"/>
      <c r="K2134" s="39"/>
      <c r="L2134" s="39"/>
      <c r="M2134" s="39"/>
      <c r="N2134" s="39"/>
      <c r="O2134" s="39"/>
      <c r="P2134" s="39"/>
      <c r="Q2134" s="39"/>
      <c r="R2134" s="39"/>
      <c r="S2134" s="39"/>
      <c r="T2134" s="39"/>
      <c r="U2134" s="39"/>
      <c r="V2134" s="39"/>
      <c r="W2134" s="39"/>
      <c r="X2134" s="49">
        <v>9477</v>
      </c>
      <c r="Y2134" s="50">
        <v>502.15</v>
      </c>
      <c r="Z2134" s="51">
        <v>509</v>
      </c>
      <c r="AA2134" s="52">
        <f t="shared" si="57"/>
        <v>1.01364134222842</v>
      </c>
      <c r="AB2134" s="12">
        <v>509</v>
      </c>
      <c r="AC2134" s="12">
        <v>0</v>
      </c>
      <c r="AD2134" s="43"/>
      <c r="AE2134" s="43"/>
      <c r="AF2134" s="43"/>
      <c r="AG2134" s="43"/>
      <c r="AH2134" s="43"/>
      <c r="AI2134" s="43"/>
      <c r="AJ2134" s="43"/>
      <c r="AK2134" s="43"/>
      <c r="AL2134" s="43"/>
      <c r="AM2134" s="43"/>
      <c r="AN2134" s="43"/>
      <c r="AO2134" s="43"/>
      <c r="AP2134" s="43"/>
      <c r="AQ2134" s="43"/>
      <c r="AR2134" s="43"/>
      <c r="AS2134" s="43"/>
      <c r="AT2134" s="43"/>
      <c r="AU2134" s="43"/>
      <c r="AV2134" s="43"/>
    </row>
    <row r="2135" ht="15.75" spans="1:48">
      <c r="A2135" s="12">
        <v>2131</v>
      </c>
      <c r="B2135" s="44">
        <v>4310</v>
      </c>
      <c r="C2135" s="45" t="s">
        <v>99</v>
      </c>
      <c r="D2135" s="46">
        <v>6</v>
      </c>
      <c r="E2135" s="47" t="s">
        <v>113</v>
      </c>
      <c r="F2135" s="48">
        <v>4.33</v>
      </c>
      <c r="G2135" s="38">
        <v>2.17</v>
      </c>
      <c r="H2135" s="39"/>
      <c r="I2135" s="39"/>
      <c r="J2135" s="39"/>
      <c r="K2135" s="39"/>
      <c r="L2135" s="39"/>
      <c r="M2135" s="39"/>
      <c r="N2135" s="39"/>
      <c r="O2135" s="39"/>
      <c r="P2135" s="39"/>
      <c r="Q2135" s="39">
        <v>1.33</v>
      </c>
      <c r="R2135" s="39"/>
      <c r="S2135" s="39"/>
      <c r="T2135" s="39">
        <v>0.67</v>
      </c>
      <c r="U2135" s="39">
        <v>0.17</v>
      </c>
      <c r="V2135" s="39"/>
      <c r="W2135" s="39"/>
      <c r="X2135" s="49">
        <v>5770</v>
      </c>
      <c r="Y2135" s="50">
        <v>2619.65</v>
      </c>
      <c r="Z2135" s="51">
        <v>2400</v>
      </c>
      <c r="AA2135" s="52">
        <f t="shared" si="57"/>
        <v>0.916152921191762</v>
      </c>
      <c r="AB2135" s="12">
        <v>2400</v>
      </c>
      <c r="AC2135" s="12">
        <v>0</v>
      </c>
      <c r="AD2135" s="43"/>
      <c r="AE2135" s="43"/>
      <c r="AF2135" s="43"/>
      <c r="AG2135" s="43"/>
      <c r="AH2135" s="43"/>
      <c r="AI2135" s="43"/>
      <c r="AJ2135" s="43"/>
      <c r="AK2135" s="43"/>
      <c r="AL2135" s="43"/>
      <c r="AM2135" s="43"/>
      <c r="AN2135" s="43"/>
      <c r="AO2135" s="43"/>
      <c r="AP2135" s="43"/>
      <c r="AQ2135" s="43"/>
      <c r="AR2135" s="43"/>
      <c r="AS2135" s="43"/>
      <c r="AT2135" s="43"/>
      <c r="AU2135" s="43"/>
      <c r="AV2135" s="43"/>
    </row>
    <row r="2136" ht="15.75" spans="1:48">
      <c r="A2136" s="12">
        <v>2132</v>
      </c>
      <c r="B2136" s="44">
        <v>3268</v>
      </c>
      <c r="C2136" s="45" t="s">
        <v>80</v>
      </c>
      <c r="D2136" s="46"/>
      <c r="E2136" s="47" t="s">
        <v>113</v>
      </c>
      <c r="F2136" s="48">
        <v>10.33</v>
      </c>
      <c r="G2136" s="38">
        <v>1.67</v>
      </c>
      <c r="H2136" s="39"/>
      <c r="I2136" s="39"/>
      <c r="J2136" s="39"/>
      <c r="K2136" s="39">
        <v>0.17</v>
      </c>
      <c r="L2136" s="39"/>
      <c r="M2136" s="39"/>
      <c r="N2136" s="39"/>
      <c r="O2136" s="39"/>
      <c r="P2136" s="39"/>
      <c r="Q2136" s="39">
        <v>1.33</v>
      </c>
      <c r="R2136" s="39"/>
      <c r="S2136" s="39"/>
      <c r="T2136" s="39"/>
      <c r="U2136" s="39">
        <v>0.17</v>
      </c>
      <c r="V2136" s="39"/>
      <c r="W2136" s="39"/>
      <c r="X2136" s="49">
        <v>5092</v>
      </c>
      <c r="Y2136" s="50">
        <v>371.88</v>
      </c>
      <c r="Z2136" s="51">
        <v>310</v>
      </c>
      <c r="AA2136" s="52">
        <f t="shared" si="57"/>
        <v>0.833602237280843</v>
      </c>
      <c r="AB2136" s="12">
        <v>77</v>
      </c>
      <c r="AC2136" s="12">
        <v>233</v>
      </c>
      <c r="AD2136" s="19">
        <v>233</v>
      </c>
      <c r="AE2136" s="43"/>
      <c r="AF2136" s="43"/>
      <c r="AG2136" s="43"/>
      <c r="AH2136" s="43"/>
      <c r="AI2136" s="43"/>
      <c r="AJ2136" s="43"/>
      <c r="AK2136" s="43"/>
      <c r="AL2136" s="43"/>
      <c r="AM2136" s="43"/>
      <c r="AN2136" s="43"/>
      <c r="AO2136" s="43"/>
      <c r="AP2136" s="43"/>
      <c r="AQ2136" s="43"/>
      <c r="AR2136" s="43"/>
      <c r="AS2136" s="43"/>
      <c r="AT2136" s="43"/>
      <c r="AU2136" s="43"/>
      <c r="AV2136" s="43"/>
    </row>
    <row r="2137" ht="15.75" spans="1:48">
      <c r="A2137" s="12">
        <v>2133</v>
      </c>
      <c r="B2137" s="44">
        <v>669</v>
      </c>
      <c r="C2137" s="45" t="s">
        <v>94</v>
      </c>
      <c r="D2137" s="46">
        <v>18</v>
      </c>
      <c r="E2137" s="47" t="s">
        <v>113</v>
      </c>
      <c r="F2137" s="48">
        <v>5.83</v>
      </c>
      <c r="G2137" s="38">
        <v>2.17</v>
      </c>
      <c r="H2137" s="39"/>
      <c r="I2137" s="39"/>
      <c r="J2137" s="39"/>
      <c r="K2137" s="39"/>
      <c r="L2137" s="39"/>
      <c r="M2137" s="39"/>
      <c r="N2137" s="39"/>
      <c r="O2137" s="39"/>
      <c r="P2137" s="39"/>
      <c r="Q2137" s="39">
        <v>1.33</v>
      </c>
      <c r="R2137" s="39"/>
      <c r="S2137" s="39"/>
      <c r="T2137" s="39">
        <v>0.67</v>
      </c>
      <c r="U2137" s="39">
        <v>0.17</v>
      </c>
      <c r="V2137" s="39"/>
      <c r="W2137" s="39"/>
      <c r="X2137" s="49">
        <v>2801</v>
      </c>
      <c r="Y2137" s="50">
        <v>3527.15</v>
      </c>
      <c r="Z2137" s="51">
        <v>3545</v>
      </c>
      <c r="AA2137" s="52">
        <f t="shared" si="57"/>
        <v>1.00506074309287</v>
      </c>
      <c r="AB2137" s="12">
        <v>3366</v>
      </c>
      <c r="AC2137" s="12">
        <v>179</v>
      </c>
      <c r="AD2137" s="19">
        <v>179</v>
      </c>
      <c r="AE2137" s="43"/>
      <c r="AF2137" s="43"/>
      <c r="AG2137" s="43"/>
      <c r="AH2137" s="43"/>
      <c r="AI2137" s="43"/>
      <c r="AJ2137" s="43"/>
      <c r="AK2137" s="43"/>
      <c r="AL2137" s="43"/>
      <c r="AM2137" s="43"/>
      <c r="AN2137" s="43"/>
      <c r="AO2137" s="43"/>
      <c r="AP2137" s="43"/>
      <c r="AQ2137" s="43"/>
      <c r="AR2137" s="43"/>
      <c r="AS2137" s="43"/>
      <c r="AT2137" s="43"/>
      <c r="AU2137" s="43"/>
      <c r="AV2137" s="43"/>
    </row>
    <row r="2138" ht="15.75" spans="1:48">
      <c r="A2138" s="12">
        <v>2134</v>
      </c>
      <c r="B2138" s="44" t="s">
        <v>429</v>
      </c>
      <c r="C2138" s="45" t="s">
        <v>400</v>
      </c>
      <c r="D2138" s="46">
        <v>14</v>
      </c>
      <c r="E2138" s="47" t="s">
        <v>113</v>
      </c>
      <c r="F2138" s="48">
        <v>7.17</v>
      </c>
      <c r="G2138" s="38">
        <v>0.83</v>
      </c>
      <c r="H2138" s="39"/>
      <c r="I2138" s="39"/>
      <c r="J2138" s="39"/>
      <c r="K2138" s="39"/>
      <c r="L2138" s="39"/>
      <c r="M2138" s="39"/>
      <c r="N2138" s="39"/>
      <c r="O2138" s="39"/>
      <c r="P2138" s="39"/>
      <c r="Q2138" s="39">
        <v>0.83</v>
      </c>
      <c r="R2138" s="39"/>
      <c r="S2138" s="39"/>
      <c r="T2138" s="39"/>
      <c r="U2138" s="39"/>
      <c r="V2138" s="39"/>
      <c r="W2138" s="39"/>
      <c r="X2138" s="49">
        <v>8485</v>
      </c>
      <c r="Y2138" s="50">
        <v>2860.83</v>
      </c>
      <c r="Z2138" s="51">
        <v>2400</v>
      </c>
      <c r="AA2138" s="52">
        <f t="shared" si="57"/>
        <v>0.838917377124821</v>
      </c>
      <c r="AB2138" s="12">
        <v>2400</v>
      </c>
      <c r="AC2138" s="12">
        <v>0</v>
      </c>
      <c r="AD2138" s="43"/>
      <c r="AE2138" s="43"/>
      <c r="AF2138" s="43"/>
      <c r="AG2138" s="43"/>
      <c r="AH2138" s="43"/>
      <c r="AI2138" s="43"/>
      <c r="AJ2138" s="43"/>
      <c r="AK2138" s="43"/>
      <c r="AL2138" s="43"/>
      <c r="AM2138" s="43"/>
      <c r="AN2138" s="43"/>
      <c r="AO2138" s="43"/>
      <c r="AP2138" s="43"/>
      <c r="AQ2138" s="43"/>
      <c r="AR2138" s="43"/>
      <c r="AS2138" s="43"/>
      <c r="AT2138" s="43"/>
      <c r="AU2138" s="43"/>
      <c r="AV2138" s="43"/>
    </row>
    <row r="2139" ht="15.75" spans="1:48">
      <c r="A2139" s="12">
        <v>2135</v>
      </c>
      <c r="B2139" s="44">
        <v>4234</v>
      </c>
      <c r="C2139" s="45" t="s">
        <v>331</v>
      </c>
      <c r="D2139" s="46">
        <v>17</v>
      </c>
      <c r="E2139" s="47" t="s">
        <v>113</v>
      </c>
      <c r="F2139" s="48">
        <v>10.5</v>
      </c>
      <c r="G2139" s="38">
        <v>1.5</v>
      </c>
      <c r="H2139" s="39"/>
      <c r="I2139" s="39"/>
      <c r="J2139" s="39"/>
      <c r="K2139" s="39"/>
      <c r="L2139" s="39"/>
      <c r="M2139" s="39"/>
      <c r="N2139" s="39"/>
      <c r="O2139" s="39"/>
      <c r="P2139" s="39"/>
      <c r="Q2139" s="39">
        <v>1.33</v>
      </c>
      <c r="R2139" s="39"/>
      <c r="S2139" s="39"/>
      <c r="T2139" s="39"/>
      <c r="U2139" s="39">
        <v>0.17</v>
      </c>
      <c r="V2139" s="39"/>
      <c r="W2139" s="39"/>
      <c r="X2139" s="49" t="s">
        <v>222</v>
      </c>
      <c r="Y2139" s="50">
        <v>13702.5</v>
      </c>
      <c r="Z2139" s="51">
        <v>12500</v>
      </c>
      <c r="AA2139" s="52">
        <f t="shared" si="57"/>
        <v>0.912242291552636</v>
      </c>
      <c r="AB2139" s="12">
        <v>12500</v>
      </c>
      <c r="AC2139" s="12">
        <v>0</v>
      </c>
      <c r="AD2139" s="43"/>
      <c r="AE2139" s="43"/>
      <c r="AF2139" s="43"/>
      <c r="AG2139" s="43"/>
      <c r="AH2139" s="43"/>
      <c r="AI2139" s="43"/>
      <c r="AJ2139" s="43"/>
      <c r="AK2139" s="43"/>
      <c r="AL2139" s="43"/>
      <c r="AM2139" s="43"/>
      <c r="AN2139" s="43"/>
      <c r="AO2139" s="43"/>
      <c r="AP2139" s="43"/>
      <c r="AQ2139" s="43"/>
      <c r="AR2139" s="43"/>
      <c r="AS2139" s="43"/>
      <c r="AT2139" s="43"/>
      <c r="AU2139" s="43"/>
      <c r="AV2139" s="43"/>
    </row>
    <row r="2140" ht="15.75" spans="1:48">
      <c r="A2140" s="12">
        <v>2136</v>
      </c>
      <c r="B2140" s="44">
        <v>4360</v>
      </c>
      <c r="C2140" s="45" t="s">
        <v>97</v>
      </c>
      <c r="D2140" s="46">
        <v>15</v>
      </c>
      <c r="E2140" s="47" t="s">
        <v>113</v>
      </c>
      <c r="F2140" s="48">
        <v>9.17</v>
      </c>
      <c r="G2140" s="38">
        <v>2.83</v>
      </c>
      <c r="H2140" s="39"/>
      <c r="I2140" s="39"/>
      <c r="J2140" s="39"/>
      <c r="K2140" s="39"/>
      <c r="L2140" s="39"/>
      <c r="M2140" s="39"/>
      <c r="N2140" s="39"/>
      <c r="O2140" s="39"/>
      <c r="P2140" s="39"/>
      <c r="Q2140" s="39">
        <v>1.33</v>
      </c>
      <c r="R2140" s="39"/>
      <c r="S2140" s="39"/>
      <c r="T2140" s="39">
        <v>1.33</v>
      </c>
      <c r="U2140" s="39">
        <v>0.17</v>
      </c>
      <c r="V2140" s="39"/>
      <c r="W2140" s="39"/>
      <c r="X2140" s="49">
        <v>3880</v>
      </c>
      <c r="Y2140" s="50">
        <v>3668</v>
      </c>
      <c r="Z2140" s="51">
        <v>3207</v>
      </c>
      <c r="AA2140" s="52">
        <f t="shared" si="57"/>
        <v>0.874318429661941</v>
      </c>
      <c r="AB2140" s="12">
        <v>2949</v>
      </c>
      <c r="AC2140" s="12">
        <v>258</v>
      </c>
      <c r="AD2140" s="19">
        <v>258</v>
      </c>
      <c r="AE2140" s="43"/>
      <c r="AF2140" s="43"/>
      <c r="AG2140" s="43"/>
      <c r="AH2140" s="43"/>
      <c r="AI2140" s="43"/>
      <c r="AJ2140" s="43"/>
      <c r="AK2140" s="43"/>
      <c r="AL2140" s="43"/>
      <c r="AM2140" s="43"/>
      <c r="AN2140" s="43"/>
      <c r="AO2140" s="43"/>
      <c r="AP2140" s="43"/>
      <c r="AQ2140" s="43"/>
      <c r="AR2140" s="43"/>
      <c r="AS2140" s="43"/>
      <c r="AT2140" s="43"/>
      <c r="AU2140" s="43"/>
      <c r="AV2140" s="43"/>
    </row>
    <row r="2141" ht="15.75" spans="1:48">
      <c r="A2141" s="12">
        <v>2137</v>
      </c>
      <c r="B2141" s="44">
        <v>4490</v>
      </c>
      <c r="C2141" s="45" t="s">
        <v>91</v>
      </c>
      <c r="D2141" s="46">
        <v>3</v>
      </c>
      <c r="E2141" s="47" t="s">
        <v>113</v>
      </c>
      <c r="F2141" s="48">
        <v>6</v>
      </c>
      <c r="G2141" s="38">
        <v>3.33</v>
      </c>
      <c r="H2141" s="39"/>
      <c r="I2141" s="39"/>
      <c r="J2141" s="39"/>
      <c r="K2141" s="39">
        <v>0.33</v>
      </c>
      <c r="L2141" s="39"/>
      <c r="M2141" s="39"/>
      <c r="N2141" s="39"/>
      <c r="O2141" s="39"/>
      <c r="P2141" s="39"/>
      <c r="Q2141" s="39">
        <v>1.33</v>
      </c>
      <c r="R2141" s="39"/>
      <c r="S2141" s="39"/>
      <c r="T2141" s="39">
        <v>1.5</v>
      </c>
      <c r="U2141" s="39">
        <v>0.17</v>
      </c>
      <c r="V2141" s="39"/>
      <c r="W2141" s="39"/>
      <c r="X2141" s="49">
        <v>7133</v>
      </c>
      <c r="Y2141" s="50">
        <v>3630</v>
      </c>
      <c r="Z2141" s="51">
        <v>3219</v>
      </c>
      <c r="AA2141" s="52">
        <f t="shared" si="57"/>
        <v>0.886776859504132</v>
      </c>
      <c r="AB2141" s="12">
        <v>2849</v>
      </c>
      <c r="AC2141" s="12">
        <v>370</v>
      </c>
      <c r="AD2141" s="19">
        <v>370</v>
      </c>
      <c r="AE2141" s="43"/>
      <c r="AF2141" s="43"/>
      <c r="AG2141" s="43"/>
      <c r="AH2141" s="43"/>
      <c r="AI2141" s="43"/>
      <c r="AJ2141" s="43"/>
      <c r="AK2141" s="43"/>
      <c r="AL2141" s="43"/>
      <c r="AM2141" s="43"/>
      <c r="AN2141" s="43"/>
      <c r="AO2141" s="43"/>
      <c r="AP2141" s="43"/>
      <c r="AQ2141" s="43"/>
      <c r="AR2141" s="43"/>
      <c r="AS2141" s="43"/>
      <c r="AT2141" s="43"/>
      <c r="AU2141" s="43"/>
      <c r="AV2141" s="43"/>
    </row>
    <row r="2142" ht="15.75" spans="1:48">
      <c r="A2142" s="12">
        <v>2138</v>
      </c>
      <c r="B2142" s="44">
        <v>4489</v>
      </c>
      <c r="C2142" s="45" t="s">
        <v>88</v>
      </c>
      <c r="D2142" s="46">
        <v>5</v>
      </c>
      <c r="E2142" s="47" t="s">
        <v>113</v>
      </c>
      <c r="F2142" s="48">
        <v>4.67</v>
      </c>
      <c r="G2142" s="38">
        <v>1.67</v>
      </c>
      <c r="H2142" s="39"/>
      <c r="I2142" s="39"/>
      <c r="J2142" s="39"/>
      <c r="K2142" s="39"/>
      <c r="L2142" s="39"/>
      <c r="M2142" s="39"/>
      <c r="N2142" s="39"/>
      <c r="O2142" s="39"/>
      <c r="P2142" s="39"/>
      <c r="Q2142" s="39">
        <v>1.33</v>
      </c>
      <c r="R2142" s="39"/>
      <c r="S2142" s="39"/>
      <c r="T2142" s="39">
        <v>0.17</v>
      </c>
      <c r="U2142" s="39">
        <v>0.17</v>
      </c>
      <c r="V2142" s="39"/>
      <c r="W2142" s="39"/>
      <c r="X2142" s="49">
        <v>5770</v>
      </c>
      <c r="Y2142" s="50">
        <v>2825.35</v>
      </c>
      <c r="Z2142" s="51">
        <v>2998</v>
      </c>
      <c r="AA2142" s="52">
        <f t="shared" si="57"/>
        <v>1.06110747341037</v>
      </c>
      <c r="AB2142" s="12">
        <v>2931</v>
      </c>
      <c r="AC2142" s="12">
        <v>67</v>
      </c>
      <c r="AD2142" s="19">
        <v>67</v>
      </c>
      <c r="AE2142" s="43"/>
      <c r="AF2142" s="43"/>
      <c r="AG2142" s="43"/>
      <c r="AH2142" s="43"/>
      <c r="AI2142" s="43"/>
      <c r="AJ2142" s="43"/>
      <c r="AK2142" s="43"/>
      <c r="AL2142" s="43"/>
      <c r="AM2142" s="43"/>
      <c r="AN2142" s="43"/>
      <c r="AO2142" s="43"/>
      <c r="AP2142" s="43"/>
      <c r="AQ2142" s="43"/>
      <c r="AR2142" s="43"/>
      <c r="AS2142" s="43"/>
      <c r="AT2142" s="43"/>
      <c r="AU2142" s="43"/>
      <c r="AV2142" s="43"/>
    </row>
    <row r="2143" ht="15.75" spans="1:48">
      <c r="A2143" s="12">
        <v>2139</v>
      </c>
      <c r="B2143" s="44" t="s">
        <v>178</v>
      </c>
      <c r="C2143" s="45" t="s">
        <v>179</v>
      </c>
      <c r="D2143" s="46">
        <v>7</v>
      </c>
      <c r="E2143" s="47" t="s">
        <v>113</v>
      </c>
      <c r="F2143" s="48">
        <v>5.67</v>
      </c>
      <c r="G2143" s="38">
        <v>1.5</v>
      </c>
      <c r="H2143" s="39"/>
      <c r="I2143" s="39"/>
      <c r="J2143" s="39"/>
      <c r="K2143" s="39"/>
      <c r="L2143" s="39"/>
      <c r="M2143" s="39"/>
      <c r="N2143" s="39"/>
      <c r="O2143" s="39"/>
      <c r="P2143" s="39"/>
      <c r="Q2143" s="39">
        <v>1.33</v>
      </c>
      <c r="R2143" s="39"/>
      <c r="S2143" s="39"/>
      <c r="T2143" s="39"/>
      <c r="U2143" s="39">
        <v>0.17</v>
      </c>
      <c r="V2143" s="39"/>
      <c r="W2143" s="39"/>
      <c r="X2143" s="49" t="s">
        <v>95</v>
      </c>
      <c r="Y2143" s="50">
        <v>7938</v>
      </c>
      <c r="Z2143" s="51">
        <v>7840</v>
      </c>
      <c r="AA2143" s="52">
        <f t="shared" si="57"/>
        <v>0.987654320987654</v>
      </c>
      <c r="AB2143" s="12">
        <v>7840</v>
      </c>
      <c r="AC2143" s="12">
        <v>0</v>
      </c>
      <c r="AD2143" s="43"/>
      <c r="AE2143" s="43"/>
      <c r="AF2143" s="43"/>
      <c r="AG2143" s="43"/>
      <c r="AH2143" s="43"/>
      <c r="AI2143" s="43"/>
      <c r="AJ2143" s="43"/>
      <c r="AK2143" s="43"/>
      <c r="AL2143" s="43"/>
      <c r="AM2143" s="43"/>
      <c r="AN2143" s="43"/>
      <c r="AO2143" s="43"/>
      <c r="AP2143" s="43"/>
      <c r="AQ2143" s="43"/>
      <c r="AR2143" s="43"/>
      <c r="AS2143" s="43"/>
      <c r="AT2143" s="43"/>
      <c r="AU2143" s="43"/>
      <c r="AV2143" s="43"/>
    </row>
    <row r="2144" ht="15.75" spans="1:48">
      <c r="A2144" s="12">
        <v>2140</v>
      </c>
      <c r="B2144" s="44" t="s">
        <v>178</v>
      </c>
      <c r="C2144" s="45" t="s">
        <v>179</v>
      </c>
      <c r="D2144" s="46">
        <v>21</v>
      </c>
      <c r="E2144" s="47" t="s">
        <v>113</v>
      </c>
      <c r="F2144" s="48">
        <v>4.67</v>
      </c>
      <c r="G2144" s="38">
        <v>0.17</v>
      </c>
      <c r="H2144" s="39"/>
      <c r="I2144" s="39"/>
      <c r="J2144" s="39"/>
      <c r="K2144" s="39"/>
      <c r="L2144" s="39"/>
      <c r="M2144" s="39"/>
      <c r="N2144" s="39"/>
      <c r="O2144" s="39"/>
      <c r="P2144" s="39"/>
      <c r="Q2144" s="39"/>
      <c r="R2144" s="39"/>
      <c r="S2144" s="39"/>
      <c r="T2144" s="39"/>
      <c r="U2144" s="39">
        <v>0.17</v>
      </c>
      <c r="V2144" s="39"/>
      <c r="W2144" s="39"/>
      <c r="X2144" s="49" t="s">
        <v>96</v>
      </c>
      <c r="Y2144" s="50">
        <v>6771.5</v>
      </c>
      <c r="Z2144" s="51">
        <v>5500</v>
      </c>
      <c r="AA2144" s="52">
        <f t="shared" si="57"/>
        <v>0.812227719116887</v>
      </c>
      <c r="AB2144" s="12">
        <v>5500</v>
      </c>
      <c r="AC2144" s="12">
        <v>0</v>
      </c>
      <c r="AD2144" s="43"/>
      <c r="AE2144" s="43"/>
      <c r="AF2144" s="43"/>
      <c r="AG2144" s="43"/>
      <c r="AH2144" s="43"/>
      <c r="AI2144" s="43"/>
      <c r="AJ2144" s="43"/>
      <c r="AK2144" s="43"/>
      <c r="AL2144" s="43"/>
      <c r="AM2144" s="43"/>
      <c r="AN2144" s="43"/>
      <c r="AO2144" s="43"/>
      <c r="AP2144" s="43"/>
      <c r="AQ2144" s="43"/>
      <c r="AR2144" s="43"/>
      <c r="AS2144" s="43"/>
      <c r="AT2144" s="43"/>
      <c r="AU2144" s="43"/>
      <c r="AV2144" s="43"/>
    </row>
    <row r="2145" ht="15.75" spans="1:48">
      <c r="A2145" s="12">
        <v>2141</v>
      </c>
      <c r="B2145" s="44">
        <v>676</v>
      </c>
      <c r="C2145" s="45" t="s">
        <v>171</v>
      </c>
      <c r="D2145" s="46"/>
      <c r="E2145" s="47" t="s">
        <v>113</v>
      </c>
      <c r="F2145" s="48">
        <v>6</v>
      </c>
      <c r="G2145" s="38">
        <v>1.66</v>
      </c>
      <c r="H2145" s="39"/>
      <c r="I2145" s="39"/>
      <c r="J2145" s="39"/>
      <c r="K2145" s="39"/>
      <c r="L2145" s="39"/>
      <c r="M2145" s="39"/>
      <c r="N2145" s="39"/>
      <c r="O2145" s="39"/>
      <c r="P2145" s="39"/>
      <c r="Q2145" s="39">
        <v>1.33</v>
      </c>
      <c r="R2145" s="39"/>
      <c r="S2145" s="39">
        <v>0.33</v>
      </c>
      <c r="T2145" s="39"/>
      <c r="U2145" s="39"/>
      <c r="V2145" s="39"/>
      <c r="W2145" s="39"/>
      <c r="X2145" s="49" t="s">
        <v>90</v>
      </c>
      <c r="Y2145" s="50">
        <v>2820</v>
      </c>
      <c r="Z2145" s="51">
        <v>2340</v>
      </c>
      <c r="AA2145" s="52">
        <f t="shared" si="57"/>
        <v>0.829787234042553</v>
      </c>
      <c r="AB2145" s="12">
        <v>2340</v>
      </c>
      <c r="AC2145" s="12">
        <v>0</v>
      </c>
      <c r="AD2145" s="43"/>
      <c r="AE2145" s="43"/>
      <c r="AF2145" s="43"/>
      <c r="AG2145" s="43"/>
      <c r="AH2145" s="43"/>
      <c r="AI2145" s="43"/>
      <c r="AJ2145" s="43"/>
      <c r="AK2145" s="43"/>
      <c r="AL2145" s="43"/>
      <c r="AM2145" s="43"/>
      <c r="AN2145" s="43"/>
      <c r="AO2145" s="43"/>
      <c r="AP2145" s="43"/>
      <c r="AQ2145" s="43"/>
      <c r="AR2145" s="43"/>
      <c r="AS2145" s="43"/>
      <c r="AT2145" s="43"/>
      <c r="AU2145" s="43"/>
      <c r="AV2145" s="43"/>
    </row>
    <row r="2146" ht="15.75" spans="1:48">
      <c r="A2146" s="12">
        <v>2142</v>
      </c>
      <c r="B2146" s="44">
        <v>676</v>
      </c>
      <c r="C2146" s="45" t="s">
        <v>171</v>
      </c>
      <c r="D2146" s="46"/>
      <c r="E2146" s="47" t="s">
        <v>113</v>
      </c>
      <c r="F2146" s="48">
        <v>4.33</v>
      </c>
      <c r="G2146" s="38">
        <v>0</v>
      </c>
      <c r="H2146" s="39"/>
      <c r="I2146" s="39"/>
      <c r="J2146" s="39"/>
      <c r="K2146" s="39"/>
      <c r="L2146" s="39"/>
      <c r="M2146" s="39"/>
      <c r="N2146" s="39"/>
      <c r="O2146" s="39"/>
      <c r="P2146" s="39"/>
      <c r="Q2146" s="39"/>
      <c r="R2146" s="39"/>
      <c r="S2146" s="39"/>
      <c r="T2146" s="39"/>
      <c r="U2146" s="39"/>
      <c r="V2146" s="39"/>
      <c r="W2146" s="39"/>
      <c r="X2146" s="49" t="s">
        <v>98</v>
      </c>
      <c r="Y2146" s="50">
        <v>2035.1</v>
      </c>
      <c r="Z2146" s="51">
        <v>1980</v>
      </c>
      <c r="AA2146" s="52">
        <f t="shared" si="57"/>
        <v>0.972925163382635</v>
      </c>
      <c r="AB2146" s="12">
        <v>1980</v>
      </c>
      <c r="AC2146" s="12">
        <v>0</v>
      </c>
      <c r="AD2146" s="43"/>
      <c r="AE2146" s="43"/>
      <c r="AF2146" s="43"/>
      <c r="AG2146" s="43"/>
      <c r="AH2146" s="43"/>
      <c r="AI2146" s="43"/>
      <c r="AJ2146" s="43"/>
      <c r="AK2146" s="43"/>
      <c r="AL2146" s="43"/>
      <c r="AM2146" s="43"/>
      <c r="AN2146" s="43"/>
      <c r="AO2146" s="43"/>
      <c r="AP2146" s="43"/>
      <c r="AQ2146" s="43"/>
      <c r="AR2146" s="43"/>
      <c r="AS2146" s="43"/>
      <c r="AT2146" s="43"/>
      <c r="AU2146" s="43"/>
      <c r="AV2146" s="43"/>
    </row>
    <row r="2147" ht="15.75" spans="1:48">
      <c r="A2147" s="12">
        <v>2143</v>
      </c>
      <c r="B2147" s="44">
        <v>4173</v>
      </c>
      <c r="C2147" s="45" t="s">
        <v>75</v>
      </c>
      <c r="D2147" s="46"/>
      <c r="E2147" s="47" t="s">
        <v>113</v>
      </c>
      <c r="F2147" s="48">
        <v>9.17</v>
      </c>
      <c r="G2147" s="38">
        <v>1.5</v>
      </c>
      <c r="H2147" s="39"/>
      <c r="I2147" s="39"/>
      <c r="J2147" s="39"/>
      <c r="K2147" s="39"/>
      <c r="L2147" s="39"/>
      <c r="M2147" s="39"/>
      <c r="N2147" s="39"/>
      <c r="O2147" s="39"/>
      <c r="P2147" s="39"/>
      <c r="Q2147" s="39">
        <v>1.33</v>
      </c>
      <c r="R2147" s="39"/>
      <c r="S2147" s="39"/>
      <c r="T2147" s="39"/>
      <c r="U2147" s="39">
        <v>0.17</v>
      </c>
      <c r="V2147" s="39"/>
      <c r="W2147" s="39"/>
      <c r="X2147" s="49" t="s">
        <v>90</v>
      </c>
      <c r="Y2147" s="50">
        <v>4309.9</v>
      </c>
      <c r="Z2147" s="51">
        <v>4140</v>
      </c>
      <c r="AA2147" s="52">
        <f t="shared" si="57"/>
        <v>0.960579131766398</v>
      </c>
      <c r="AB2147" s="12">
        <v>4140</v>
      </c>
      <c r="AC2147" s="12">
        <v>0</v>
      </c>
      <c r="AD2147" s="43"/>
      <c r="AE2147" s="43"/>
      <c r="AF2147" s="43"/>
      <c r="AG2147" s="43"/>
      <c r="AH2147" s="43"/>
      <c r="AI2147" s="43"/>
      <c r="AJ2147" s="43"/>
      <c r="AK2147" s="43"/>
      <c r="AL2147" s="43"/>
      <c r="AM2147" s="43"/>
      <c r="AN2147" s="43"/>
      <c r="AO2147" s="43"/>
      <c r="AP2147" s="43"/>
      <c r="AQ2147" s="43"/>
      <c r="AR2147" s="43"/>
      <c r="AS2147" s="43"/>
      <c r="AT2147" s="43"/>
      <c r="AU2147" s="43"/>
      <c r="AV2147" s="43"/>
    </row>
    <row r="2148" ht="15.75" spans="1:48">
      <c r="A2148" s="12">
        <v>2144</v>
      </c>
      <c r="B2148" s="44">
        <v>4173</v>
      </c>
      <c r="C2148" s="45" t="s">
        <v>75</v>
      </c>
      <c r="D2148" s="46"/>
      <c r="E2148" s="47" t="s">
        <v>113</v>
      </c>
      <c r="F2148" s="48">
        <v>1.33</v>
      </c>
      <c r="G2148" s="38">
        <v>0</v>
      </c>
      <c r="H2148" s="39"/>
      <c r="I2148" s="39"/>
      <c r="J2148" s="39"/>
      <c r="K2148" s="39"/>
      <c r="L2148" s="39"/>
      <c r="M2148" s="39"/>
      <c r="N2148" s="39"/>
      <c r="O2148" s="39"/>
      <c r="P2148" s="39"/>
      <c r="Q2148" s="39"/>
      <c r="R2148" s="39"/>
      <c r="S2148" s="39"/>
      <c r="T2148" s="39"/>
      <c r="U2148" s="39"/>
      <c r="V2148" s="39"/>
      <c r="W2148" s="39"/>
      <c r="X2148" s="49" t="s">
        <v>98</v>
      </c>
      <c r="Y2148" s="50">
        <v>625.1</v>
      </c>
      <c r="Z2148" s="51">
        <v>540</v>
      </c>
      <c r="AA2148" s="52">
        <f t="shared" si="57"/>
        <v>0.863861782114862</v>
      </c>
      <c r="AB2148" s="12">
        <v>540</v>
      </c>
      <c r="AC2148" s="12">
        <v>0</v>
      </c>
      <c r="AD2148" s="43"/>
      <c r="AE2148" s="43"/>
      <c r="AF2148" s="43"/>
      <c r="AG2148" s="43"/>
      <c r="AH2148" s="43"/>
      <c r="AI2148" s="43"/>
      <c r="AJ2148" s="43"/>
      <c r="AK2148" s="43"/>
      <c r="AL2148" s="43"/>
      <c r="AM2148" s="43"/>
      <c r="AN2148" s="43"/>
      <c r="AO2148" s="43"/>
      <c r="AP2148" s="43"/>
      <c r="AQ2148" s="43"/>
      <c r="AR2148" s="43"/>
      <c r="AS2148" s="43"/>
      <c r="AT2148" s="43"/>
      <c r="AU2148" s="43"/>
      <c r="AV2148" s="43"/>
    </row>
    <row r="2149" ht="15.75" spans="1:48">
      <c r="A2149" s="12">
        <v>2145</v>
      </c>
      <c r="B2149" s="44" t="s">
        <v>430</v>
      </c>
      <c r="C2149" s="45" t="s">
        <v>402</v>
      </c>
      <c r="D2149" s="46"/>
      <c r="E2149" s="47" t="s">
        <v>113</v>
      </c>
      <c r="F2149" s="48">
        <v>7.17</v>
      </c>
      <c r="G2149" s="38">
        <v>0.83</v>
      </c>
      <c r="H2149" s="39"/>
      <c r="I2149" s="39"/>
      <c r="J2149" s="39"/>
      <c r="K2149" s="39"/>
      <c r="L2149" s="39"/>
      <c r="M2149" s="39"/>
      <c r="N2149" s="39"/>
      <c r="O2149" s="39"/>
      <c r="P2149" s="39"/>
      <c r="Q2149" s="39">
        <v>0.83</v>
      </c>
      <c r="R2149" s="39"/>
      <c r="S2149" s="39"/>
      <c r="T2149" s="39"/>
      <c r="U2149" s="39"/>
      <c r="V2149" s="39"/>
      <c r="W2149" s="39"/>
      <c r="X2149" s="49" t="s">
        <v>103</v>
      </c>
      <c r="Y2149" s="50">
        <v>4215.96</v>
      </c>
      <c r="Z2149" s="51">
        <v>2783</v>
      </c>
      <c r="AA2149" s="52">
        <f t="shared" si="57"/>
        <v>0.660110627235553</v>
      </c>
      <c r="AB2149" s="12">
        <v>2783</v>
      </c>
      <c r="AC2149" s="12">
        <v>0</v>
      </c>
      <c r="AD2149" s="43"/>
      <c r="AE2149" s="43"/>
      <c r="AF2149" s="43"/>
      <c r="AG2149" s="43"/>
      <c r="AH2149" s="43"/>
      <c r="AI2149" s="43"/>
      <c r="AJ2149" s="43"/>
      <c r="AK2149" s="43"/>
      <c r="AL2149" s="43"/>
      <c r="AM2149" s="43"/>
      <c r="AN2149" s="43"/>
      <c r="AO2149" s="43"/>
      <c r="AP2149" s="43"/>
      <c r="AQ2149" s="43"/>
      <c r="AR2149" s="43"/>
      <c r="AS2149" s="43"/>
      <c r="AT2149" s="43"/>
      <c r="AU2149" s="43"/>
      <c r="AV2149" s="43"/>
    </row>
    <row r="2150" ht="15.75" spans="1:48">
      <c r="A2150" s="12">
        <v>2146</v>
      </c>
      <c r="B2150" s="44">
        <v>3277</v>
      </c>
      <c r="C2150" s="45" t="s">
        <v>106</v>
      </c>
      <c r="D2150" s="46"/>
      <c r="E2150" s="47" t="s">
        <v>113</v>
      </c>
      <c r="F2150" s="48">
        <v>3.67</v>
      </c>
      <c r="G2150" s="38">
        <v>1.33</v>
      </c>
      <c r="H2150" s="39"/>
      <c r="I2150" s="39"/>
      <c r="J2150" s="39"/>
      <c r="K2150" s="39"/>
      <c r="L2150" s="39"/>
      <c r="M2150" s="39"/>
      <c r="N2150" s="39"/>
      <c r="O2150" s="39"/>
      <c r="P2150" s="39"/>
      <c r="Q2150" s="39">
        <v>1.33</v>
      </c>
      <c r="R2150" s="39"/>
      <c r="S2150" s="39"/>
      <c r="T2150" s="39"/>
      <c r="U2150" s="39"/>
      <c r="V2150" s="39"/>
      <c r="W2150" s="39"/>
      <c r="X2150" s="49" t="s">
        <v>431</v>
      </c>
      <c r="Y2150" s="50">
        <v>0</v>
      </c>
      <c r="Z2150" s="51"/>
      <c r="AA2150" s="52">
        <f>IFERROR(Z2150/Y2150,0)</f>
        <v>0</v>
      </c>
      <c r="AB2150" s="12">
        <v>0</v>
      </c>
      <c r="AC2150" s="12">
        <v>0</v>
      </c>
      <c r="AD2150" s="43"/>
      <c r="AE2150" s="43"/>
      <c r="AF2150" s="43"/>
      <c r="AG2150" s="43"/>
      <c r="AH2150" s="43"/>
      <c r="AI2150" s="43"/>
      <c r="AJ2150" s="43"/>
      <c r="AK2150" s="43"/>
      <c r="AL2150" s="43"/>
      <c r="AM2150" s="43"/>
      <c r="AN2150" s="43"/>
      <c r="AO2150" s="43"/>
      <c r="AP2150" s="43"/>
      <c r="AQ2150" s="43"/>
      <c r="AR2150" s="43"/>
      <c r="AS2150" s="43"/>
      <c r="AT2150" s="43"/>
      <c r="AU2150" s="43"/>
      <c r="AV2150" s="43"/>
    </row>
    <row r="2151" ht="15.75" spans="1:48">
      <c r="A2151" s="12">
        <v>2147</v>
      </c>
      <c r="B2151" s="44">
        <v>3277</v>
      </c>
      <c r="C2151" s="45" t="s">
        <v>106</v>
      </c>
      <c r="D2151" s="46"/>
      <c r="E2151" s="47" t="s">
        <v>113</v>
      </c>
      <c r="F2151" s="48">
        <v>7</v>
      </c>
      <c r="G2151" s="38">
        <v>0</v>
      </c>
      <c r="H2151" s="39"/>
      <c r="I2151" s="39"/>
      <c r="J2151" s="39"/>
      <c r="K2151" s="39"/>
      <c r="L2151" s="39"/>
      <c r="M2151" s="39"/>
      <c r="N2151" s="39"/>
      <c r="O2151" s="39"/>
      <c r="P2151" s="39"/>
      <c r="Q2151" s="39"/>
      <c r="R2151" s="39"/>
      <c r="S2151" s="39"/>
      <c r="T2151" s="39"/>
      <c r="U2151" s="39"/>
      <c r="V2151" s="39"/>
      <c r="W2151" s="39"/>
      <c r="X2151" s="49" t="s">
        <v>432</v>
      </c>
      <c r="Y2151" s="50">
        <v>0</v>
      </c>
      <c r="Z2151" s="51">
        <v>3200</v>
      </c>
      <c r="AA2151" s="52">
        <f t="shared" ref="AA2151:AA2168" si="58">IFERROR(Z2151/Y2151,0)</f>
        <v>0</v>
      </c>
      <c r="AB2151" s="12">
        <v>3103</v>
      </c>
      <c r="AC2151" s="12">
        <v>97</v>
      </c>
      <c r="AD2151" s="43"/>
      <c r="AE2151" s="43"/>
      <c r="AF2151" s="43"/>
      <c r="AG2151" s="43"/>
      <c r="AH2151" s="43"/>
      <c r="AI2151" s="43"/>
      <c r="AJ2151" s="43"/>
      <c r="AK2151" s="43"/>
      <c r="AL2151" s="43"/>
      <c r="AM2151" s="43"/>
      <c r="AN2151" s="19">
        <v>97</v>
      </c>
      <c r="AO2151" s="43"/>
      <c r="AP2151" s="43"/>
      <c r="AQ2151" s="43"/>
      <c r="AR2151" s="43"/>
      <c r="AS2151" s="43"/>
      <c r="AT2151" s="43"/>
      <c r="AU2151" s="43"/>
      <c r="AV2151" s="43"/>
    </row>
    <row r="2152" ht="15.75" spans="1:48">
      <c r="A2152" s="12">
        <v>2148</v>
      </c>
      <c r="B2152" s="44">
        <v>4310</v>
      </c>
      <c r="C2152" s="45" t="s">
        <v>99</v>
      </c>
      <c r="D2152" s="46"/>
      <c r="E2152" s="47" t="s">
        <v>113</v>
      </c>
      <c r="F2152" s="48">
        <v>5.5</v>
      </c>
      <c r="G2152" s="38">
        <v>0</v>
      </c>
      <c r="H2152" s="39"/>
      <c r="I2152" s="39"/>
      <c r="J2152" s="39"/>
      <c r="K2152" s="39"/>
      <c r="L2152" s="39"/>
      <c r="M2152" s="39"/>
      <c r="N2152" s="39"/>
      <c r="O2152" s="39"/>
      <c r="P2152" s="39"/>
      <c r="Q2152" s="39"/>
      <c r="R2152" s="39"/>
      <c r="S2152" s="39"/>
      <c r="T2152" s="39"/>
      <c r="U2152" s="39"/>
      <c r="V2152" s="39"/>
      <c r="W2152" s="39"/>
      <c r="X2152" s="49" t="s">
        <v>103</v>
      </c>
      <c r="Y2152" s="50">
        <v>4620</v>
      </c>
      <c r="Z2152" s="51">
        <v>4320</v>
      </c>
      <c r="AA2152" s="52">
        <f t="shared" si="58"/>
        <v>0.935064935064935</v>
      </c>
      <c r="AB2152" s="12">
        <v>4320</v>
      </c>
      <c r="AC2152" s="12">
        <v>0</v>
      </c>
      <c r="AD2152" s="43"/>
      <c r="AE2152" s="43"/>
      <c r="AF2152" s="43"/>
      <c r="AG2152" s="43"/>
      <c r="AH2152" s="43"/>
      <c r="AI2152" s="43"/>
      <c r="AJ2152" s="43"/>
      <c r="AK2152" s="43"/>
      <c r="AL2152" s="43"/>
      <c r="AM2152" s="43"/>
      <c r="AN2152" s="43"/>
      <c r="AO2152" s="43"/>
      <c r="AP2152" s="43"/>
      <c r="AQ2152" s="43"/>
      <c r="AR2152" s="43"/>
      <c r="AS2152" s="43"/>
      <c r="AT2152" s="43"/>
      <c r="AU2152" s="43"/>
      <c r="AV2152" s="43"/>
    </row>
    <row r="2153" ht="15.75" spans="1:48">
      <c r="A2153" s="12">
        <v>2149</v>
      </c>
      <c r="B2153" s="44" t="s">
        <v>181</v>
      </c>
      <c r="C2153" s="45" t="s">
        <v>182</v>
      </c>
      <c r="D2153" s="46"/>
      <c r="E2153" s="47" t="s">
        <v>113</v>
      </c>
      <c r="F2153" s="48">
        <v>10.67</v>
      </c>
      <c r="G2153" s="38">
        <v>1.33</v>
      </c>
      <c r="H2153" s="39"/>
      <c r="I2153" s="39"/>
      <c r="J2153" s="39"/>
      <c r="K2153" s="39"/>
      <c r="L2153" s="39"/>
      <c r="M2153" s="39"/>
      <c r="N2153" s="39"/>
      <c r="O2153" s="39"/>
      <c r="P2153" s="39"/>
      <c r="Q2153" s="39">
        <v>1.33</v>
      </c>
      <c r="R2153" s="39"/>
      <c r="S2153" s="39"/>
      <c r="T2153" s="39"/>
      <c r="U2153" s="39"/>
      <c r="V2153" s="39"/>
      <c r="W2153" s="39"/>
      <c r="X2153" s="49" t="s">
        <v>103</v>
      </c>
      <c r="Y2153" s="50">
        <v>8066.52</v>
      </c>
      <c r="Z2153" s="51">
        <v>7047</v>
      </c>
      <c r="AA2153" s="52">
        <f t="shared" si="58"/>
        <v>0.873610925157317</v>
      </c>
      <c r="AB2153" s="12">
        <v>7047</v>
      </c>
      <c r="AC2153" s="12">
        <v>0</v>
      </c>
      <c r="AD2153" s="43"/>
      <c r="AE2153" s="43"/>
      <c r="AF2153" s="43"/>
      <c r="AG2153" s="43"/>
      <c r="AH2153" s="43"/>
      <c r="AI2153" s="43"/>
      <c r="AJ2153" s="43"/>
      <c r="AK2153" s="43"/>
      <c r="AL2153" s="43"/>
      <c r="AM2153" s="43"/>
      <c r="AN2153" s="43"/>
      <c r="AO2153" s="43"/>
      <c r="AP2153" s="43"/>
      <c r="AQ2153" s="43"/>
      <c r="AR2153" s="43"/>
      <c r="AS2153" s="43"/>
      <c r="AT2153" s="43"/>
      <c r="AU2153" s="43"/>
      <c r="AV2153" s="43"/>
    </row>
    <row r="2154" ht="15.75" spans="1:48">
      <c r="A2154" s="12">
        <v>2150</v>
      </c>
      <c r="B2154" s="44">
        <v>4382</v>
      </c>
      <c r="C2154" s="45" t="s">
        <v>173</v>
      </c>
      <c r="D2154" s="46"/>
      <c r="E2154" s="47" t="s">
        <v>113</v>
      </c>
      <c r="F2154" s="48">
        <v>1.67</v>
      </c>
      <c r="G2154" s="38">
        <v>0</v>
      </c>
      <c r="H2154" s="39"/>
      <c r="I2154" s="39"/>
      <c r="J2154" s="39"/>
      <c r="K2154" s="39"/>
      <c r="L2154" s="39"/>
      <c r="M2154" s="39"/>
      <c r="N2154" s="39"/>
      <c r="O2154" s="39"/>
      <c r="P2154" s="39"/>
      <c r="Q2154" s="39"/>
      <c r="R2154" s="39"/>
      <c r="S2154" s="39"/>
      <c r="T2154" s="39"/>
      <c r="U2154" s="39"/>
      <c r="V2154" s="39"/>
      <c r="W2154" s="39"/>
      <c r="X2154" s="49" t="s">
        <v>103</v>
      </c>
      <c r="Y2154" s="50">
        <v>1402.8</v>
      </c>
      <c r="Z2154" s="51">
        <v>1372</v>
      </c>
      <c r="AA2154" s="52">
        <f t="shared" si="58"/>
        <v>0.978043912175649</v>
      </c>
      <c r="AB2154" s="12">
        <v>1372</v>
      </c>
      <c r="AC2154" s="12">
        <v>0</v>
      </c>
      <c r="AD2154" s="43"/>
      <c r="AE2154" s="43"/>
      <c r="AF2154" s="43"/>
      <c r="AG2154" s="43"/>
      <c r="AH2154" s="43"/>
      <c r="AI2154" s="43"/>
      <c r="AJ2154" s="43"/>
      <c r="AK2154" s="43"/>
      <c r="AL2154" s="43"/>
      <c r="AM2154" s="43"/>
      <c r="AN2154" s="43"/>
      <c r="AO2154" s="43"/>
      <c r="AP2154" s="43"/>
      <c r="AQ2154" s="43"/>
      <c r="AR2154" s="43"/>
      <c r="AS2154" s="43"/>
      <c r="AT2154" s="43"/>
      <c r="AU2154" s="43"/>
      <c r="AV2154" s="43"/>
    </row>
    <row r="2155" ht="15.75" spans="1:48">
      <c r="A2155" s="12">
        <v>2151</v>
      </c>
      <c r="B2155" s="44">
        <v>669</v>
      </c>
      <c r="C2155" s="45" t="s">
        <v>94</v>
      </c>
      <c r="D2155" s="46"/>
      <c r="E2155" s="47" t="s">
        <v>113</v>
      </c>
      <c r="F2155" s="48">
        <v>4</v>
      </c>
      <c r="G2155" s="38">
        <v>0</v>
      </c>
      <c r="H2155" s="39"/>
      <c r="I2155" s="39"/>
      <c r="J2155" s="39"/>
      <c r="K2155" s="39"/>
      <c r="L2155" s="39"/>
      <c r="M2155" s="39"/>
      <c r="N2155" s="39"/>
      <c r="O2155" s="39"/>
      <c r="P2155" s="39"/>
      <c r="Q2155" s="39"/>
      <c r="R2155" s="39"/>
      <c r="S2155" s="39"/>
      <c r="T2155" s="39"/>
      <c r="U2155" s="39"/>
      <c r="V2155" s="39"/>
      <c r="W2155" s="39"/>
      <c r="X2155" s="49" t="s">
        <v>103</v>
      </c>
      <c r="Y2155" s="50">
        <v>3360</v>
      </c>
      <c r="Z2155" s="51">
        <v>3545</v>
      </c>
      <c r="AA2155" s="52">
        <f t="shared" si="58"/>
        <v>1.05505952380952</v>
      </c>
      <c r="AB2155" s="12">
        <v>3545</v>
      </c>
      <c r="AC2155" s="12">
        <v>0</v>
      </c>
      <c r="AD2155" s="43"/>
      <c r="AE2155" s="43"/>
      <c r="AF2155" s="43"/>
      <c r="AG2155" s="43"/>
      <c r="AH2155" s="43"/>
      <c r="AI2155" s="43"/>
      <c r="AJ2155" s="43"/>
      <c r="AK2155" s="43"/>
      <c r="AL2155" s="43"/>
      <c r="AM2155" s="43"/>
      <c r="AN2155" s="43"/>
      <c r="AO2155" s="43"/>
      <c r="AP2155" s="43"/>
      <c r="AQ2155" s="43"/>
      <c r="AR2155" s="43"/>
      <c r="AS2155" s="43"/>
      <c r="AT2155" s="43"/>
      <c r="AU2155" s="43"/>
      <c r="AV2155" s="43"/>
    </row>
    <row r="2156" ht="15.75" spans="1:48">
      <c r="A2156" s="12">
        <v>2152</v>
      </c>
      <c r="B2156" s="44">
        <v>761</v>
      </c>
      <c r="C2156" s="45" t="s">
        <v>89</v>
      </c>
      <c r="D2156" s="46"/>
      <c r="E2156" s="47" t="s">
        <v>113</v>
      </c>
      <c r="F2156" s="48">
        <v>3.33</v>
      </c>
      <c r="G2156" s="38">
        <v>2.83</v>
      </c>
      <c r="H2156" s="39"/>
      <c r="I2156" s="39"/>
      <c r="J2156" s="39"/>
      <c r="K2156" s="39"/>
      <c r="L2156" s="39"/>
      <c r="M2156" s="39"/>
      <c r="N2156" s="39"/>
      <c r="O2156" s="39"/>
      <c r="P2156" s="39"/>
      <c r="Q2156" s="39">
        <v>1.33</v>
      </c>
      <c r="R2156" s="39"/>
      <c r="S2156" s="39">
        <v>1.33</v>
      </c>
      <c r="T2156" s="39"/>
      <c r="U2156" s="39">
        <v>0.17</v>
      </c>
      <c r="V2156" s="39"/>
      <c r="W2156" s="39"/>
      <c r="X2156" s="49" t="s">
        <v>100</v>
      </c>
      <c r="Y2156" s="50">
        <v>6393.6</v>
      </c>
      <c r="Z2156" s="51">
        <v>6120</v>
      </c>
      <c r="AA2156" s="52">
        <f t="shared" si="58"/>
        <v>0.957207207207207</v>
      </c>
      <c r="AB2156" s="12">
        <v>6120</v>
      </c>
      <c r="AC2156" s="12">
        <v>0</v>
      </c>
      <c r="AD2156" s="43"/>
      <c r="AE2156" s="43"/>
      <c r="AF2156" s="43"/>
      <c r="AG2156" s="43"/>
      <c r="AH2156" s="43"/>
      <c r="AI2156" s="43"/>
      <c r="AJ2156" s="43"/>
      <c r="AK2156" s="43"/>
      <c r="AL2156" s="43"/>
      <c r="AM2156" s="43"/>
      <c r="AN2156" s="43"/>
      <c r="AO2156" s="43"/>
      <c r="AP2156" s="43"/>
      <c r="AQ2156" s="43"/>
      <c r="AR2156" s="43"/>
      <c r="AS2156" s="43"/>
      <c r="AT2156" s="43"/>
      <c r="AU2156" s="43"/>
      <c r="AV2156" s="43"/>
    </row>
    <row r="2157" ht="15.75" spans="1:48">
      <c r="A2157" s="12">
        <v>2153</v>
      </c>
      <c r="B2157" s="44">
        <v>761</v>
      </c>
      <c r="C2157" s="45" t="s">
        <v>89</v>
      </c>
      <c r="D2157" s="46"/>
      <c r="E2157" s="47" t="s">
        <v>113</v>
      </c>
      <c r="F2157" s="48">
        <v>2.67</v>
      </c>
      <c r="G2157" s="38">
        <v>0</v>
      </c>
      <c r="H2157" s="39"/>
      <c r="I2157" s="39"/>
      <c r="J2157" s="39"/>
      <c r="K2157" s="39"/>
      <c r="L2157" s="39"/>
      <c r="M2157" s="39"/>
      <c r="N2157" s="39"/>
      <c r="O2157" s="39"/>
      <c r="P2157" s="39"/>
      <c r="Q2157" s="39"/>
      <c r="R2157" s="39"/>
      <c r="S2157" s="39"/>
      <c r="T2157" s="39"/>
      <c r="U2157" s="39"/>
      <c r="V2157" s="39"/>
      <c r="W2157" s="39"/>
      <c r="X2157" s="49" t="s">
        <v>229</v>
      </c>
      <c r="Y2157" s="50">
        <v>9932.4</v>
      </c>
      <c r="Z2157" s="51">
        <v>9900</v>
      </c>
      <c r="AA2157" s="52">
        <f t="shared" si="58"/>
        <v>0.996737948532077</v>
      </c>
      <c r="AB2157" s="12">
        <v>9900</v>
      </c>
      <c r="AC2157" s="12">
        <v>0</v>
      </c>
      <c r="AD2157" s="43"/>
      <c r="AE2157" s="43"/>
      <c r="AF2157" s="43"/>
      <c r="AG2157" s="43"/>
      <c r="AH2157" s="43"/>
      <c r="AI2157" s="43"/>
      <c r="AJ2157" s="43"/>
      <c r="AK2157" s="43"/>
      <c r="AL2157" s="43"/>
      <c r="AM2157" s="43"/>
      <c r="AN2157" s="43"/>
      <c r="AO2157" s="43"/>
      <c r="AP2157" s="43"/>
      <c r="AQ2157" s="43"/>
      <c r="AR2157" s="43"/>
      <c r="AS2157" s="43"/>
      <c r="AT2157" s="43"/>
      <c r="AU2157" s="43"/>
      <c r="AV2157" s="43"/>
    </row>
    <row r="2158" ht="15.75" spans="1:48">
      <c r="A2158" s="12">
        <v>2154</v>
      </c>
      <c r="B2158" s="44">
        <v>761</v>
      </c>
      <c r="C2158" s="45" t="s">
        <v>89</v>
      </c>
      <c r="D2158" s="46"/>
      <c r="E2158" s="47" t="s">
        <v>113</v>
      </c>
      <c r="F2158" s="48">
        <v>1.33</v>
      </c>
      <c r="G2158" s="38">
        <v>0</v>
      </c>
      <c r="H2158" s="39"/>
      <c r="I2158" s="39"/>
      <c r="J2158" s="39"/>
      <c r="K2158" s="39"/>
      <c r="L2158" s="39"/>
      <c r="M2158" s="39"/>
      <c r="N2158" s="39"/>
      <c r="O2158" s="39"/>
      <c r="P2158" s="39"/>
      <c r="Q2158" s="39"/>
      <c r="R2158" s="39"/>
      <c r="S2158" s="39"/>
      <c r="T2158" s="39"/>
      <c r="U2158" s="39"/>
      <c r="V2158" s="39"/>
      <c r="W2158" s="39"/>
      <c r="X2158" s="49" t="s">
        <v>101</v>
      </c>
      <c r="Y2158" s="50">
        <v>2553.6</v>
      </c>
      <c r="Z2158" s="51">
        <v>2520</v>
      </c>
      <c r="AA2158" s="52">
        <f t="shared" si="58"/>
        <v>0.986842105263158</v>
      </c>
      <c r="AB2158" s="12">
        <v>2520</v>
      </c>
      <c r="AC2158" s="12">
        <v>0</v>
      </c>
      <c r="AD2158" s="43"/>
      <c r="AE2158" s="43"/>
      <c r="AF2158" s="43"/>
      <c r="AG2158" s="43"/>
      <c r="AH2158" s="43"/>
      <c r="AI2158" s="43"/>
      <c r="AJ2158" s="43"/>
      <c r="AK2158" s="43"/>
      <c r="AL2158" s="43"/>
      <c r="AM2158" s="43"/>
      <c r="AN2158" s="43"/>
      <c r="AO2158" s="43"/>
      <c r="AP2158" s="43"/>
      <c r="AQ2158" s="43"/>
      <c r="AR2158" s="43"/>
      <c r="AS2158" s="43"/>
      <c r="AT2158" s="43"/>
      <c r="AU2158" s="43"/>
      <c r="AV2158" s="43"/>
    </row>
    <row r="2159" ht="15.75" spans="1:48">
      <c r="A2159" s="12">
        <v>2155</v>
      </c>
      <c r="B2159" s="44">
        <v>761</v>
      </c>
      <c r="C2159" s="45" t="s">
        <v>89</v>
      </c>
      <c r="D2159" s="46"/>
      <c r="E2159" s="47" t="s">
        <v>113</v>
      </c>
      <c r="F2159" s="48">
        <v>1.17</v>
      </c>
      <c r="G2159" s="38">
        <v>0</v>
      </c>
      <c r="H2159" s="39"/>
      <c r="I2159" s="39"/>
      <c r="J2159" s="39"/>
      <c r="K2159" s="39"/>
      <c r="L2159" s="39"/>
      <c r="M2159" s="39"/>
      <c r="N2159" s="39"/>
      <c r="O2159" s="39"/>
      <c r="P2159" s="39"/>
      <c r="Q2159" s="39"/>
      <c r="R2159" s="39"/>
      <c r="S2159" s="39"/>
      <c r="T2159" s="39"/>
      <c r="U2159" s="39"/>
      <c r="V2159" s="39"/>
      <c r="W2159" s="39"/>
      <c r="X2159" s="49" t="s">
        <v>102</v>
      </c>
      <c r="Y2159" s="50">
        <v>5265</v>
      </c>
      <c r="Z2159" s="51">
        <v>5000</v>
      </c>
      <c r="AA2159" s="52">
        <f t="shared" si="58"/>
        <v>0.949667616334283</v>
      </c>
      <c r="AB2159" s="12">
        <v>5000</v>
      </c>
      <c r="AC2159" s="12">
        <v>0</v>
      </c>
      <c r="AD2159" s="43"/>
      <c r="AE2159" s="43"/>
      <c r="AF2159" s="43"/>
      <c r="AG2159" s="43"/>
      <c r="AH2159" s="43"/>
      <c r="AI2159" s="43"/>
      <c r="AJ2159" s="43"/>
      <c r="AK2159" s="43"/>
      <c r="AL2159" s="43"/>
      <c r="AM2159" s="43"/>
      <c r="AN2159" s="43"/>
      <c r="AO2159" s="43"/>
      <c r="AP2159" s="43"/>
      <c r="AQ2159" s="43"/>
      <c r="AR2159" s="43"/>
      <c r="AS2159" s="43"/>
      <c r="AT2159" s="43"/>
      <c r="AU2159" s="43"/>
      <c r="AV2159" s="43"/>
    </row>
    <row r="2160" ht="15.75" spans="1:48">
      <c r="A2160" s="12">
        <v>2156</v>
      </c>
      <c r="B2160" s="44">
        <v>761</v>
      </c>
      <c r="C2160" s="45" t="s">
        <v>89</v>
      </c>
      <c r="D2160" s="46"/>
      <c r="E2160" s="47" t="s">
        <v>113</v>
      </c>
      <c r="F2160" s="48">
        <v>0.67</v>
      </c>
      <c r="G2160" s="38">
        <v>0</v>
      </c>
      <c r="H2160" s="39"/>
      <c r="I2160" s="39"/>
      <c r="J2160" s="39"/>
      <c r="K2160" s="39"/>
      <c r="L2160" s="39"/>
      <c r="M2160" s="39"/>
      <c r="N2160" s="39"/>
      <c r="O2160" s="39"/>
      <c r="P2160" s="39"/>
      <c r="Q2160" s="39"/>
      <c r="R2160" s="39"/>
      <c r="S2160" s="39"/>
      <c r="T2160" s="39"/>
      <c r="U2160" s="39"/>
      <c r="V2160" s="39"/>
      <c r="W2160" s="39"/>
      <c r="X2160" s="49" t="s">
        <v>152</v>
      </c>
      <c r="Y2160" s="50">
        <v>2914.5</v>
      </c>
      <c r="Z2160" s="51">
        <v>2800</v>
      </c>
      <c r="AA2160" s="52">
        <f t="shared" si="58"/>
        <v>0.960713673014239</v>
      </c>
      <c r="AB2160" s="12">
        <v>2800</v>
      </c>
      <c r="AC2160" s="12">
        <v>0</v>
      </c>
      <c r="AD2160" s="43"/>
      <c r="AE2160" s="43"/>
      <c r="AF2160" s="43"/>
      <c r="AG2160" s="43"/>
      <c r="AH2160" s="43"/>
      <c r="AI2160" s="43"/>
      <c r="AJ2160" s="43"/>
      <c r="AK2160" s="43"/>
      <c r="AL2160" s="43"/>
      <c r="AM2160" s="43"/>
      <c r="AN2160" s="43"/>
      <c r="AO2160" s="43"/>
      <c r="AP2160" s="43"/>
      <c r="AQ2160" s="43"/>
      <c r="AR2160" s="43"/>
      <c r="AS2160" s="43"/>
      <c r="AT2160" s="43"/>
      <c r="AU2160" s="43"/>
      <c r="AV2160" s="43"/>
    </row>
    <row r="2161" ht="15.75" spans="1:48">
      <c r="A2161" s="12">
        <v>2157</v>
      </c>
      <c r="B2161" s="44">
        <v>4489</v>
      </c>
      <c r="C2161" s="45" t="s">
        <v>88</v>
      </c>
      <c r="D2161" s="46"/>
      <c r="E2161" s="47" t="s">
        <v>113</v>
      </c>
      <c r="F2161" s="48">
        <v>3.5</v>
      </c>
      <c r="G2161" s="38">
        <v>0</v>
      </c>
      <c r="H2161" s="39"/>
      <c r="I2161" s="39"/>
      <c r="J2161" s="39"/>
      <c r="K2161" s="39"/>
      <c r="L2161" s="39"/>
      <c r="M2161" s="39"/>
      <c r="N2161" s="39"/>
      <c r="O2161" s="39"/>
      <c r="P2161" s="39"/>
      <c r="Q2161" s="39"/>
      <c r="R2161" s="39"/>
      <c r="S2161" s="39"/>
      <c r="T2161" s="39"/>
      <c r="U2161" s="39"/>
      <c r="V2161" s="39"/>
      <c r="W2161" s="39"/>
      <c r="X2161" s="49" t="s">
        <v>103</v>
      </c>
      <c r="Y2161" s="50">
        <v>2940</v>
      </c>
      <c r="Z2161" s="51">
        <v>2998</v>
      </c>
      <c r="AA2161" s="52">
        <f t="shared" si="58"/>
        <v>1.01972789115646</v>
      </c>
      <c r="AB2161" s="12">
        <v>2998</v>
      </c>
      <c r="AC2161" s="12">
        <v>0</v>
      </c>
      <c r="AD2161" s="43"/>
      <c r="AE2161" s="43"/>
      <c r="AF2161" s="43"/>
      <c r="AG2161" s="43"/>
      <c r="AH2161" s="43"/>
      <c r="AI2161" s="43"/>
      <c r="AJ2161" s="43"/>
      <c r="AK2161" s="43"/>
      <c r="AL2161" s="43"/>
      <c r="AM2161" s="43"/>
      <c r="AN2161" s="43"/>
      <c r="AO2161" s="43"/>
      <c r="AP2161" s="43"/>
      <c r="AQ2161" s="43"/>
      <c r="AR2161" s="43"/>
      <c r="AS2161" s="43"/>
      <c r="AT2161" s="43"/>
      <c r="AU2161" s="43"/>
      <c r="AV2161" s="43"/>
    </row>
    <row r="2162" ht="15.75" spans="1:48">
      <c r="A2162" s="12">
        <v>2158</v>
      </c>
      <c r="B2162" s="44">
        <v>4489</v>
      </c>
      <c r="C2162" s="45" t="s">
        <v>88</v>
      </c>
      <c r="D2162" s="46"/>
      <c r="E2162" s="47" t="s">
        <v>113</v>
      </c>
      <c r="F2162" s="48">
        <v>2.17</v>
      </c>
      <c r="G2162" s="38">
        <v>0</v>
      </c>
      <c r="H2162" s="39"/>
      <c r="I2162" s="39"/>
      <c r="J2162" s="39"/>
      <c r="K2162" s="39"/>
      <c r="L2162" s="39"/>
      <c r="M2162" s="39"/>
      <c r="N2162" s="39"/>
      <c r="O2162" s="39"/>
      <c r="P2162" s="39"/>
      <c r="Q2162" s="39"/>
      <c r="R2162" s="39"/>
      <c r="S2162" s="39"/>
      <c r="T2162" s="39"/>
      <c r="U2162" s="39"/>
      <c r="V2162" s="39"/>
      <c r="W2162" s="39"/>
      <c r="X2162" s="49" t="s">
        <v>103</v>
      </c>
      <c r="Y2162" s="50">
        <v>1822.8</v>
      </c>
      <c r="Z2162" s="51">
        <v>1829</v>
      </c>
      <c r="AA2162" s="52">
        <f t="shared" si="58"/>
        <v>1.00340136054422</v>
      </c>
      <c r="AB2162" s="12">
        <v>1829</v>
      </c>
      <c r="AC2162" s="12">
        <v>0</v>
      </c>
      <c r="AD2162" s="43"/>
      <c r="AE2162" s="43"/>
      <c r="AF2162" s="43"/>
      <c r="AG2162" s="43"/>
      <c r="AH2162" s="43"/>
      <c r="AI2162" s="43"/>
      <c r="AJ2162" s="43"/>
      <c r="AK2162" s="43"/>
      <c r="AL2162" s="43"/>
      <c r="AM2162" s="43"/>
      <c r="AN2162" s="43"/>
      <c r="AO2162" s="43"/>
      <c r="AP2162" s="43"/>
      <c r="AQ2162" s="43"/>
      <c r="AR2162" s="43"/>
      <c r="AS2162" s="43"/>
      <c r="AT2162" s="43"/>
      <c r="AU2162" s="43"/>
      <c r="AV2162" s="43"/>
    </row>
    <row r="2163" ht="15.75" spans="1:48">
      <c r="A2163" s="12">
        <v>2159</v>
      </c>
      <c r="B2163" s="44" t="s">
        <v>433</v>
      </c>
      <c r="C2163" s="45" t="s">
        <v>404</v>
      </c>
      <c r="D2163" s="46"/>
      <c r="E2163" s="47" t="s">
        <v>113</v>
      </c>
      <c r="F2163" s="48">
        <v>7.17</v>
      </c>
      <c r="G2163" s="38">
        <v>0.83</v>
      </c>
      <c r="H2163" s="39"/>
      <c r="I2163" s="39"/>
      <c r="J2163" s="39"/>
      <c r="K2163" s="39"/>
      <c r="L2163" s="39"/>
      <c r="M2163" s="39"/>
      <c r="N2163" s="39"/>
      <c r="O2163" s="39"/>
      <c r="P2163" s="39"/>
      <c r="Q2163" s="39">
        <v>0.83</v>
      </c>
      <c r="R2163" s="39"/>
      <c r="S2163" s="39"/>
      <c r="T2163" s="39"/>
      <c r="U2163" s="39"/>
      <c r="V2163" s="39"/>
      <c r="W2163" s="39"/>
      <c r="X2163" s="49" t="s">
        <v>105</v>
      </c>
      <c r="Y2163" s="50">
        <v>3312.54</v>
      </c>
      <c r="Z2163" s="51">
        <v>2400</v>
      </c>
      <c r="AA2163" s="52">
        <f t="shared" si="58"/>
        <v>0.724519552971436</v>
      </c>
      <c r="AB2163" s="12">
        <v>2400</v>
      </c>
      <c r="AC2163" s="12">
        <v>0</v>
      </c>
      <c r="AD2163" s="43"/>
      <c r="AE2163" s="43"/>
      <c r="AF2163" s="43"/>
      <c r="AG2163" s="43"/>
      <c r="AH2163" s="43"/>
      <c r="AI2163" s="43"/>
      <c r="AJ2163" s="43"/>
      <c r="AK2163" s="43"/>
      <c r="AL2163" s="43"/>
      <c r="AM2163" s="43"/>
      <c r="AN2163" s="43"/>
      <c r="AO2163" s="43"/>
      <c r="AP2163" s="43"/>
      <c r="AQ2163" s="43"/>
      <c r="AR2163" s="43"/>
      <c r="AS2163" s="43"/>
      <c r="AT2163" s="43"/>
      <c r="AU2163" s="43"/>
      <c r="AV2163" s="43"/>
    </row>
    <row r="2164" ht="15.75" spans="1:48">
      <c r="A2164" s="12">
        <v>2160</v>
      </c>
      <c r="B2164" s="44">
        <v>4490</v>
      </c>
      <c r="C2164" s="45" t="s">
        <v>91</v>
      </c>
      <c r="D2164" s="46"/>
      <c r="E2164" s="47" t="s">
        <v>113</v>
      </c>
      <c r="F2164" s="48">
        <v>2.67</v>
      </c>
      <c r="G2164" s="38">
        <v>0</v>
      </c>
      <c r="H2164" s="39"/>
      <c r="I2164" s="39"/>
      <c r="J2164" s="39"/>
      <c r="K2164" s="39"/>
      <c r="L2164" s="39"/>
      <c r="M2164" s="39"/>
      <c r="N2164" s="39"/>
      <c r="O2164" s="39"/>
      <c r="P2164" s="39"/>
      <c r="Q2164" s="39"/>
      <c r="R2164" s="39"/>
      <c r="S2164" s="39"/>
      <c r="T2164" s="39"/>
      <c r="U2164" s="39"/>
      <c r="V2164" s="39"/>
      <c r="W2164" s="39"/>
      <c r="X2164" s="49" t="s">
        <v>103</v>
      </c>
      <c r="Y2164" s="50">
        <v>2242.8</v>
      </c>
      <c r="Z2164" s="51">
        <v>2139</v>
      </c>
      <c r="AA2164" s="52">
        <f t="shared" si="58"/>
        <v>0.953718566078117</v>
      </c>
      <c r="AB2164" s="12">
        <v>2139</v>
      </c>
      <c r="AC2164" s="12">
        <v>0</v>
      </c>
      <c r="AD2164" s="43"/>
      <c r="AE2164" s="43"/>
      <c r="AF2164" s="43"/>
      <c r="AG2164" s="43"/>
      <c r="AH2164" s="43"/>
      <c r="AI2164" s="43"/>
      <c r="AJ2164" s="43"/>
      <c r="AK2164" s="43"/>
      <c r="AL2164" s="43"/>
      <c r="AM2164" s="43"/>
      <c r="AN2164" s="43"/>
      <c r="AO2164" s="43"/>
      <c r="AP2164" s="43"/>
      <c r="AQ2164" s="43"/>
      <c r="AR2164" s="43"/>
      <c r="AS2164" s="43"/>
      <c r="AT2164" s="43"/>
      <c r="AU2164" s="43"/>
      <c r="AV2164" s="43"/>
    </row>
    <row r="2165" ht="15.75" spans="1:48">
      <c r="A2165" s="12">
        <v>2161</v>
      </c>
      <c r="B2165" s="44">
        <v>4511</v>
      </c>
      <c r="C2165" s="45" t="s">
        <v>423</v>
      </c>
      <c r="D2165" s="46" t="s">
        <v>49</v>
      </c>
      <c r="E2165" s="47" t="s">
        <v>293</v>
      </c>
      <c r="F2165" s="48">
        <v>7.17</v>
      </c>
      <c r="G2165" s="38">
        <v>1</v>
      </c>
      <c r="H2165" s="39"/>
      <c r="I2165" s="39"/>
      <c r="J2165" s="39"/>
      <c r="K2165" s="39"/>
      <c r="L2165" s="39"/>
      <c r="M2165" s="39"/>
      <c r="N2165" s="39"/>
      <c r="O2165" s="39"/>
      <c r="P2165" s="39"/>
      <c r="Q2165" s="39">
        <v>0.83</v>
      </c>
      <c r="R2165" s="39"/>
      <c r="S2165" s="39"/>
      <c r="T2165" s="39"/>
      <c r="U2165" s="39">
        <v>0.17</v>
      </c>
      <c r="V2165" s="39"/>
      <c r="W2165" s="39"/>
      <c r="X2165" s="49" t="s">
        <v>395</v>
      </c>
      <c r="Y2165" s="50">
        <v>29310.96</v>
      </c>
      <c r="Z2165" s="51">
        <v>23200</v>
      </c>
      <c r="AA2165" s="52">
        <f t="shared" si="58"/>
        <v>0.791512799307836</v>
      </c>
      <c r="AB2165" s="12">
        <v>23200</v>
      </c>
      <c r="AC2165" s="12">
        <v>0</v>
      </c>
      <c r="AD2165" s="43"/>
      <c r="AE2165" s="43"/>
      <c r="AF2165" s="43"/>
      <c r="AG2165" s="43"/>
      <c r="AH2165" s="43"/>
      <c r="AI2165" s="43"/>
      <c r="AJ2165" s="43"/>
      <c r="AK2165" s="43"/>
      <c r="AL2165" s="43"/>
      <c r="AM2165" s="43"/>
      <c r="AN2165" s="43"/>
      <c r="AO2165" s="43"/>
      <c r="AP2165" s="43"/>
      <c r="AQ2165" s="43"/>
      <c r="AR2165" s="43"/>
      <c r="AS2165" s="43"/>
      <c r="AT2165" s="43"/>
      <c r="AU2165" s="43"/>
      <c r="AV2165" s="43"/>
    </row>
    <row r="2166" ht="15.75" spans="1:48">
      <c r="A2166" s="12">
        <v>2162</v>
      </c>
      <c r="B2166" s="44">
        <v>3111</v>
      </c>
      <c r="C2166" s="45" t="s">
        <v>124</v>
      </c>
      <c r="D2166" s="46" t="s">
        <v>53</v>
      </c>
      <c r="E2166" s="47" t="s">
        <v>50</v>
      </c>
      <c r="F2166" s="48">
        <v>10.67</v>
      </c>
      <c r="G2166" s="38">
        <v>1.34</v>
      </c>
      <c r="H2166" s="39"/>
      <c r="I2166" s="39"/>
      <c r="J2166" s="39"/>
      <c r="K2166" s="39"/>
      <c r="L2166" s="39"/>
      <c r="M2166" s="39"/>
      <c r="N2166" s="39"/>
      <c r="O2166" s="39"/>
      <c r="P2166" s="39"/>
      <c r="Q2166" s="39">
        <v>1.17</v>
      </c>
      <c r="R2166" s="39"/>
      <c r="S2166" s="39"/>
      <c r="T2166" s="39"/>
      <c r="U2166" s="39">
        <v>0.17</v>
      </c>
      <c r="V2166" s="39"/>
      <c r="W2166" s="39"/>
      <c r="X2166" s="49" t="s">
        <v>55</v>
      </c>
      <c r="Y2166" s="50">
        <v>25768.05</v>
      </c>
      <c r="Z2166" s="51">
        <v>26220</v>
      </c>
      <c r="AA2166" s="52">
        <f t="shared" si="58"/>
        <v>1.01753916186906</v>
      </c>
      <c r="AB2166" s="12">
        <v>26220</v>
      </c>
      <c r="AC2166" s="12">
        <v>0</v>
      </c>
      <c r="AD2166" s="43"/>
      <c r="AE2166" s="43"/>
      <c r="AF2166" s="43"/>
      <c r="AG2166" s="43"/>
      <c r="AH2166" s="43"/>
      <c r="AI2166" s="43"/>
      <c r="AJ2166" s="43"/>
      <c r="AK2166" s="43"/>
      <c r="AL2166" s="43"/>
      <c r="AM2166" s="43"/>
      <c r="AN2166" s="43"/>
      <c r="AO2166" s="43"/>
      <c r="AP2166" s="43"/>
      <c r="AQ2166" s="43"/>
      <c r="AR2166" s="43"/>
      <c r="AS2166" s="43"/>
      <c r="AT2166" s="43"/>
      <c r="AU2166" s="43"/>
      <c r="AV2166" s="43"/>
    </row>
    <row r="2167" ht="15.75" spans="1:48">
      <c r="A2167" s="12">
        <v>2163</v>
      </c>
      <c r="B2167" s="44">
        <v>2890</v>
      </c>
      <c r="C2167" s="45" t="s">
        <v>111</v>
      </c>
      <c r="D2167" s="46" t="s">
        <v>112</v>
      </c>
      <c r="E2167" s="47" t="s">
        <v>50</v>
      </c>
      <c r="F2167" s="48">
        <v>1.83</v>
      </c>
      <c r="G2167" s="38">
        <v>0.17</v>
      </c>
      <c r="H2167" s="39"/>
      <c r="I2167" s="39"/>
      <c r="J2167" s="39"/>
      <c r="K2167" s="39"/>
      <c r="L2167" s="39"/>
      <c r="M2167" s="39"/>
      <c r="N2167" s="39"/>
      <c r="O2167" s="39"/>
      <c r="P2167" s="39"/>
      <c r="Q2167" s="39"/>
      <c r="R2167" s="39"/>
      <c r="S2167" s="39"/>
      <c r="T2167" s="39"/>
      <c r="U2167" s="39">
        <v>0.17</v>
      </c>
      <c r="V2167" s="39"/>
      <c r="W2167" s="39"/>
      <c r="X2167" s="49" t="s">
        <v>434</v>
      </c>
      <c r="Y2167" s="50">
        <v>0</v>
      </c>
      <c r="Z2167" s="51">
        <v>1626</v>
      </c>
      <c r="AA2167" s="52">
        <f t="shared" si="58"/>
        <v>0</v>
      </c>
      <c r="AB2167" s="12">
        <v>1626</v>
      </c>
      <c r="AC2167" s="12">
        <v>0</v>
      </c>
      <c r="AD2167" s="43"/>
      <c r="AE2167" s="43"/>
      <c r="AF2167" s="43"/>
      <c r="AG2167" s="43"/>
      <c r="AH2167" s="43"/>
      <c r="AI2167" s="43"/>
      <c r="AJ2167" s="43"/>
      <c r="AK2167" s="43"/>
      <c r="AL2167" s="43"/>
      <c r="AM2167" s="43"/>
      <c r="AN2167" s="43"/>
      <c r="AO2167" s="43"/>
      <c r="AP2167" s="43"/>
      <c r="AQ2167" s="43"/>
      <c r="AR2167" s="43"/>
      <c r="AS2167" s="43"/>
      <c r="AT2167" s="43"/>
      <c r="AU2167" s="43"/>
      <c r="AV2167" s="43"/>
    </row>
    <row r="2168" ht="15.75" spans="1:48">
      <c r="A2168" s="12">
        <v>2164</v>
      </c>
      <c r="B2168" s="44">
        <v>2890</v>
      </c>
      <c r="C2168" s="45" t="s">
        <v>111</v>
      </c>
      <c r="D2168" s="46" t="s">
        <v>202</v>
      </c>
      <c r="E2168" s="47" t="s">
        <v>50</v>
      </c>
      <c r="F2168" s="48">
        <v>8.33</v>
      </c>
      <c r="G2168" s="38">
        <v>1.67</v>
      </c>
      <c r="H2168" s="39"/>
      <c r="I2168" s="39"/>
      <c r="J2168" s="39"/>
      <c r="K2168" s="39"/>
      <c r="L2168" s="39"/>
      <c r="M2168" s="39"/>
      <c r="N2168" s="39"/>
      <c r="O2168" s="39"/>
      <c r="P2168" s="39"/>
      <c r="Q2168" s="39">
        <v>1.17</v>
      </c>
      <c r="R2168" s="39"/>
      <c r="S2168" s="39"/>
      <c r="T2168" s="39"/>
      <c r="U2168" s="39">
        <v>0.5</v>
      </c>
      <c r="V2168" s="39"/>
      <c r="W2168" s="39"/>
      <c r="X2168" s="49" t="s">
        <v>51</v>
      </c>
      <c r="Y2168" s="50">
        <v>25864.65</v>
      </c>
      <c r="Z2168" s="51">
        <v>26100</v>
      </c>
      <c r="AA2168" s="52">
        <f t="shared" si="58"/>
        <v>1.00909929189067</v>
      </c>
      <c r="AB2168" s="12">
        <v>26100</v>
      </c>
      <c r="AC2168" s="12">
        <v>0</v>
      </c>
      <c r="AD2168" s="43"/>
      <c r="AE2168" s="43"/>
      <c r="AF2168" s="43"/>
      <c r="AG2168" s="43"/>
      <c r="AH2168" s="43"/>
      <c r="AI2168" s="43"/>
      <c r="AJ2168" s="43"/>
      <c r="AK2168" s="43"/>
      <c r="AL2168" s="43"/>
      <c r="AM2168" s="43"/>
      <c r="AN2168" s="43"/>
      <c r="AO2168" s="43"/>
      <c r="AP2168" s="43"/>
      <c r="AQ2168" s="43"/>
      <c r="AR2168" s="43"/>
      <c r="AS2168" s="43"/>
      <c r="AT2168" s="43"/>
      <c r="AU2168" s="43"/>
      <c r="AV2168" s="43"/>
    </row>
    <row r="2169" ht="15.75" spans="1:48">
      <c r="A2169" s="12">
        <v>2165</v>
      </c>
      <c r="B2169" s="44">
        <v>2284</v>
      </c>
      <c r="C2169" s="45" t="s">
        <v>59</v>
      </c>
      <c r="D2169" s="46"/>
      <c r="E2169" s="47" t="s">
        <v>50</v>
      </c>
      <c r="F2169" s="48">
        <v>10.83</v>
      </c>
      <c r="G2169" s="38">
        <v>1.17</v>
      </c>
      <c r="H2169" s="39"/>
      <c r="I2169" s="39"/>
      <c r="J2169" s="39"/>
      <c r="K2169" s="39"/>
      <c r="L2169" s="39"/>
      <c r="M2169" s="39"/>
      <c r="N2169" s="39"/>
      <c r="O2169" s="39"/>
      <c r="P2169" s="39"/>
      <c r="Q2169" s="39">
        <v>1.17</v>
      </c>
      <c r="R2169" s="39"/>
      <c r="S2169" s="39"/>
      <c r="T2169" s="39"/>
      <c r="U2169" s="39"/>
      <c r="V2169" s="39"/>
      <c r="W2169" s="39"/>
      <c r="X2169" s="49" t="s">
        <v>140</v>
      </c>
      <c r="Y2169" s="50">
        <v>0</v>
      </c>
      <c r="Z2169" s="51"/>
      <c r="AA2169" s="52">
        <f t="shared" ref="AA2169:AA2200" si="59">IFERROR(Z2169/Y2169,0)</f>
        <v>0</v>
      </c>
      <c r="AB2169" s="12">
        <v>0</v>
      </c>
      <c r="AC2169" s="12">
        <v>0</v>
      </c>
      <c r="AD2169" s="43"/>
      <c r="AE2169" s="43"/>
      <c r="AF2169" s="43"/>
      <c r="AG2169" s="43"/>
      <c r="AH2169" s="43"/>
      <c r="AI2169" s="43"/>
      <c r="AJ2169" s="43"/>
      <c r="AK2169" s="43"/>
      <c r="AL2169" s="43"/>
      <c r="AM2169" s="43"/>
      <c r="AN2169" s="43"/>
      <c r="AO2169" s="43"/>
      <c r="AP2169" s="43"/>
      <c r="AQ2169" s="43"/>
      <c r="AR2169" s="43"/>
      <c r="AS2169" s="43"/>
      <c r="AT2169" s="43"/>
      <c r="AU2169" s="43"/>
      <c r="AV2169" s="43"/>
    </row>
    <row r="2170" ht="15.75" spans="1:48">
      <c r="A2170" s="12">
        <v>2166</v>
      </c>
      <c r="B2170" s="44">
        <v>656</v>
      </c>
      <c r="C2170" s="45" t="s">
        <v>195</v>
      </c>
      <c r="D2170" s="46"/>
      <c r="E2170" s="47" t="s">
        <v>50</v>
      </c>
      <c r="F2170" s="48">
        <v>10.17</v>
      </c>
      <c r="G2170" s="38">
        <v>1.84</v>
      </c>
      <c r="H2170" s="39"/>
      <c r="I2170" s="39"/>
      <c r="J2170" s="39"/>
      <c r="K2170" s="39"/>
      <c r="L2170" s="39"/>
      <c r="M2170" s="39"/>
      <c r="N2170" s="39"/>
      <c r="O2170" s="39"/>
      <c r="P2170" s="39"/>
      <c r="Q2170" s="39">
        <v>1.17</v>
      </c>
      <c r="R2170" s="39"/>
      <c r="S2170" s="39"/>
      <c r="T2170" s="39"/>
      <c r="U2170" s="39">
        <v>0.67</v>
      </c>
      <c r="V2170" s="39"/>
      <c r="W2170" s="39"/>
      <c r="X2170" s="49">
        <v>9276</v>
      </c>
      <c r="Y2170" s="50">
        <v>5085</v>
      </c>
      <c r="Z2170" s="51">
        <v>5064</v>
      </c>
      <c r="AA2170" s="52">
        <f t="shared" si="59"/>
        <v>0.995870206489676</v>
      </c>
      <c r="AB2170" s="12">
        <v>5064</v>
      </c>
      <c r="AC2170" s="12">
        <v>0</v>
      </c>
      <c r="AD2170" s="43"/>
      <c r="AE2170" s="43"/>
      <c r="AF2170" s="43"/>
      <c r="AG2170" s="43"/>
      <c r="AH2170" s="43"/>
      <c r="AI2170" s="43"/>
      <c r="AJ2170" s="43"/>
      <c r="AK2170" s="43"/>
      <c r="AL2170" s="43"/>
      <c r="AM2170" s="43"/>
      <c r="AN2170" s="43"/>
      <c r="AO2170" s="43"/>
      <c r="AP2170" s="43"/>
      <c r="AQ2170" s="43"/>
      <c r="AR2170" s="43"/>
      <c r="AS2170" s="43"/>
      <c r="AT2170" s="43"/>
      <c r="AU2170" s="43"/>
      <c r="AV2170" s="43"/>
    </row>
    <row r="2171" ht="15.75" spans="1:48">
      <c r="A2171" s="12">
        <v>2167</v>
      </c>
      <c r="B2171" s="44">
        <v>3959</v>
      </c>
      <c r="C2171" s="45" t="s">
        <v>123</v>
      </c>
      <c r="D2171" s="46"/>
      <c r="E2171" s="47" t="s">
        <v>50</v>
      </c>
      <c r="F2171" s="48">
        <v>10.83</v>
      </c>
      <c r="G2171" s="38">
        <v>1.17</v>
      </c>
      <c r="H2171" s="39"/>
      <c r="I2171" s="39"/>
      <c r="J2171" s="39"/>
      <c r="K2171" s="39"/>
      <c r="L2171" s="39"/>
      <c r="M2171" s="39"/>
      <c r="N2171" s="39"/>
      <c r="O2171" s="39"/>
      <c r="P2171" s="39"/>
      <c r="Q2171" s="39">
        <v>1.17</v>
      </c>
      <c r="R2171" s="39"/>
      <c r="S2171" s="39"/>
      <c r="T2171" s="39"/>
      <c r="U2171" s="39"/>
      <c r="V2171" s="39"/>
      <c r="W2171" s="39"/>
      <c r="X2171" s="49" t="s">
        <v>67</v>
      </c>
      <c r="Y2171" s="50">
        <v>2707.5</v>
      </c>
      <c r="Z2171" s="51">
        <v>2700</v>
      </c>
      <c r="AA2171" s="52">
        <f t="shared" si="59"/>
        <v>0.997229916897507</v>
      </c>
      <c r="AB2171" s="12">
        <v>2700</v>
      </c>
      <c r="AC2171" s="12">
        <v>0</v>
      </c>
      <c r="AD2171" s="43"/>
      <c r="AE2171" s="43"/>
      <c r="AF2171" s="43"/>
      <c r="AG2171" s="43"/>
      <c r="AH2171" s="43"/>
      <c r="AI2171" s="43"/>
      <c r="AJ2171" s="43"/>
      <c r="AK2171" s="43"/>
      <c r="AL2171" s="43"/>
      <c r="AM2171" s="43"/>
      <c r="AN2171" s="43"/>
      <c r="AO2171" s="43"/>
      <c r="AP2171" s="43"/>
      <c r="AQ2171" s="43"/>
      <c r="AR2171" s="43"/>
      <c r="AS2171" s="43"/>
      <c r="AT2171" s="43"/>
      <c r="AU2171" s="43"/>
      <c r="AV2171" s="43"/>
    </row>
    <row r="2172" ht="15.75" spans="1:48">
      <c r="A2172" s="12">
        <v>2168</v>
      </c>
      <c r="B2172" s="44">
        <v>4504</v>
      </c>
      <c r="C2172" s="45" t="s">
        <v>304</v>
      </c>
      <c r="D2172" s="46">
        <v>1</v>
      </c>
      <c r="E2172" s="47" t="s">
        <v>50</v>
      </c>
      <c r="F2172" s="48">
        <v>10.67</v>
      </c>
      <c r="G2172" s="38">
        <v>1.34</v>
      </c>
      <c r="H2172" s="39"/>
      <c r="I2172" s="39"/>
      <c r="J2172" s="39"/>
      <c r="K2172" s="39"/>
      <c r="L2172" s="39"/>
      <c r="M2172" s="39"/>
      <c r="N2172" s="39"/>
      <c r="O2172" s="39"/>
      <c r="P2172" s="39"/>
      <c r="Q2172" s="39">
        <v>1.17</v>
      </c>
      <c r="R2172" s="39"/>
      <c r="S2172" s="39"/>
      <c r="T2172" s="39">
        <v>0.17</v>
      </c>
      <c r="U2172" s="39"/>
      <c r="V2172" s="39"/>
      <c r="W2172" s="39"/>
      <c r="X2172" s="49" t="s">
        <v>58</v>
      </c>
      <c r="Y2172" s="50">
        <v>3734.5</v>
      </c>
      <c r="Z2172" s="51">
        <v>3660</v>
      </c>
      <c r="AA2172" s="52">
        <f t="shared" si="59"/>
        <v>0.980050876958093</v>
      </c>
      <c r="AB2172" s="12">
        <v>3558</v>
      </c>
      <c r="AC2172" s="12">
        <v>102</v>
      </c>
      <c r="AD2172" s="19">
        <v>102</v>
      </c>
      <c r="AE2172" s="43"/>
      <c r="AF2172" s="43"/>
      <c r="AG2172" s="43"/>
      <c r="AH2172" s="43"/>
      <c r="AI2172" s="43"/>
      <c r="AJ2172" s="43"/>
      <c r="AK2172" s="43"/>
      <c r="AL2172" s="43"/>
      <c r="AM2172" s="43"/>
      <c r="AN2172" s="43"/>
      <c r="AO2172" s="43"/>
      <c r="AP2172" s="43"/>
      <c r="AQ2172" s="43"/>
      <c r="AR2172" s="43"/>
      <c r="AS2172" s="43"/>
      <c r="AT2172" s="43"/>
      <c r="AU2172" s="43"/>
      <c r="AV2172" s="43"/>
    </row>
    <row r="2173" ht="15.75" spans="1:48">
      <c r="A2173" s="12">
        <v>2169</v>
      </c>
      <c r="B2173" s="44">
        <v>3187</v>
      </c>
      <c r="C2173" s="45" t="s">
        <v>52</v>
      </c>
      <c r="D2173" s="46">
        <v>4</v>
      </c>
      <c r="E2173" s="47" t="s">
        <v>50</v>
      </c>
      <c r="F2173" s="48">
        <v>10.83</v>
      </c>
      <c r="G2173" s="38">
        <v>1.17</v>
      </c>
      <c r="H2173" s="39"/>
      <c r="I2173" s="39"/>
      <c r="J2173" s="39"/>
      <c r="K2173" s="39"/>
      <c r="L2173" s="39"/>
      <c r="M2173" s="39"/>
      <c r="N2173" s="39"/>
      <c r="O2173" s="39"/>
      <c r="P2173" s="39"/>
      <c r="Q2173" s="39">
        <v>1.17</v>
      </c>
      <c r="R2173" s="39"/>
      <c r="S2173" s="39"/>
      <c r="T2173" s="39"/>
      <c r="U2173" s="39"/>
      <c r="V2173" s="39"/>
      <c r="W2173" s="39"/>
      <c r="X2173" s="49">
        <v>9116</v>
      </c>
      <c r="Y2173" s="50">
        <v>3249</v>
      </c>
      <c r="Z2173" s="51">
        <v>3250</v>
      </c>
      <c r="AA2173" s="52">
        <f t="shared" si="59"/>
        <v>1.00030778701139</v>
      </c>
      <c r="AB2173" s="12">
        <v>3250</v>
      </c>
      <c r="AC2173" s="12">
        <v>0</v>
      </c>
      <c r="AD2173" s="43"/>
      <c r="AE2173" s="43"/>
      <c r="AF2173" s="43"/>
      <c r="AG2173" s="43"/>
      <c r="AH2173" s="43"/>
      <c r="AI2173" s="43"/>
      <c r="AJ2173" s="43"/>
      <c r="AK2173" s="43"/>
      <c r="AL2173" s="43"/>
      <c r="AM2173" s="43"/>
      <c r="AN2173" s="43"/>
      <c r="AO2173" s="43"/>
      <c r="AP2173" s="43"/>
      <c r="AQ2173" s="43"/>
      <c r="AR2173" s="43"/>
      <c r="AS2173" s="43"/>
      <c r="AT2173" s="43"/>
      <c r="AU2173" s="43"/>
      <c r="AV2173" s="43"/>
    </row>
    <row r="2174" ht="15.75" spans="1:48">
      <c r="A2174" s="12">
        <v>2170</v>
      </c>
      <c r="B2174" s="44">
        <v>655</v>
      </c>
      <c r="C2174" s="45" t="s">
        <v>198</v>
      </c>
      <c r="D2174" s="46">
        <v>10</v>
      </c>
      <c r="E2174" s="47" t="s">
        <v>50</v>
      </c>
      <c r="F2174" s="48">
        <v>10.67</v>
      </c>
      <c r="G2174" s="38">
        <v>1.34</v>
      </c>
      <c r="H2174" s="39"/>
      <c r="I2174" s="39"/>
      <c r="J2174" s="39"/>
      <c r="K2174" s="39"/>
      <c r="L2174" s="39"/>
      <c r="M2174" s="39"/>
      <c r="N2174" s="39"/>
      <c r="O2174" s="39"/>
      <c r="P2174" s="39"/>
      <c r="Q2174" s="39">
        <v>1.17</v>
      </c>
      <c r="R2174" s="39"/>
      <c r="S2174" s="39"/>
      <c r="T2174" s="39"/>
      <c r="U2174" s="39">
        <v>0.17</v>
      </c>
      <c r="V2174" s="39"/>
      <c r="W2174" s="39"/>
      <c r="X2174" s="49">
        <v>127</v>
      </c>
      <c r="Y2174" s="50">
        <v>5335</v>
      </c>
      <c r="Z2174" s="51">
        <v>5400</v>
      </c>
      <c r="AA2174" s="52">
        <f t="shared" si="59"/>
        <v>1.01218369259606</v>
      </c>
      <c r="AB2174" s="12">
        <v>5400</v>
      </c>
      <c r="AC2174" s="12">
        <v>0</v>
      </c>
      <c r="AD2174" s="43"/>
      <c r="AE2174" s="43"/>
      <c r="AF2174" s="43"/>
      <c r="AG2174" s="43"/>
      <c r="AH2174" s="43"/>
      <c r="AI2174" s="43"/>
      <c r="AJ2174" s="43"/>
      <c r="AK2174" s="43"/>
      <c r="AL2174" s="43"/>
      <c r="AM2174" s="43"/>
      <c r="AN2174" s="43"/>
      <c r="AO2174" s="43"/>
      <c r="AP2174" s="43"/>
      <c r="AQ2174" s="43"/>
      <c r="AR2174" s="43"/>
      <c r="AS2174" s="43"/>
      <c r="AT2174" s="43"/>
      <c r="AU2174" s="43"/>
      <c r="AV2174" s="43"/>
    </row>
    <row r="2175" ht="15.75" spans="1:48">
      <c r="A2175" s="12">
        <v>2171</v>
      </c>
      <c r="B2175" s="44">
        <v>4418</v>
      </c>
      <c r="C2175" s="45" t="s">
        <v>125</v>
      </c>
      <c r="D2175" s="46">
        <v>4</v>
      </c>
      <c r="E2175" s="47" t="s">
        <v>50</v>
      </c>
      <c r="F2175" s="48">
        <v>10.5</v>
      </c>
      <c r="G2175" s="38">
        <v>1.51</v>
      </c>
      <c r="H2175" s="39"/>
      <c r="I2175" s="39"/>
      <c r="J2175" s="39"/>
      <c r="K2175" s="39"/>
      <c r="L2175" s="39"/>
      <c r="M2175" s="39"/>
      <c r="N2175" s="39"/>
      <c r="O2175" s="39"/>
      <c r="P2175" s="39"/>
      <c r="Q2175" s="39">
        <v>1.17</v>
      </c>
      <c r="R2175" s="39"/>
      <c r="S2175" s="39"/>
      <c r="T2175" s="39">
        <v>0.17</v>
      </c>
      <c r="U2175" s="39">
        <v>0.17</v>
      </c>
      <c r="V2175" s="39"/>
      <c r="W2175" s="39"/>
      <c r="X2175" s="49">
        <v>9116</v>
      </c>
      <c r="Y2175" s="50">
        <v>3150</v>
      </c>
      <c r="Z2175" s="51">
        <v>3120</v>
      </c>
      <c r="AA2175" s="52">
        <f t="shared" si="59"/>
        <v>0.990476190476191</v>
      </c>
      <c r="AB2175" s="12">
        <v>3018</v>
      </c>
      <c r="AC2175" s="12">
        <v>102</v>
      </c>
      <c r="AD2175" s="19">
        <v>102</v>
      </c>
      <c r="AE2175" s="43"/>
      <c r="AF2175" s="43"/>
      <c r="AG2175" s="43"/>
      <c r="AH2175" s="43"/>
      <c r="AI2175" s="43"/>
      <c r="AJ2175" s="43"/>
      <c r="AK2175" s="43"/>
      <c r="AL2175" s="43"/>
      <c r="AM2175" s="43"/>
      <c r="AN2175" s="43"/>
      <c r="AO2175" s="43"/>
      <c r="AP2175" s="43"/>
      <c r="AQ2175" s="43"/>
      <c r="AR2175" s="43"/>
      <c r="AS2175" s="43"/>
      <c r="AT2175" s="43"/>
      <c r="AU2175" s="43"/>
      <c r="AV2175" s="43"/>
    </row>
    <row r="2176" ht="15.75" spans="1:48">
      <c r="A2176" s="12">
        <v>2172</v>
      </c>
      <c r="B2176" s="44" t="s">
        <v>396</v>
      </c>
      <c r="C2176" s="45" t="s">
        <v>397</v>
      </c>
      <c r="D2176" s="46"/>
      <c r="E2176" s="47" t="s">
        <v>50</v>
      </c>
      <c r="F2176" s="48">
        <v>10.67</v>
      </c>
      <c r="G2176" s="38">
        <v>1.34</v>
      </c>
      <c r="H2176" s="39"/>
      <c r="I2176" s="39"/>
      <c r="J2176" s="39"/>
      <c r="K2176" s="39"/>
      <c r="L2176" s="39"/>
      <c r="M2176" s="39"/>
      <c r="N2176" s="39"/>
      <c r="O2176" s="39"/>
      <c r="P2176" s="39"/>
      <c r="Q2176" s="39">
        <v>1.17</v>
      </c>
      <c r="R2176" s="39"/>
      <c r="S2176" s="39"/>
      <c r="T2176" s="39"/>
      <c r="U2176" s="39">
        <v>0.17</v>
      </c>
      <c r="V2176" s="39"/>
      <c r="W2176" s="39"/>
      <c r="X2176" s="49" t="s">
        <v>58</v>
      </c>
      <c r="Y2176" s="50">
        <v>2614.15</v>
      </c>
      <c r="Z2176" s="51">
        <v>3660</v>
      </c>
      <c r="AA2176" s="52">
        <f t="shared" si="59"/>
        <v>1.4000726813687</v>
      </c>
      <c r="AB2176" s="12">
        <v>3558</v>
      </c>
      <c r="AC2176" s="12">
        <v>102</v>
      </c>
      <c r="AD2176" s="19">
        <v>102</v>
      </c>
      <c r="AE2176" s="43"/>
      <c r="AF2176" s="43"/>
      <c r="AG2176" s="43"/>
      <c r="AH2176" s="43"/>
      <c r="AI2176" s="43"/>
      <c r="AJ2176" s="43"/>
      <c r="AK2176" s="43"/>
      <c r="AL2176" s="43"/>
      <c r="AM2176" s="43"/>
      <c r="AN2176" s="43"/>
      <c r="AO2176" s="43"/>
      <c r="AP2176" s="43"/>
      <c r="AQ2176" s="43"/>
      <c r="AR2176" s="43"/>
      <c r="AS2176" s="43"/>
      <c r="AT2176" s="43"/>
      <c r="AU2176" s="43"/>
      <c r="AV2176" s="43"/>
    </row>
    <row r="2177" ht="15.75" spans="1:48">
      <c r="A2177" s="12">
        <v>2173</v>
      </c>
      <c r="B2177" s="44">
        <v>2649</v>
      </c>
      <c r="C2177" s="45" t="s">
        <v>121</v>
      </c>
      <c r="D2177" s="46"/>
      <c r="E2177" s="47" t="s">
        <v>50</v>
      </c>
      <c r="F2177" s="48">
        <v>7</v>
      </c>
      <c r="G2177" s="38">
        <v>1.17</v>
      </c>
      <c r="H2177" s="39"/>
      <c r="I2177" s="39"/>
      <c r="J2177" s="39"/>
      <c r="K2177" s="39"/>
      <c r="L2177" s="39"/>
      <c r="M2177" s="39"/>
      <c r="N2177" s="39"/>
      <c r="O2177" s="39"/>
      <c r="P2177" s="39"/>
      <c r="Q2177" s="39">
        <v>1.17</v>
      </c>
      <c r="R2177" s="39"/>
      <c r="S2177" s="39"/>
      <c r="T2177" s="39"/>
      <c r="U2177" s="39"/>
      <c r="V2177" s="39"/>
      <c r="W2177" s="39"/>
      <c r="X2177" s="49" t="s">
        <v>67</v>
      </c>
      <c r="Y2177" s="50">
        <v>1750</v>
      </c>
      <c r="Z2177" s="51">
        <v>1770</v>
      </c>
      <c r="AA2177" s="52">
        <f t="shared" si="59"/>
        <v>1.01142857142857</v>
      </c>
      <c r="AB2177" s="12">
        <v>1770</v>
      </c>
      <c r="AC2177" s="12">
        <v>0</v>
      </c>
      <c r="AD2177" s="43"/>
      <c r="AE2177" s="43"/>
      <c r="AF2177" s="43"/>
      <c r="AG2177" s="43"/>
      <c r="AH2177" s="43"/>
      <c r="AI2177" s="43"/>
      <c r="AJ2177" s="43"/>
      <c r="AK2177" s="43"/>
      <c r="AL2177" s="43"/>
      <c r="AM2177" s="43"/>
      <c r="AN2177" s="43"/>
      <c r="AO2177" s="43"/>
      <c r="AP2177" s="43"/>
      <c r="AQ2177" s="43"/>
      <c r="AR2177" s="43"/>
      <c r="AS2177" s="43"/>
      <c r="AT2177" s="43"/>
      <c r="AU2177" s="43"/>
      <c r="AV2177" s="43"/>
    </row>
    <row r="2178" ht="15.75" spans="1:48">
      <c r="A2178" s="12">
        <v>2174</v>
      </c>
      <c r="B2178" s="44">
        <v>2649</v>
      </c>
      <c r="C2178" s="45" t="s">
        <v>121</v>
      </c>
      <c r="D2178" s="46"/>
      <c r="E2178" s="47" t="s">
        <v>50</v>
      </c>
      <c r="F2178" s="48">
        <v>3.83</v>
      </c>
      <c r="G2178" s="38">
        <v>0</v>
      </c>
      <c r="H2178" s="39"/>
      <c r="I2178" s="39"/>
      <c r="J2178" s="39"/>
      <c r="K2178" s="39"/>
      <c r="L2178" s="39"/>
      <c r="M2178" s="39"/>
      <c r="N2178" s="39"/>
      <c r="O2178" s="39"/>
      <c r="P2178" s="39"/>
      <c r="Q2178" s="39"/>
      <c r="R2178" s="39"/>
      <c r="S2178" s="39"/>
      <c r="T2178" s="39"/>
      <c r="U2178" s="39"/>
      <c r="V2178" s="39"/>
      <c r="W2178" s="39"/>
      <c r="X2178" s="49" t="s">
        <v>155</v>
      </c>
      <c r="Y2178" s="50">
        <v>0</v>
      </c>
      <c r="Z2178" s="51"/>
      <c r="AA2178" s="52">
        <f t="shared" si="59"/>
        <v>0</v>
      </c>
      <c r="AB2178" s="12">
        <v>0</v>
      </c>
      <c r="AC2178" s="12">
        <v>0</v>
      </c>
      <c r="AD2178" s="43"/>
      <c r="AE2178" s="43"/>
      <c r="AF2178" s="43"/>
      <c r="AG2178" s="43"/>
      <c r="AH2178" s="43"/>
      <c r="AI2178" s="43"/>
      <c r="AJ2178" s="43"/>
      <c r="AK2178" s="43"/>
      <c r="AL2178" s="43"/>
      <c r="AM2178" s="43"/>
      <c r="AN2178" s="43"/>
      <c r="AO2178" s="43"/>
      <c r="AP2178" s="43"/>
      <c r="AQ2178" s="43"/>
      <c r="AR2178" s="43"/>
      <c r="AS2178" s="43"/>
      <c r="AT2178" s="43"/>
      <c r="AU2178" s="43"/>
      <c r="AV2178" s="43"/>
    </row>
    <row r="2179" ht="15.75" spans="1:48">
      <c r="A2179" s="12">
        <v>2175</v>
      </c>
      <c r="B2179" s="44">
        <v>4325</v>
      </c>
      <c r="C2179" s="45" t="s">
        <v>118</v>
      </c>
      <c r="D2179" s="46"/>
      <c r="E2179" s="47" t="s">
        <v>50</v>
      </c>
      <c r="F2179" s="48">
        <v>10.83</v>
      </c>
      <c r="G2179" s="38">
        <v>1.17</v>
      </c>
      <c r="H2179" s="39"/>
      <c r="I2179" s="39"/>
      <c r="J2179" s="39"/>
      <c r="K2179" s="39"/>
      <c r="L2179" s="39"/>
      <c r="M2179" s="39"/>
      <c r="N2179" s="39"/>
      <c r="O2179" s="39"/>
      <c r="P2179" s="39"/>
      <c r="Q2179" s="39">
        <v>1.17</v>
      </c>
      <c r="R2179" s="39"/>
      <c r="S2179" s="39"/>
      <c r="T2179" s="39"/>
      <c r="U2179" s="39"/>
      <c r="V2179" s="39"/>
      <c r="W2179" s="39"/>
      <c r="X2179" s="49" t="s">
        <v>282</v>
      </c>
      <c r="Y2179" s="50">
        <v>1299.6</v>
      </c>
      <c r="Z2179" s="51">
        <v>1320</v>
      </c>
      <c r="AA2179" s="52">
        <f t="shared" si="59"/>
        <v>1.01569713758079</v>
      </c>
      <c r="AB2179" s="12">
        <v>1320</v>
      </c>
      <c r="AC2179" s="12">
        <v>0</v>
      </c>
      <c r="AD2179" s="43"/>
      <c r="AE2179" s="43"/>
      <c r="AF2179" s="43"/>
      <c r="AG2179" s="43"/>
      <c r="AH2179" s="43"/>
      <c r="AI2179" s="43"/>
      <c r="AJ2179" s="43"/>
      <c r="AK2179" s="43"/>
      <c r="AL2179" s="43"/>
      <c r="AM2179" s="43"/>
      <c r="AN2179" s="43"/>
      <c r="AO2179" s="43"/>
      <c r="AP2179" s="43"/>
      <c r="AQ2179" s="43"/>
      <c r="AR2179" s="43"/>
      <c r="AS2179" s="43"/>
      <c r="AT2179" s="43"/>
      <c r="AU2179" s="43"/>
      <c r="AV2179" s="43"/>
    </row>
    <row r="2180" ht="15.75" spans="1:48">
      <c r="A2180" s="12">
        <v>2176</v>
      </c>
      <c r="B2180" s="66" t="s">
        <v>348</v>
      </c>
      <c r="C2180" s="55" t="s">
        <v>349</v>
      </c>
      <c r="D2180" s="56">
        <v>12</v>
      </c>
      <c r="E2180" s="47" t="s">
        <v>50</v>
      </c>
      <c r="F2180" s="48">
        <v>6.83</v>
      </c>
      <c r="G2180" s="38">
        <v>1.17</v>
      </c>
      <c r="H2180" s="39"/>
      <c r="I2180" s="39"/>
      <c r="J2180" s="39"/>
      <c r="K2180" s="39">
        <v>0.17</v>
      </c>
      <c r="L2180" s="39"/>
      <c r="M2180" s="39"/>
      <c r="N2180" s="39"/>
      <c r="O2180" s="39"/>
      <c r="P2180" s="39"/>
      <c r="Q2180" s="39">
        <v>0.83</v>
      </c>
      <c r="R2180" s="39"/>
      <c r="S2180" s="39"/>
      <c r="T2180" s="39"/>
      <c r="U2180" s="39">
        <v>0.17</v>
      </c>
      <c r="V2180" s="39"/>
      <c r="W2180" s="39"/>
      <c r="X2180" s="49" t="s">
        <v>194</v>
      </c>
      <c r="Y2180" s="50">
        <v>2288.05</v>
      </c>
      <c r="Z2180" s="51">
        <v>1980</v>
      </c>
      <c r="AA2180" s="52">
        <f t="shared" si="59"/>
        <v>0.865365704420795</v>
      </c>
      <c r="AB2180" s="12">
        <v>1874</v>
      </c>
      <c r="AC2180" s="12">
        <v>106</v>
      </c>
      <c r="AD2180" s="19">
        <v>106</v>
      </c>
      <c r="AE2180" s="43"/>
      <c r="AF2180" s="43"/>
      <c r="AG2180" s="43"/>
      <c r="AH2180" s="43"/>
      <c r="AI2180" s="43"/>
      <c r="AJ2180" s="43"/>
      <c r="AK2180" s="43"/>
      <c r="AL2180" s="43"/>
      <c r="AM2180" s="43"/>
      <c r="AN2180" s="43"/>
      <c r="AO2180" s="43"/>
      <c r="AP2180" s="43"/>
      <c r="AQ2180" s="43"/>
      <c r="AR2180" s="43"/>
      <c r="AS2180" s="43"/>
      <c r="AT2180" s="43"/>
      <c r="AU2180" s="43"/>
      <c r="AV2180" s="43"/>
    </row>
    <row r="2181" ht="15.75" spans="1:48">
      <c r="A2181" s="12">
        <v>2177</v>
      </c>
      <c r="B2181" s="66" t="s">
        <v>344</v>
      </c>
      <c r="C2181" s="45" t="s">
        <v>345</v>
      </c>
      <c r="D2181" s="46">
        <v>19</v>
      </c>
      <c r="E2181" s="47" t="s">
        <v>50</v>
      </c>
      <c r="F2181" s="48">
        <v>6.83</v>
      </c>
      <c r="G2181" s="38">
        <v>1.17</v>
      </c>
      <c r="H2181" s="39"/>
      <c r="I2181" s="39"/>
      <c r="J2181" s="39"/>
      <c r="K2181" s="39">
        <v>0.17</v>
      </c>
      <c r="L2181" s="39"/>
      <c r="M2181" s="39"/>
      <c r="N2181" s="39"/>
      <c r="O2181" s="39"/>
      <c r="P2181" s="39"/>
      <c r="Q2181" s="39">
        <v>0.83</v>
      </c>
      <c r="R2181" s="39"/>
      <c r="S2181" s="39"/>
      <c r="T2181" s="39"/>
      <c r="U2181" s="39">
        <v>0.17</v>
      </c>
      <c r="V2181" s="39"/>
      <c r="W2181" s="39"/>
      <c r="X2181" s="49" t="s">
        <v>194</v>
      </c>
      <c r="Y2181" s="50">
        <v>2288.05</v>
      </c>
      <c r="Z2181" s="51">
        <v>1740</v>
      </c>
      <c r="AA2181" s="52">
        <f t="shared" si="59"/>
        <v>0.760472891763729</v>
      </c>
      <c r="AB2181" s="12">
        <v>1614</v>
      </c>
      <c r="AC2181" s="12">
        <v>126</v>
      </c>
      <c r="AD2181" s="19">
        <v>126</v>
      </c>
      <c r="AE2181" s="43"/>
      <c r="AF2181" s="43"/>
      <c r="AG2181" s="43"/>
      <c r="AH2181" s="43"/>
      <c r="AI2181" s="43"/>
      <c r="AJ2181" s="43"/>
      <c r="AK2181" s="43"/>
      <c r="AL2181" s="43"/>
      <c r="AM2181" s="43"/>
      <c r="AN2181" s="43"/>
      <c r="AO2181" s="43"/>
      <c r="AP2181" s="43"/>
      <c r="AQ2181" s="43"/>
      <c r="AR2181" s="43"/>
      <c r="AS2181" s="43"/>
      <c r="AT2181" s="43"/>
      <c r="AU2181" s="43"/>
      <c r="AV2181" s="43"/>
    </row>
    <row r="2182" ht="15.75" spans="1:48">
      <c r="A2182" s="12">
        <v>2178</v>
      </c>
      <c r="B2182" s="66" t="s">
        <v>346</v>
      </c>
      <c r="C2182" s="45" t="s">
        <v>347</v>
      </c>
      <c r="D2182" s="46">
        <v>19</v>
      </c>
      <c r="E2182" s="47" t="s">
        <v>50</v>
      </c>
      <c r="F2182" s="48">
        <v>6.83</v>
      </c>
      <c r="G2182" s="38">
        <v>1.16</v>
      </c>
      <c r="H2182" s="39"/>
      <c r="I2182" s="39"/>
      <c r="J2182" s="39"/>
      <c r="K2182" s="39"/>
      <c r="L2182" s="39"/>
      <c r="M2182" s="39"/>
      <c r="N2182" s="39"/>
      <c r="O2182" s="39"/>
      <c r="P2182" s="39"/>
      <c r="Q2182" s="39">
        <v>0.83</v>
      </c>
      <c r="R2182" s="39"/>
      <c r="S2182" s="39"/>
      <c r="T2182" s="39">
        <v>0.33</v>
      </c>
      <c r="U2182" s="39"/>
      <c r="V2182" s="39"/>
      <c r="W2182" s="39"/>
      <c r="X2182" s="49" t="s">
        <v>194</v>
      </c>
      <c r="Y2182" s="50">
        <v>2288.05</v>
      </c>
      <c r="Z2182" s="51">
        <v>1740</v>
      </c>
      <c r="AA2182" s="52">
        <f t="shared" si="59"/>
        <v>0.760472891763729</v>
      </c>
      <c r="AB2182" s="12">
        <v>1614</v>
      </c>
      <c r="AC2182" s="12">
        <v>126</v>
      </c>
      <c r="AD2182" s="19">
        <v>126</v>
      </c>
      <c r="AE2182" s="43"/>
      <c r="AF2182" s="43"/>
      <c r="AG2182" s="43"/>
      <c r="AH2182" s="43"/>
      <c r="AI2182" s="43"/>
      <c r="AJ2182" s="43"/>
      <c r="AK2182" s="43"/>
      <c r="AL2182" s="43"/>
      <c r="AM2182" s="43"/>
      <c r="AN2182" s="43"/>
      <c r="AO2182" s="43"/>
      <c r="AP2182" s="43"/>
      <c r="AQ2182" s="43"/>
      <c r="AR2182" s="43"/>
      <c r="AS2182" s="43"/>
      <c r="AT2182" s="43"/>
      <c r="AU2182" s="43"/>
      <c r="AV2182" s="43"/>
    </row>
    <row r="2183" ht="15.75" spans="1:48">
      <c r="A2183" s="12">
        <v>2179</v>
      </c>
      <c r="B2183" s="66" t="s">
        <v>350</v>
      </c>
      <c r="C2183" s="45" t="s">
        <v>351</v>
      </c>
      <c r="D2183" s="46">
        <v>12</v>
      </c>
      <c r="E2183" s="47" t="s">
        <v>50</v>
      </c>
      <c r="F2183" s="48">
        <v>6.83</v>
      </c>
      <c r="G2183" s="38">
        <v>1.16</v>
      </c>
      <c r="H2183" s="39"/>
      <c r="I2183" s="39"/>
      <c r="J2183" s="39"/>
      <c r="K2183" s="39"/>
      <c r="L2183" s="39"/>
      <c r="M2183" s="39"/>
      <c r="N2183" s="39"/>
      <c r="O2183" s="39"/>
      <c r="P2183" s="39"/>
      <c r="Q2183" s="39">
        <v>0.83</v>
      </c>
      <c r="R2183" s="39"/>
      <c r="S2183" s="39"/>
      <c r="T2183" s="39">
        <v>0.33</v>
      </c>
      <c r="U2183" s="39" t="s">
        <v>435</v>
      </c>
      <c r="V2183" s="39"/>
      <c r="W2183" s="39"/>
      <c r="X2183" s="49" t="s">
        <v>194</v>
      </c>
      <c r="Y2183" s="50">
        <v>2288.05</v>
      </c>
      <c r="Z2183" s="51">
        <v>1980</v>
      </c>
      <c r="AA2183" s="52">
        <f t="shared" si="59"/>
        <v>0.865365704420795</v>
      </c>
      <c r="AB2183" s="12">
        <v>1874</v>
      </c>
      <c r="AC2183" s="12">
        <v>106</v>
      </c>
      <c r="AD2183" s="19">
        <v>106</v>
      </c>
      <c r="AE2183" s="43"/>
      <c r="AF2183" s="43"/>
      <c r="AG2183" s="43"/>
      <c r="AH2183" s="43"/>
      <c r="AI2183" s="43"/>
      <c r="AJ2183" s="43"/>
      <c r="AK2183" s="43"/>
      <c r="AL2183" s="43"/>
      <c r="AM2183" s="43"/>
      <c r="AN2183" s="43"/>
      <c r="AO2183" s="43"/>
      <c r="AP2183" s="43"/>
      <c r="AQ2183" s="43"/>
      <c r="AR2183" s="43"/>
      <c r="AS2183" s="43"/>
      <c r="AT2183" s="43"/>
      <c r="AU2183" s="43"/>
      <c r="AV2183" s="43"/>
    </row>
    <row r="2184" ht="15.75" spans="1:48">
      <c r="A2184" s="12">
        <v>2180</v>
      </c>
      <c r="B2184" s="44">
        <v>698</v>
      </c>
      <c r="C2184" s="45" t="s">
        <v>68</v>
      </c>
      <c r="D2184" s="46">
        <v>1</v>
      </c>
      <c r="E2184" s="47" t="s">
        <v>113</v>
      </c>
      <c r="F2184" s="48">
        <v>10</v>
      </c>
      <c r="G2184" s="38">
        <v>2</v>
      </c>
      <c r="H2184" s="39"/>
      <c r="I2184" s="39"/>
      <c r="J2184" s="39"/>
      <c r="K2184" s="39">
        <v>0.5</v>
      </c>
      <c r="L2184" s="39"/>
      <c r="M2184" s="39"/>
      <c r="N2184" s="39"/>
      <c r="O2184" s="39"/>
      <c r="P2184" s="39"/>
      <c r="Q2184" s="39">
        <v>1.33</v>
      </c>
      <c r="R2184" s="39"/>
      <c r="S2184" s="39"/>
      <c r="T2184" s="39"/>
      <c r="U2184" s="39">
        <v>0.17</v>
      </c>
      <c r="V2184" s="39"/>
      <c r="W2184" s="39"/>
      <c r="X2184" s="49" t="s">
        <v>199</v>
      </c>
      <c r="Y2184" s="50">
        <v>3500</v>
      </c>
      <c r="Z2184" s="51">
        <v>3600</v>
      </c>
      <c r="AA2184" s="52">
        <f t="shared" si="59"/>
        <v>1.02857142857143</v>
      </c>
      <c r="AB2184" s="12">
        <v>3600</v>
      </c>
      <c r="AC2184" s="12">
        <v>0</v>
      </c>
      <c r="AD2184" s="43"/>
      <c r="AE2184" s="43"/>
      <c r="AF2184" s="43"/>
      <c r="AG2184" s="43"/>
      <c r="AH2184" s="43"/>
      <c r="AI2184" s="43"/>
      <c r="AJ2184" s="43"/>
      <c r="AK2184" s="43"/>
      <c r="AL2184" s="43"/>
      <c r="AM2184" s="43"/>
      <c r="AN2184" s="43"/>
      <c r="AO2184" s="43"/>
      <c r="AP2184" s="43"/>
      <c r="AQ2184" s="43"/>
      <c r="AR2184" s="43"/>
      <c r="AS2184" s="43"/>
      <c r="AT2184" s="43"/>
      <c r="AU2184" s="43"/>
      <c r="AV2184" s="43"/>
    </row>
    <row r="2185" ht="15.75" spans="1:48">
      <c r="A2185" s="12">
        <v>2181</v>
      </c>
      <c r="B2185" s="44">
        <v>3352</v>
      </c>
      <c r="C2185" s="45" t="s">
        <v>66</v>
      </c>
      <c r="D2185" s="46"/>
      <c r="E2185" s="47" t="s">
        <v>113</v>
      </c>
      <c r="F2185" s="48">
        <v>10.66</v>
      </c>
      <c r="G2185" s="38">
        <v>1.33</v>
      </c>
      <c r="H2185" s="39"/>
      <c r="I2185" s="39"/>
      <c r="J2185" s="39"/>
      <c r="K2185" s="39"/>
      <c r="L2185" s="39"/>
      <c r="M2185" s="39"/>
      <c r="N2185" s="39"/>
      <c r="O2185" s="39"/>
      <c r="P2185" s="39"/>
      <c r="Q2185" s="39">
        <v>1.33</v>
      </c>
      <c r="R2185" s="39"/>
      <c r="S2185" s="39"/>
      <c r="T2185" s="39"/>
      <c r="U2185" s="39"/>
      <c r="V2185" s="39"/>
      <c r="W2185" s="39"/>
      <c r="X2185" s="49" t="s">
        <v>120</v>
      </c>
      <c r="Y2185" s="50">
        <v>2665</v>
      </c>
      <c r="Z2185" s="51">
        <v>2650</v>
      </c>
      <c r="AA2185" s="52">
        <f t="shared" si="59"/>
        <v>0.99437148217636</v>
      </c>
      <c r="AB2185" s="12">
        <v>2650</v>
      </c>
      <c r="AC2185" s="12">
        <v>0</v>
      </c>
      <c r="AD2185" s="43"/>
      <c r="AE2185" s="43"/>
      <c r="AF2185" s="43"/>
      <c r="AG2185" s="43"/>
      <c r="AH2185" s="43"/>
      <c r="AI2185" s="43"/>
      <c r="AJ2185" s="43"/>
      <c r="AK2185" s="43"/>
      <c r="AL2185" s="43"/>
      <c r="AM2185" s="43"/>
      <c r="AN2185" s="43"/>
      <c r="AO2185" s="43"/>
      <c r="AP2185" s="43"/>
      <c r="AQ2185" s="43"/>
      <c r="AR2185" s="43"/>
      <c r="AS2185" s="43"/>
      <c r="AT2185" s="43"/>
      <c r="AU2185" s="43"/>
      <c r="AV2185" s="43"/>
    </row>
    <row r="2186" ht="15.75" spans="1:48">
      <c r="A2186" s="12">
        <v>2182</v>
      </c>
      <c r="B2186" s="44">
        <v>4031</v>
      </c>
      <c r="C2186" s="45" t="s">
        <v>64</v>
      </c>
      <c r="D2186" s="46"/>
      <c r="E2186" s="47" t="s">
        <v>113</v>
      </c>
      <c r="F2186" s="48">
        <v>10.66</v>
      </c>
      <c r="G2186" s="38">
        <v>1.33</v>
      </c>
      <c r="H2186" s="39"/>
      <c r="I2186" s="39"/>
      <c r="J2186" s="39"/>
      <c r="K2186" s="39"/>
      <c r="L2186" s="39"/>
      <c r="M2186" s="39"/>
      <c r="N2186" s="39"/>
      <c r="O2186" s="39"/>
      <c r="P2186" s="39"/>
      <c r="Q2186" s="39">
        <v>1.33</v>
      </c>
      <c r="R2186" s="39"/>
      <c r="S2186" s="39"/>
      <c r="T2186" s="39"/>
      <c r="U2186" s="39"/>
      <c r="V2186" s="39"/>
      <c r="W2186" s="39"/>
      <c r="X2186" s="49" t="s">
        <v>213</v>
      </c>
      <c r="Y2186" s="50">
        <v>1279.2</v>
      </c>
      <c r="Z2186" s="51">
        <v>1300</v>
      </c>
      <c r="AA2186" s="52">
        <f t="shared" si="59"/>
        <v>1.01626016260163</v>
      </c>
      <c r="AB2186" s="12">
        <v>1300</v>
      </c>
      <c r="AC2186" s="12">
        <v>0</v>
      </c>
      <c r="AD2186" s="43"/>
      <c r="AE2186" s="43"/>
      <c r="AF2186" s="43"/>
      <c r="AG2186" s="43"/>
      <c r="AH2186" s="43"/>
      <c r="AI2186" s="43"/>
      <c r="AJ2186" s="43"/>
      <c r="AK2186" s="43"/>
      <c r="AL2186" s="43"/>
      <c r="AM2186" s="43"/>
      <c r="AN2186" s="43"/>
      <c r="AO2186" s="43"/>
      <c r="AP2186" s="43"/>
      <c r="AQ2186" s="43"/>
      <c r="AR2186" s="43"/>
      <c r="AS2186" s="43"/>
      <c r="AT2186" s="43"/>
      <c r="AU2186" s="43"/>
      <c r="AV2186" s="43"/>
    </row>
    <row r="2187" ht="15.75" spans="1:48">
      <c r="A2187" s="12">
        <v>2183</v>
      </c>
      <c r="B2187" s="44">
        <v>3526</v>
      </c>
      <c r="C2187" s="45" t="s">
        <v>65</v>
      </c>
      <c r="D2187" s="46"/>
      <c r="E2187" s="47" t="s">
        <v>113</v>
      </c>
      <c r="F2187" s="48">
        <v>10.66</v>
      </c>
      <c r="G2187" s="38">
        <v>1.33</v>
      </c>
      <c r="H2187" s="39"/>
      <c r="I2187" s="39"/>
      <c r="J2187" s="39"/>
      <c r="K2187" s="39"/>
      <c r="L2187" s="39"/>
      <c r="M2187" s="39"/>
      <c r="N2187" s="39"/>
      <c r="O2187" s="39"/>
      <c r="P2187" s="39"/>
      <c r="Q2187" s="39">
        <v>1.33</v>
      </c>
      <c r="R2187" s="39"/>
      <c r="S2187" s="39"/>
      <c r="T2187" s="39"/>
      <c r="U2187" s="39"/>
      <c r="V2187" s="39"/>
      <c r="W2187" s="39"/>
      <c r="X2187" s="49" t="s">
        <v>246</v>
      </c>
      <c r="Y2187" s="50">
        <v>3571.1</v>
      </c>
      <c r="Z2187" s="51">
        <v>3350</v>
      </c>
      <c r="AA2187" s="52">
        <f t="shared" si="59"/>
        <v>0.938086303939963</v>
      </c>
      <c r="AB2187" s="12">
        <v>3350</v>
      </c>
      <c r="AC2187" s="12">
        <v>0</v>
      </c>
      <c r="AD2187" s="43"/>
      <c r="AE2187" s="43"/>
      <c r="AF2187" s="43"/>
      <c r="AG2187" s="43"/>
      <c r="AH2187" s="43"/>
      <c r="AI2187" s="43"/>
      <c r="AJ2187" s="43"/>
      <c r="AK2187" s="43"/>
      <c r="AL2187" s="43"/>
      <c r="AM2187" s="43"/>
      <c r="AN2187" s="43"/>
      <c r="AO2187" s="43"/>
      <c r="AP2187" s="43"/>
      <c r="AQ2187" s="43"/>
      <c r="AR2187" s="43"/>
      <c r="AS2187" s="43"/>
      <c r="AT2187" s="43"/>
      <c r="AU2187" s="43"/>
      <c r="AV2187" s="43"/>
    </row>
    <row r="2188" ht="15.75" spans="1:48">
      <c r="A2188" s="12">
        <v>2184</v>
      </c>
      <c r="B2188" s="44">
        <v>3353</v>
      </c>
      <c r="C2188" s="45" t="s">
        <v>48</v>
      </c>
      <c r="D2188" s="46" t="s">
        <v>264</v>
      </c>
      <c r="E2188" s="47" t="s">
        <v>113</v>
      </c>
      <c r="F2188" s="48">
        <v>7</v>
      </c>
      <c r="G2188" s="38">
        <v>1.5</v>
      </c>
      <c r="H2188" s="39"/>
      <c r="I2188" s="39"/>
      <c r="J2188" s="39"/>
      <c r="K2188" s="39"/>
      <c r="L2188" s="39"/>
      <c r="M2188" s="39"/>
      <c r="N2188" s="39"/>
      <c r="O2188" s="39"/>
      <c r="P2188" s="39"/>
      <c r="Q2188" s="39">
        <v>1.33</v>
      </c>
      <c r="R2188" s="39"/>
      <c r="S2188" s="39"/>
      <c r="T2188" s="39"/>
      <c r="U2188" s="39">
        <v>0.17</v>
      </c>
      <c r="V2188" s="39"/>
      <c r="W2188" s="39"/>
      <c r="X2188" s="49" t="s">
        <v>216</v>
      </c>
      <c r="Y2188" s="50">
        <v>5950</v>
      </c>
      <c r="Z2188" s="51">
        <v>6000</v>
      </c>
      <c r="AA2188" s="52">
        <f t="shared" si="59"/>
        <v>1.00840336134454</v>
      </c>
      <c r="AB2188" s="12">
        <v>6000</v>
      </c>
      <c r="AC2188" s="12">
        <v>0</v>
      </c>
      <c r="AD2188" s="43"/>
      <c r="AE2188" s="43"/>
      <c r="AF2188" s="43"/>
      <c r="AG2188" s="43"/>
      <c r="AH2188" s="43"/>
      <c r="AI2188" s="43"/>
      <c r="AJ2188" s="43"/>
      <c r="AK2188" s="43"/>
      <c r="AL2188" s="43"/>
      <c r="AM2188" s="43"/>
      <c r="AN2188" s="43"/>
      <c r="AO2188" s="43"/>
      <c r="AP2188" s="43"/>
      <c r="AQ2188" s="43"/>
      <c r="AR2188" s="43"/>
      <c r="AS2188" s="43"/>
      <c r="AT2188" s="43"/>
      <c r="AU2188" s="43"/>
      <c r="AV2188" s="43"/>
    </row>
    <row r="2189" ht="15.75" spans="1:48">
      <c r="A2189" s="12">
        <v>2185</v>
      </c>
      <c r="B2189" s="44">
        <v>3353</v>
      </c>
      <c r="C2189" s="45" t="s">
        <v>48</v>
      </c>
      <c r="D2189" s="46"/>
      <c r="E2189" s="47" t="s">
        <v>113</v>
      </c>
      <c r="F2189" s="48">
        <v>3.5</v>
      </c>
      <c r="G2189" s="38">
        <v>0</v>
      </c>
      <c r="H2189" s="39"/>
      <c r="I2189" s="39"/>
      <c r="J2189" s="39"/>
      <c r="K2189" s="39"/>
      <c r="L2189" s="39"/>
      <c r="M2189" s="39"/>
      <c r="N2189" s="39"/>
      <c r="O2189" s="39"/>
      <c r="P2189" s="39"/>
      <c r="Q2189" s="39"/>
      <c r="R2189" s="39"/>
      <c r="S2189" s="39"/>
      <c r="T2189" s="39"/>
      <c r="U2189" s="39"/>
      <c r="V2189" s="39"/>
      <c r="W2189" s="39"/>
      <c r="X2189" s="49" t="s">
        <v>122</v>
      </c>
      <c r="Y2189" s="50">
        <v>0</v>
      </c>
      <c r="Z2189" s="51"/>
      <c r="AA2189" s="52">
        <f t="shared" si="59"/>
        <v>0</v>
      </c>
      <c r="AB2189" s="12">
        <v>0</v>
      </c>
      <c r="AC2189" s="12">
        <v>0</v>
      </c>
      <c r="AD2189" s="43"/>
      <c r="AE2189" s="43"/>
      <c r="AF2189" s="43"/>
      <c r="AG2189" s="43"/>
      <c r="AH2189" s="43"/>
      <c r="AI2189" s="43"/>
      <c r="AJ2189" s="43"/>
      <c r="AK2189" s="43"/>
      <c r="AL2189" s="43"/>
      <c r="AM2189" s="43"/>
      <c r="AN2189" s="43"/>
      <c r="AO2189" s="43"/>
      <c r="AP2189" s="43"/>
      <c r="AQ2189" s="43"/>
      <c r="AR2189" s="43"/>
      <c r="AS2189" s="43"/>
      <c r="AT2189" s="43"/>
      <c r="AU2189" s="43"/>
      <c r="AV2189" s="43"/>
    </row>
    <row r="2190" ht="15.75" spans="1:48">
      <c r="A2190" s="12">
        <v>2186</v>
      </c>
      <c r="B2190" s="44">
        <v>2516</v>
      </c>
      <c r="C2190" s="45" t="s">
        <v>189</v>
      </c>
      <c r="D2190" s="46" t="s">
        <v>217</v>
      </c>
      <c r="E2190" s="47" t="s">
        <v>113</v>
      </c>
      <c r="F2190" s="48">
        <v>10</v>
      </c>
      <c r="G2190" s="38">
        <v>2</v>
      </c>
      <c r="H2190" s="39"/>
      <c r="I2190" s="39"/>
      <c r="J2190" s="39"/>
      <c r="K2190" s="39">
        <v>0.17</v>
      </c>
      <c r="L2190" s="39"/>
      <c r="M2190" s="39"/>
      <c r="N2190" s="39"/>
      <c r="O2190" s="39"/>
      <c r="P2190" s="39"/>
      <c r="Q2190" s="39">
        <v>1.33</v>
      </c>
      <c r="R2190" s="39"/>
      <c r="S2190" s="39"/>
      <c r="T2190" s="39"/>
      <c r="U2190" s="39">
        <v>0.5</v>
      </c>
      <c r="V2190" s="39"/>
      <c r="W2190" s="39"/>
      <c r="X2190" s="49" t="s">
        <v>218</v>
      </c>
      <c r="Y2190" s="50">
        <v>24150</v>
      </c>
      <c r="Z2190" s="51">
        <v>24600</v>
      </c>
      <c r="AA2190" s="52">
        <f t="shared" si="59"/>
        <v>1.01863354037267</v>
      </c>
      <c r="AB2190" s="12">
        <v>24595</v>
      </c>
      <c r="AC2190" s="12">
        <v>5</v>
      </c>
      <c r="AD2190" s="43"/>
      <c r="AE2190" s="43"/>
      <c r="AF2190" s="43"/>
      <c r="AG2190" s="43"/>
      <c r="AH2190" s="43"/>
      <c r="AI2190" s="43"/>
      <c r="AJ2190" s="43"/>
      <c r="AK2190" s="19">
        <v>2</v>
      </c>
      <c r="AL2190" s="43"/>
      <c r="AM2190" s="43"/>
      <c r="AN2190" s="19">
        <v>3</v>
      </c>
      <c r="AO2190" s="43"/>
      <c r="AP2190" s="43"/>
      <c r="AQ2190" s="43"/>
      <c r="AR2190" s="43"/>
      <c r="AS2190" s="43"/>
      <c r="AT2190" s="43"/>
      <c r="AU2190" s="43"/>
      <c r="AV2190" s="43"/>
    </row>
    <row r="2191" ht="15.75" spans="1:48">
      <c r="A2191" s="12">
        <v>2187</v>
      </c>
      <c r="B2191" s="44" t="s">
        <v>361</v>
      </c>
      <c r="C2191" s="45" t="s">
        <v>362</v>
      </c>
      <c r="D2191" s="46"/>
      <c r="E2191" s="47" t="s">
        <v>50</v>
      </c>
      <c r="F2191" s="48">
        <v>6.17</v>
      </c>
      <c r="G2191" s="38">
        <v>0.83</v>
      </c>
      <c r="H2191" s="39"/>
      <c r="I2191" s="39"/>
      <c r="J2191" s="39"/>
      <c r="K2191" s="39"/>
      <c r="L2191" s="39"/>
      <c r="M2191" s="39"/>
      <c r="N2191" s="39"/>
      <c r="O2191" s="39"/>
      <c r="P2191" s="39"/>
      <c r="Q2191" s="39">
        <v>0.83</v>
      </c>
      <c r="R2191" s="39"/>
      <c r="S2191" s="39"/>
      <c r="T2191" s="39"/>
      <c r="U2191" s="39"/>
      <c r="V2191" s="39"/>
      <c r="W2191" s="39"/>
      <c r="X2191" s="49" t="s">
        <v>103</v>
      </c>
      <c r="Y2191" s="50">
        <v>3627.96</v>
      </c>
      <c r="Z2191" s="51">
        <v>2160</v>
      </c>
      <c r="AA2191" s="52">
        <f t="shared" si="59"/>
        <v>0.595375913736645</v>
      </c>
      <c r="AB2191" s="12">
        <v>2160</v>
      </c>
      <c r="AC2191" s="12">
        <v>0</v>
      </c>
      <c r="AD2191" s="43"/>
      <c r="AE2191" s="43"/>
      <c r="AF2191" s="43"/>
      <c r="AG2191" s="43"/>
      <c r="AH2191" s="43"/>
      <c r="AI2191" s="43"/>
      <c r="AJ2191" s="43"/>
      <c r="AK2191" s="43"/>
      <c r="AL2191" s="43"/>
      <c r="AM2191" s="43"/>
      <c r="AN2191" s="43"/>
      <c r="AO2191" s="43"/>
      <c r="AP2191" s="43"/>
      <c r="AQ2191" s="43"/>
      <c r="AR2191" s="43"/>
      <c r="AS2191" s="43"/>
      <c r="AT2191" s="43"/>
      <c r="AU2191" s="43"/>
      <c r="AV2191" s="43"/>
    </row>
    <row r="2192" ht="15.75" spans="1:48">
      <c r="A2192" s="12">
        <v>2188</v>
      </c>
      <c r="B2192" s="44" t="s">
        <v>372</v>
      </c>
      <c r="C2192" s="45" t="s">
        <v>373</v>
      </c>
      <c r="D2192" s="46"/>
      <c r="E2192" s="47" t="s">
        <v>50</v>
      </c>
      <c r="F2192" s="48">
        <v>7.17</v>
      </c>
      <c r="G2192" s="38">
        <v>0.83</v>
      </c>
      <c r="H2192" s="39"/>
      <c r="I2192" s="39"/>
      <c r="J2192" s="39"/>
      <c r="K2192" s="39"/>
      <c r="L2192" s="39"/>
      <c r="M2192" s="39"/>
      <c r="N2192" s="39"/>
      <c r="O2192" s="39"/>
      <c r="P2192" s="39"/>
      <c r="Q2192" s="39">
        <v>0.83</v>
      </c>
      <c r="R2192" s="39"/>
      <c r="S2192" s="39"/>
      <c r="T2192" s="39"/>
      <c r="U2192" s="39"/>
      <c r="V2192" s="39"/>
      <c r="W2192" s="39"/>
      <c r="X2192" s="49" t="s">
        <v>436</v>
      </c>
      <c r="Y2192" s="50">
        <v>4215.96</v>
      </c>
      <c r="Z2192" s="51">
        <v>2280</v>
      </c>
      <c r="AA2192" s="52">
        <f t="shared" si="59"/>
        <v>0.540802094896536</v>
      </c>
      <c r="AB2192" s="12">
        <v>2280</v>
      </c>
      <c r="AC2192" s="12">
        <v>0</v>
      </c>
      <c r="AD2192" s="43"/>
      <c r="AE2192" s="43"/>
      <c r="AF2192" s="43"/>
      <c r="AG2192" s="43"/>
      <c r="AH2192" s="43"/>
      <c r="AI2192" s="43"/>
      <c r="AJ2192" s="43"/>
      <c r="AK2192" s="43"/>
      <c r="AL2192" s="43"/>
      <c r="AM2192" s="43"/>
      <c r="AN2192" s="43"/>
      <c r="AO2192" s="43"/>
      <c r="AP2192" s="43"/>
      <c r="AQ2192" s="43"/>
      <c r="AR2192" s="43"/>
      <c r="AS2192" s="43"/>
      <c r="AT2192" s="43"/>
      <c r="AU2192" s="43"/>
      <c r="AV2192" s="43"/>
    </row>
    <row r="2193" ht="15.75" spans="1:48">
      <c r="A2193" s="12">
        <v>2189</v>
      </c>
      <c r="B2193" s="44" t="s">
        <v>374</v>
      </c>
      <c r="C2193" s="45" t="s">
        <v>375</v>
      </c>
      <c r="D2193" s="46"/>
      <c r="E2193" s="47" t="s">
        <v>50</v>
      </c>
      <c r="F2193" s="48">
        <v>7.17</v>
      </c>
      <c r="G2193" s="38">
        <v>0.83</v>
      </c>
      <c r="H2193" s="39"/>
      <c r="I2193" s="39"/>
      <c r="J2193" s="39"/>
      <c r="K2193" s="39"/>
      <c r="L2193" s="39"/>
      <c r="M2193" s="39"/>
      <c r="N2193" s="39"/>
      <c r="O2193" s="39"/>
      <c r="P2193" s="39"/>
      <c r="Q2193" s="39">
        <v>0.83</v>
      </c>
      <c r="R2193" s="39"/>
      <c r="S2193" s="39"/>
      <c r="T2193" s="39"/>
      <c r="U2193" s="39"/>
      <c r="V2193" s="39"/>
      <c r="W2193" s="39"/>
      <c r="X2193" s="49" t="s">
        <v>103</v>
      </c>
      <c r="Y2193" s="50">
        <v>4215.96</v>
      </c>
      <c r="Z2193" s="51">
        <v>2040</v>
      </c>
      <c r="AA2193" s="52">
        <f t="shared" si="59"/>
        <v>0.483875558591638</v>
      </c>
      <c r="AB2193" s="12">
        <v>2040</v>
      </c>
      <c r="AC2193" s="12">
        <v>0</v>
      </c>
      <c r="AD2193" s="43"/>
      <c r="AE2193" s="43"/>
      <c r="AF2193" s="43"/>
      <c r="AG2193" s="43"/>
      <c r="AH2193" s="43"/>
      <c r="AI2193" s="43"/>
      <c r="AJ2193" s="43"/>
      <c r="AK2193" s="43"/>
      <c r="AL2193" s="43"/>
      <c r="AM2193" s="43"/>
      <c r="AN2193" s="43"/>
      <c r="AO2193" s="43"/>
      <c r="AP2193" s="43"/>
      <c r="AQ2193" s="43"/>
      <c r="AR2193" s="43"/>
      <c r="AS2193" s="43"/>
      <c r="AT2193" s="43"/>
      <c r="AU2193" s="43"/>
      <c r="AV2193" s="43"/>
    </row>
    <row r="2194" ht="15.75" spans="1:48">
      <c r="A2194" s="12">
        <v>2190</v>
      </c>
      <c r="B2194" s="44" t="s">
        <v>357</v>
      </c>
      <c r="C2194" s="45" t="s">
        <v>358</v>
      </c>
      <c r="D2194" s="46">
        <v>6</v>
      </c>
      <c r="E2194" s="47" t="s">
        <v>50</v>
      </c>
      <c r="F2194" s="48">
        <v>7</v>
      </c>
      <c r="G2194" s="38">
        <v>1</v>
      </c>
      <c r="H2194" s="39"/>
      <c r="I2194" s="39"/>
      <c r="J2194" s="39"/>
      <c r="K2194" s="39"/>
      <c r="L2194" s="39"/>
      <c r="M2194" s="39"/>
      <c r="N2194" s="39"/>
      <c r="O2194" s="39"/>
      <c r="P2194" s="39"/>
      <c r="Q2194" s="39">
        <v>0.83</v>
      </c>
      <c r="R2194" s="39"/>
      <c r="S2194" s="39"/>
      <c r="T2194" s="39"/>
      <c r="U2194" s="39">
        <v>0.17</v>
      </c>
      <c r="V2194" s="39"/>
      <c r="W2194" s="39"/>
      <c r="X2194" s="49">
        <v>5770</v>
      </c>
      <c r="Y2194" s="50">
        <v>2964.5</v>
      </c>
      <c r="Z2194" s="51">
        <v>2484</v>
      </c>
      <c r="AA2194" s="52">
        <f t="shared" si="59"/>
        <v>0.837915331421825</v>
      </c>
      <c r="AB2194" s="12">
        <v>2484</v>
      </c>
      <c r="AC2194" s="12">
        <v>0</v>
      </c>
      <c r="AD2194" s="43"/>
      <c r="AE2194" s="43"/>
      <c r="AF2194" s="43"/>
      <c r="AG2194" s="43"/>
      <c r="AH2194" s="43"/>
      <c r="AI2194" s="43"/>
      <c r="AJ2194" s="43"/>
      <c r="AK2194" s="43"/>
      <c r="AL2194" s="43"/>
      <c r="AM2194" s="43"/>
      <c r="AN2194" s="43"/>
      <c r="AO2194" s="43"/>
      <c r="AP2194" s="43"/>
      <c r="AQ2194" s="43"/>
      <c r="AR2194" s="43"/>
      <c r="AS2194" s="43"/>
      <c r="AT2194" s="43"/>
      <c r="AU2194" s="43"/>
      <c r="AV2194" s="43"/>
    </row>
    <row r="2195" ht="15.75" spans="1:48">
      <c r="A2195" s="12">
        <v>2191</v>
      </c>
      <c r="B2195" s="44" t="s">
        <v>363</v>
      </c>
      <c r="C2195" s="45" t="s">
        <v>364</v>
      </c>
      <c r="D2195" s="46">
        <v>18</v>
      </c>
      <c r="E2195" s="47" t="s">
        <v>50</v>
      </c>
      <c r="F2195" s="48">
        <v>7</v>
      </c>
      <c r="G2195" s="38">
        <v>1</v>
      </c>
      <c r="H2195" s="39"/>
      <c r="I2195" s="39"/>
      <c r="J2195" s="39"/>
      <c r="K2195" s="39"/>
      <c r="L2195" s="39"/>
      <c r="M2195" s="39"/>
      <c r="N2195" s="39"/>
      <c r="O2195" s="39"/>
      <c r="P2195" s="39"/>
      <c r="Q2195" s="39">
        <v>0.83</v>
      </c>
      <c r="R2195" s="39"/>
      <c r="S2195" s="39"/>
      <c r="T2195" s="39"/>
      <c r="U2195" s="39">
        <v>0.17</v>
      </c>
      <c r="V2195" s="39"/>
      <c r="W2195" s="39"/>
      <c r="X2195" s="49">
        <v>2801</v>
      </c>
      <c r="Y2195" s="50">
        <v>2964.5</v>
      </c>
      <c r="Z2195" s="51">
        <v>2597</v>
      </c>
      <c r="AA2195" s="52">
        <f t="shared" si="59"/>
        <v>0.87603305785124</v>
      </c>
      <c r="AB2195" s="12">
        <v>2597</v>
      </c>
      <c r="AC2195" s="12">
        <v>0</v>
      </c>
      <c r="AD2195" s="43"/>
      <c r="AE2195" s="43"/>
      <c r="AF2195" s="43"/>
      <c r="AG2195" s="43"/>
      <c r="AH2195" s="43"/>
      <c r="AI2195" s="43"/>
      <c r="AJ2195" s="43"/>
      <c r="AK2195" s="43"/>
      <c r="AL2195" s="43"/>
      <c r="AM2195" s="43"/>
      <c r="AN2195" s="43"/>
      <c r="AO2195" s="43"/>
      <c r="AP2195" s="43"/>
      <c r="AQ2195" s="43"/>
      <c r="AR2195" s="43"/>
      <c r="AS2195" s="43"/>
      <c r="AT2195" s="43"/>
      <c r="AU2195" s="43"/>
      <c r="AV2195" s="43"/>
    </row>
    <row r="2196" ht="15.75" spans="1:48">
      <c r="A2196" s="12">
        <v>2192</v>
      </c>
      <c r="B2196" s="44" t="s">
        <v>370</v>
      </c>
      <c r="C2196" s="45" t="s">
        <v>371</v>
      </c>
      <c r="D2196" s="46"/>
      <c r="E2196" s="47" t="s">
        <v>50</v>
      </c>
      <c r="F2196" s="48">
        <v>6.5</v>
      </c>
      <c r="G2196" s="38">
        <v>1.5</v>
      </c>
      <c r="H2196" s="39"/>
      <c r="I2196" s="39"/>
      <c r="J2196" s="39"/>
      <c r="K2196" s="39"/>
      <c r="L2196" s="39"/>
      <c r="M2196" s="39"/>
      <c r="N2196" s="39"/>
      <c r="O2196" s="39"/>
      <c r="P2196" s="39"/>
      <c r="Q2196" s="39">
        <v>0.83</v>
      </c>
      <c r="R2196" s="39"/>
      <c r="S2196" s="39">
        <v>0.67</v>
      </c>
      <c r="T2196" s="39"/>
      <c r="U2196" s="39"/>
      <c r="V2196" s="39"/>
      <c r="W2196" s="39"/>
      <c r="X2196" s="49" t="s">
        <v>105</v>
      </c>
      <c r="Y2196" s="50">
        <v>3003</v>
      </c>
      <c r="Z2196" s="51">
        <v>2700</v>
      </c>
      <c r="AA2196" s="52">
        <f t="shared" si="59"/>
        <v>0.899100899100899</v>
      </c>
      <c r="AB2196" s="12">
        <v>2700</v>
      </c>
      <c r="AC2196" s="12">
        <v>0</v>
      </c>
      <c r="AD2196" s="43"/>
      <c r="AE2196" s="43"/>
      <c r="AF2196" s="43"/>
      <c r="AG2196" s="43"/>
      <c r="AH2196" s="43"/>
      <c r="AI2196" s="43"/>
      <c r="AJ2196" s="43"/>
      <c r="AK2196" s="43"/>
      <c r="AL2196" s="43"/>
      <c r="AM2196" s="43"/>
      <c r="AN2196" s="43"/>
      <c r="AO2196" s="43"/>
      <c r="AP2196" s="43"/>
      <c r="AQ2196" s="43"/>
      <c r="AR2196" s="43"/>
      <c r="AS2196" s="43"/>
      <c r="AT2196" s="43"/>
      <c r="AU2196" s="43"/>
      <c r="AV2196" s="43"/>
    </row>
    <row r="2197" ht="15.75" spans="1:48">
      <c r="A2197" s="12">
        <v>2193</v>
      </c>
      <c r="B2197" s="44" t="s">
        <v>354</v>
      </c>
      <c r="C2197" s="45" t="s">
        <v>355</v>
      </c>
      <c r="D2197" s="46"/>
      <c r="E2197" s="47" t="s">
        <v>50</v>
      </c>
      <c r="F2197" s="48">
        <v>7.17</v>
      </c>
      <c r="G2197" s="38">
        <v>0.83</v>
      </c>
      <c r="H2197" s="39"/>
      <c r="I2197" s="39"/>
      <c r="J2197" s="39"/>
      <c r="K2197" s="39"/>
      <c r="L2197" s="39"/>
      <c r="M2197" s="39"/>
      <c r="N2197" s="39"/>
      <c r="O2197" s="39"/>
      <c r="P2197" s="39"/>
      <c r="Q2197" s="39">
        <v>0.83</v>
      </c>
      <c r="R2197" s="39"/>
      <c r="S2197" s="39"/>
      <c r="T2197" s="39"/>
      <c r="U2197" s="39"/>
      <c r="V2197" s="39"/>
      <c r="W2197" s="39"/>
      <c r="X2197" s="49" t="s">
        <v>437</v>
      </c>
      <c r="Y2197" s="50">
        <v>0</v>
      </c>
      <c r="Z2197" s="51"/>
      <c r="AA2197" s="52">
        <f t="shared" si="59"/>
        <v>0</v>
      </c>
      <c r="AB2197" s="12">
        <v>0</v>
      </c>
      <c r="AC2197" s="12">
        <v>0</v>
      </c>
      <c r="AD2197" s="43"/>
      <c r="AE2197" s="43"/>
      <c r="AF2197" s="43"/>
      <c r="AG2197" s="43"/>
      <c r="AH2197" s="43"/>
      <c r="AI2197" s="43"/>
      <c r="AJ2197" s="43"/>
      <c r="AK2197" s="43"/>
      <c r="AL2197" s="43"/>
      <c r="AM2197" s="43"/>
      <c r="AN2197" s="43"/>
      <c r="AO2197" s="43"/>
      <c r="AP2197" s="43"/>
      <c r="AQ2197" s="43"/>
      <c r="AR2197" s="43"/>
      <c r="AS2197" s="43"/>
      <c r="AT2197" s="43"/>
      <c r="AU2197" s="43"/>
      <c r="AV2197" s="43"/>
    </row>
    <row r="2198" ht="15.75" spans="1:48">
      <c r="A2198" s="12">
        <v>2194</v>
      </c>
      <c r="B2198" s="44" t="s">
        <v>368</v>
      </c>
      <c r="C2198" s="45" t="s">
        <v>369</v>
      </c>
      <c r="D2198" s="46">
        <v>21</v>
      </c>
      <c r="E2198" s="47" t="s">
        <v>50</v>
      </c>
      <c r="F2198" s="48">
        <v>7</v>
      </c>
      <c r="G2198" s="38">
        <v>1</v>
      </c>
      <c r="H2198" s="39"/>
      <c r="I2198" s="39"/>
      <c r="J2198" s="39"/>
      <c r="K2198" s="39"/>
      <c r="L2198" s="39"/>
      <c r="M2198" s="39"/>
      <c r="N2198" s="39"/>
      <c r="O2198" s="39"/>
      <c r="P2198" s="39"/>
      <c r="Q2198" s="39">
        <v>0.83</v>
      </c>
      <c r="R2198" s="39"/>
      <c r="S2198" s="39"/>
      <c r="T2198" s="39"/>
      <c r="U2198" s="39">
        <v>0.17</v>
      </c>
      <c r="V2198" s="39"/>
      <c r="W2198" s="39"/>
      <c r="X2198" s="49" t="s">
        <v>96</v>
      </c>
      <c r="Y2198" s="50">
        <v>7105</v>
      </c>
      <c r="Z2198" s="51">
        <v>4000</v>
      </c>
      <c r="AA2198" s="52">
        <f t="shared" si="59"/>
        <v>0.562983814215341</v>
      </c>
      <c r="AB2198" s="12">
        <v>4000</v>
      </c>
      <c r="AC2198" s="12">
        <v>0</v>
      </c>
      <c r="AD2198" s="43"/>
      <c r="AE2198" s="43"/>
      <c r="AF2198" s="43"/>
      <c r="AG2198" s="43"/>
      <c r="AH2198" s="43"/>
      <c r="AI2198" s="43"/>
      <c r="AJ2198" s="43"/>
      <c r="AK2198" s="43"/>
      <c r="AL2198" s="43"/>
      <c r="AM2198" s="43"/>
      <c r="AN2198" s="43"/>
      <c r="AO2198" s="43"/>
      <c r="AP2198" s="43"/>
      <c r="AQ2198" s="43"/>
      <c r="AR2198" s="43"/>
      <c r="AS2198" s="43"/>
      <c r="AT2198" s="43"/>
      <c r="AU2198" s="43"/>
      <c r="AV2198" s="43"/>
    </row>
    <row r="2199" ht="15.75" spans="1:48">
      <c r="A2199" s="12">
        <v>2195</v>
      </c>
      <c r="B2199" s="44" t="s">
        <v>361</v>
      </c>
      <c r="C2199" s="45" t="s">
        <v>362</v>
      </c>
      <c r="D2199" s="46">
        <v>7</v>
      </c>
      <c r="E2199" s="47" t="s">
        <v>50</v>
      </c>
      <c r="F2199" s="48">
        <v>1</v>
      </c>
      <c r="G2199" s="38">
        <v>0</v>
      </c>
      <c r="H2199" s="39"/>
      <c r="I2199" s="39"/>
      <c r="J2199" s="39"/>
      <c r="K2199" s="39"/>
      <c r="L2199" s="39"/>
      <c r="M2199" s="39"/>
      <c r="N2199" s="39"/>
      <c r="O2199" s="39"/>
      <c r="P2199" s="39"/>
      <c r="Q2199" s="39"/>
      <c r="R2199" s="39"/>
      <c r="S2199" s="39"/>
      <c r="T2199" s="39"/>
      <c r="U2199" s="39"/>
      <c r="V2199" s="39"/>
      <c r="W2199" s="39"/>
      <c r="X2199" s="49" t="s">
        <v>95</v>
      </c>
      <c r="Y2199" s="50">
        <v>980</v>
      </c>
      <c r="Z2199" s="51">
        <v>700</v>
      </c>
      <c r="AA2199" s="52">
        <f t="shared" si="59"/>
        <v>0.714285714285714</v>
      </c>
      <c r="AB2199" s="12">
        <v>700</v>
      </c>
      <c r="AC2199" s="12">
        <v>0</v>
      </c>
      <c r="AD2199" s="43"/>
      <c r="AE2199" s="43"/>
      <c r="AF2199" s="43"/>
      <c r="AG2199" s="43"/>
      <c r="AH2199" s="43"/>
      <c r="AI2199" s="43"/>
      <c r="AJ2199" s="43"/>
      <c r="AK2199" s="43"/>
      <c r="AL2199" s="43"/>
      <c r="AM2199" s="43"/>
      <c r="AN2199" s="43"/>
      <c r="AO2199" s="43"/>
      <c r="AP2199" s="43"/>
      <c r="AQ2199" s="43"/>
      <c r="AR2199" s="43"/>
      <c r="AS2199" s="43"/>
      <c r="AT2199" s="43"/>
      <c r="AU2199" s="43"/>
      <c r="AV2199" s="43"/>
    </row>
    <row r="2200" ht="15.75" spans="1:48">
      <c r="A2200" s="12">
        <v>2196</v>
      </c>
      <c r="B2200" s="44" t="s">
        <v>359</v>
      </c>
      <c r="C2200" s="45" t="s">
        <v>360</v>
      </c>
      <c r="D2200" s="46"/>
      <c r="E2200" s="47" t="s">
        <v>50</v>
      </c>
      <c r="F2200" s="48">
        <v>7.17</v>
      </c>
      <c r="G2200" s="38">
        <v>0.83</v>
      </c>
      <c r="H2200" s="39"/>
      <c r="I2200" s="39"/>
      <c r="J2200" s="39"/>
      <c r="K2200" s="39"/>
      <c r="L2200" s="39"/>
      <c r="M2200" s="39"/>
      <c r="N2200" s="39"/>
      <c r="O2200" s="39"/>
      <c r="P2200" s="39"/>
      <c r="Q2200" s="39">
        <v>0.83</v>
      </c>
      <c r="R2200" s="39"/>
      <c r="S2200" s="39"/>
      <c r="T2200" s="39"/>
      <c r="U2200" s="39"/>
      <c r="V2200" s="39"/>
      <c r="W2200" s="39"/>
      <c r="X2200" s="49" t="s">
        <v>103</v>
      </c>
      <c r="Y2200" s="50">
        <v>4215.96</v>
      </c>
      <c r="Z2200" s="51">
        <v>2597</v>
      </c>
      <c r="AA2200" s="52">
        <f t="shared" si="59"/>
        <v>0.615992561599256</v>
      </c>
      <c r="AB2200" s="12">
        <v>2597</v>
      </c>
      <c r="AC2200" s="12">
        <v>0</v>
      </c>
      <c r="AD2200" s="43"/>
      <c r="AE2200" s="43"/>
      <c r="AF2200" s="43"/>
      <c r="AG2200" s="43"/>
      <c r="AH2200" s="43"/>
      <c r="AI2200" s="43"/>
      <c r="AJ2200" s="43"/>
      <c r="AK2200" s="43"/>
      <c r="AL2200" s="43"/>
      <c r="AM2200" s="43"/>
      <c r="AN2200" s="43"/>
      <c r="AO2200" s="43"/>
      <c r="AP2200" s="43"/>
      <c r="AQ2200" s="43"/>
      <c r="AR2200" s="43"/>
      <c r="AS2200" s="43"/>
      <c r="AT2200" s="43"/>
      <c r="AU2200" s="43"/>
      <c r="AV2200" s="43"/>
    </row>
    <row r="2201" ht="15.75" spans="1:48">
      <c r="A2201" s="12">
        <v>2197</v>
      </c>
      <c r="B2201" s="44" t="s">
        <v>376</v>
      </c>
      <c r="C2201" s="45" t="s">
        <v>377</v>
      </c>
      <c r="D2201" s="46"/>
      <c r="E2201" s="47" t="s">
        <v>50</v>
      </c>
      <c r="F2201" s="48">
        <v>7.17</v>
      </c>
      <c r="G2201" s="38">
        <v>0.83</v>
      </c>
      <c r="H2201" s="39"/>
      <c r="I2201" s="39"/>
      <c r="J2201" s="39"/>
      <c r="K2201" s="39"/>
      <c r="L2201" s="39"/>
      <c r="M2201" s="39"/>
      <c r="N2201" s="39"/>
      <c r="O2201" s="39"/>
      <c r="P2201" s="39"/>
      <c r="Q2201" s="39">
        <v>0.83</v>
      </c>
      <c r="R2201" s="39"/>
      <c r="S2201" s="39"/>
      <c r="T2201" s="39"/>
      <c r="U2201" s="39"/>
      <c r="V2201" s="39"/>
      <c r="W2201" s="39"/>
      <c r="X2201" s="49" t="s">
        <v>103</v>
      </c>
      <c r="Y2201" s="50">
        <v>4215.96</v>
      </c>
      <c r="Z2201" s="51">
        <v>2484</v>
      </c>
      <c r="AA2201" s="52">
        <f t="shared" ref="AA2201:AA2232" si="60">IFERROR(Z2201/Y2201,0)</f>
        <v>0.5891896507557</v>
      </c>
      <c r="AB2201" s="12">
        <v>2484</v>
      </c>
      <c r="AC2201" s="12">
        <v>0</v>
      </c>
      <c r="AD2201" s="43"/>
      <c r="AE2201" s="43"/>
      <c r="AF2201" s="43"/>
      <c r="AG2201" s="43"/>
      <c r="AH2201" s="43"/>
      <c r="AI2201" s="43"/>
      <c r="AJ2201" s="43"/>
      <c r="AK2201" s="43"/>
      <c r="AL2201" s="43"/>
      <c r="AM2201" s="43"/>
      <c r="AN2201" s="43"/>
      <c r="AO2201" s="43"/>
      <c r="AP2201" s="43"/>
      <c r="AQ2201" s="43"/>
      <c r="AR2201" s="43"/>
      <c r="AS2201" s="43"/>
      <c r="AT2201" s="43"/>
      <c r="AU2201" s="43"/>
      <c r="AV2201" s="43"/>
    </row>
    <row r="2202" ht="15.75" spans="1:48">
      <c r="A2202" s="12">
        <v>2198</v>
      </c>
      <c r="B2202" s="44" t="s">
        <v>365</v>
      </c>
      <c r="C2202" s="45" t="s">
        <v>366</v>
      </c>
      <c r="D2202" s="46">
        <v>5</v>
      </c>
      <c r="E2202" s="47" t="s">
        <v>50</v>
      </c>
      <c r="F2202" s="48">
        <v>7</v>
      </c>
      <c r="G2202" s="38">
        <v>1</v>
      </c>
      <c r="H2202" s="39"/>
      <c r="I2202" s="39"/>
      <c r="J2202" s="39"/>
      <c r="K2202" s="39"/>
      <c r="L2202" s="39"/>
      <c r="M2202" s="39"/>
      <c r="N2202" s="39"/>
      <c r="O2202" s="39"/>
      <c r="P2202" s="39"/>
      <c r="Q2202" s="39">
        <v>0.83</v>
      </c>
      <c r="R2202" s="39"/>
      <c r="S2202" s="39"/>
      <c r="T2202" s="39"/>
      <c r="U2202" s="39">
        <v>0.17</v>
      </c>
      <c r="V2202" s="39"/>
      <c r="W2202" s="39"/>
      <c r="X2202" s="49">
        <v>5770</v>
      </c>
      <c r="Y2202" s="50">
        <v>2964.5</v>
      </c>
      <c r="Z2202" s="51">
        <v>2220</v>
      </c>
      <c r="AA2202" s="52">
        <f t="shared" si="60"/>
        <v>0.748861528082307</v>
      </c>
      <c r="AB2202" s="12">
        <v>2220</v>
      </c>
      <c r="AC2202" s="12">
        <v>0</v>
      </c>
      <c r="AD2202" s="43"/>
      <c r="AE2202" s="43"/>
      <c r="AF2202" s="43"/>
      <c r="AG2202" s="43"/>
      <c r="AH2202" s="43"/>
      <c r="AI2202" s="43"/>
      <c r="AJ2202" s="43"/>
      <c r="AK2202" s="43"/>
      <c r="AL2202" s="43"/>
      <c r="AM2202" s="43"/>
      <c r="AN2202" s="43"/>
      <c r="AO2202" s="43"/>
      <c r="AP2202" s="43"/>
      <c r="AQ2202" s="43"/>
      <c r="AR2202" s="43"/>
      <c r="AS2202" s="43"/>
      <c r="AT2202" s="43"/>
      <c r="AU2202" s="43"/>
      <c r="AV2202" s="43"/>
    </row>
    <row r="2203" ht="15.75" spans="1:48">
      <c r="A2203" s="12">
        <v>2199</v>
      </c>
      <c r="B2203" s="44">
        <v>4335</v>
      </c>
      <c r="C2203" s="45" t="s">
        <v>154</v>
      </c>
      <c r="D2203" s="46"/>
      <c r="E2203" s="47" t="s">
        <v>50</v>
      </c>
      <c r="F2203" s="48">
        <v>10.83</v>
      </c>
      <c r="G2203" s="38">
        <v>1.17</v>
      </c>
      <c r="H2203" s="39"/>
      <c r="I2203" s="39"/>
      <c r="J2203" s="39"/>
      <c r="K2203" s="39"/>
      <c r="L2203" s="39"/>
      <c r="M2203" s="39"/>
      <c r="N2203" s="39"/>
      <c r="O2203" s="39"/>
      <c r="P2203" s="39"/>
      <c r="Q2203" s="39">
        <v>1.17</v>
      </c>
      <c r="R2203" s="39"/>
      <c r="S2203" s="39"/>
      <c r="T2203" s="39"/>
      <c r="U2203" s="39"/>
      <c r="V2203" s="39"/>
      <c r="W2203" s="39"/>
      <c r="X2203" s="49" t="s">
        <v>438</v>
      </c>
      <c r="Y2203" s="50">
        <v>0</v>
      </c>
      <c r="Z2203" s="51"/>
      <c r="AA2203" s="52">
        <f t="shared" si="60"/>
        <v>0</v>
      </c>
      <c r="AB2203" s="12">
        <v>0</v>
      </c>
      <c r="AC2203" s="12">
        <v>0</v>
      </c>
      <c r="AD2203" s="43"/>
      <c r="AE2203" s="43"/>
      <c r="AF2203" s="43"/>
      <c r="AG2203" s="43"/>
      <c r="AH2203" s="43"/>
      <c r="AI2203" s="43"/>
      <c r="AJ2203" s="43"/>
      <c r="AK2203" s="43"/>
      <c r="AL2203" s="43"/>
      <c r="AM2203" s="43"/>
      <c r="AN2203" s="43"/>
      <c r="AO2203" s="43"/>
      <c r="AP2203" s="43"/>
      <c r="AQ2203" s="43"/>
      <c r="AR2203" s="43"/>
      <c r="AS2203" s="43"/>
      <c r="AT2203" s="43"/>
      <c r="AU2203" s="43"/>
      <c r="AV2203" s="43"/>
    </row>
    <row r="2204" ht="15.75" spans="1:48">
      <c r="A2204" s="12">
        <v>2200</v>
      </c>
      <c r="B2204" s="44">
        <v>2865</v>
      </c>
      <c r="C2204" s="45" t="s">
        <v>149</v>
      </c>
      <c r="D2204" s="46">
        <v>15</v>
      </c>
      <c r="E2204" s="47" t="s">
        <v>50</v>
      </c>
      <c r="F2204" s="48">
        <v>8.17</v>
      </c>
      <c r="G2204" s="38">
        <v>3</v>
      </c>
      <c r="H2204" s="39"/>
      <c r="I2204" s="39"/>
      <c r="J2204" s="39"/>
      <c r="K2204" s="39">
        <v>0.83</v>
      </c>
      <c r="L2204" s="39"/>
      <c r="M2204" s="39"/>
      <c r="N2204" s="39"/>
      <c r="O2204" s="39"/>
      <c r="P2204" s="39"/>
      <c r="Q2204" s="39">
        <v>1.17</v>
      </c>
      <c r="R2204" s="39"/>
      <c r="S2204" s="39"/>
      <c r="T2204" s="39">
        <v>0.83</v>
      </c>
      <c r="U2204" s="39">
        <v>0.17</v>
      </c>
      <c r="V2204" s="39"/>
      <c r="W2204" s="39"/>
      <c r="X2204" s="49">
        <v>3880</v>
      </c>
      <c r="Y2204" s="50">
        <v>3268</v>
      </c>
      <c r="Z2204" s="51">
        <v>2925</v>
      </c>
      <c r="AA2204" s="52">
        <f t="shared" si="60"/>
        <v>0.895042839657283</v>
      </c>
      <c r="AB2204" s="12">
        <v>2635</v>
      </c>
      <c r="AC2204" s="12">
        <v>290</v>
      </c>
      <c r="AD2204" s="19">
        <v>290</v>
      </c>
      <c r="AE2204" s="43"/>
      <c r="AF2204" s="43"/>
      <c r="AG2204" s="43"/>
      <c r="AH2204" s="43"/>
      <c r="AI2204" s="43"/>
      <c r="AJ2204" s="43"/>
      <c r="AK2204" s="43"/>
      <c r="AL2204" s="43"/>
      <c r="AM2204" s="43"/>
      <c r="AN2204" s="43"/>
      <c r="AO2204" s="43"/>
      <c r="AP2204" s="43"/>
      <c r="AQ2204" s="43"/>
      <c r="AR2204" s="43"/>
      <c r="AS2204" s="43"/>
      <c r="AT2204" s="43"/>
      <c r="AU2204" s="43"/>
      <c r="AV2204" s="43"/>
    </row>
    <row r="2205" ht="15.75" spans="1:48">
      <c r="A2205" s="12">
        <v>2201</v>
      </c>
      <c r="B2205" s="44">
        <v>4412</v>
      </c>
      <c r="C2205" s="45" t="s">
        <v>177</v>
      </c>
      <c r="D2205" s="46">
        <v>2</v>
      </c>
      <c r="E2205" s="47" t="s">
        <v>50</v>
      </c>
      <c r="F2205" s="48">
        <v>8.33</v>
      </c>
      <c r="G2205" s="38">
        <v>1.5</v>
      </c>
      <c r="H2205" s="39"/>
      <c r="I2205" s="39"/>
      <c r="J2205" s="39"/>
      <c r="K2205" s="39"/>
      <c r="L2205" s="39"/>
      <c r="M2205" s="39"/>
      <c r="N2205" s="39"/>
      <c r="O2205" s="39"/>
      <c r="P2205" s="39"/>
      <c r="Q2205" s="39">
        <v>1</v>
      </c>
      <c r="R2205" s="39"/>
      <c r="S2205" s="39"/>
      <c r="T2205" s="39">
        <v>0.33</v>
      </c>
      <c r="U2205" s="39">
        <v>0.17</v>
      </c>
      <c r="V2205" s="39"/>
      <c r="W2205" s="39"/>
      <c r="X2205" s="49">
        <v>1080</v>
      </c>
      <c r="Y2205" s="50">
        <v>5497.8</v>
      </c>
      <c r="Z2205" s="51">
        <v>5262</v>
      </c>
      <c r="AA2205" s="52">
        <f t="shared" si="60"/>
        <v>0.957110116773982</v>
      </c>
      <c r="AB2205" s="12">
        <v>5139</v>
      </c>
      <c r="AC2205" s="12">
        <v>123</v>
      </c>
      <c r="AD2205" s="19">
        <v>123</v>
      </c>
      <c r="AE2205" s="43"/>
      <c r="AF2205" s="43"/>
      <c r="AG2205" s="43"/>
      <c r="AH2205" s="43"/>
      <c r="AI2205" s="43"/>
      <c r="AJ2205" s="43"/>
      <c r="AK2205" s="43"/>
      <c r="AL2205" s="43"/>
      <c r="AM2205" s="43"/>
      <c r="AN2205" s="43"/>
      <c r="AO2205" s="43"/>
      <c r="AP2205" s="43"/>
      <c r="AQ2205" s="43"/>
      <c r="AR2205" s="43"/>
      <c r="AS2205" s="43"/>
      <c r="AT2205" s="43"/>
      <c r="AU2205" s="43"/>
      <c r="AV2205" s="43"/>
    </row>
    <row r="2206" ht="15.75" spans="1:48">
      <c r="A2206" s="12">
        <v>2202</v>
      </c>
      <c r="B2206" s="44">
        <v>551</v>
      </c>
      <c r="C2206" s="45" t="s">
        <v>146</v>
      </c>
      <c r="D2206" s="46">
        <v>3</v>
      </c>
      <c r="E2206" s="47" t="s">
        <v>50</v>
      </c>
      <c r="F2206" s="48">
        <v>6.33</v>
      </c>
      <c r="G2206" s="38">
        <v>1.67</v>
      </c>
      <c r="H2206" s="39"/>
      <c r="I2206" s="39"/>
      <c r="J2206" s="39"/>
      <c r="K2206" s="39"/>
      <c r="L2206" s="39"/>
      <c r="M2206" s="39"/>
      <c r="N2206" s="39"/>
      <c r="O2206" s="39"/>
      <c r="P2206" s="39"/>
      <c r="Q2206" s="39">
        <v>0.83</v>
      </c>
      <c r="R2206" s="39"/>
      <c r="S2206" s="39"/>
      <c r="T2206" s="39">
        <v>0.67</v>
      </c>
      <c r="U2206" s="39">
        <v>0.17</v>
      </c>
      <c r="V2206" s="39"/>
      <c r="W2206" s="39"/>
      <c r="X2206" s="49" t="s">
        <v>439</v>
      </c>
      <c r="Y2206" s="50">
        <v>2633.28</v>
      </c>
      <c r="Z2206" s="51">
        <v>2400</v>
      </c>
      <c r="AA2206" s="52">
        <f t="shared" si="60"/>
        <v>0.911410864017499</v>
      </c>
      <c r="AB2206" s="12">
        <v>2164</v>
      </c>
      <c r="AC2206" s="12">
        <v>236</v>
      </c>
      <c r="AD2206" s="19">
        <v>236</v>
      </c>
      <c r="AE2206" s="43"/>
      <c r="AF2206" s="43"/>
      <c r="AG2206" s="43"/>
      <c r="AH2206" s="43"/>
      <c r="AI2206" s="43"/>
      <c r="AJ2206" s="43"/>
      <c r="AK2206" s="43"/>
      <c r="AL2206" s="43"/>
      <c r="AM2206" s="43"/>
      <c r="AN2206" s="43"/>
      <c r="AO2206" s="43"/>
      <c r="AP2206" s="43"/>
      <c r="AQ2206" s="43"/>
      <c r="AR2206" s="43"/>
      <c r="AS2206" s="43"/>
      <c r="AT2206" s="43"/>
      <c r="AU2206" s="43"/>
      <c r="AV2206" s="43"/>
    </row>
    <row r="2207" ht="15.75" spans="1:48">
      <c r="A2207" s="12">
        <v>2203</v>
      </c>
      <c r="B2207" s="44">
        <v>666</v>
      </c>
      <c r="C2207" s="45" t="s">
        <v>151</v>
      </c>
      <c r="D2207" s="46"/>
      <c r="E2207" s="47" t="s">
        <v>50</v>
      </c>
      <c r="F2207" s="48">
        <v>7.33</v>
      </c>
      <c r="G2207" s="38">
        <v>2.67</v>
      </c>
      <c r="H2207" s="39"/>
      <c r="I2207" s="39"/>
      <c r="J2207" s="39"/>
      <c r="K2207" s="39"/>
      <c r="L2207" s="39"/>
      <c r="M2207" s="39"/>
      <c r="N2207" s="39"/>
      <c r="O2207" s="39"/>
      <c r="P2207" s="39"/>
      <c r="Q2207" s="39">
        <v>1</v>
      </c>
      <c r="R2207" s="39"/>
      <c r="S2207" s="39">
        <v>0.83</v>
      </c>
      <c r="T2207" s="39">
        <v>0.67</v>
      </c>
      <c r="U2207" s="39">
        <v>0.17</v>
      </c>
      <c r="V2207" s="39"/>
      <c r="W2207" s="39"/>
      <c r="X2207" s="49" t="s">
        <v>90</v>
      </c>
      <c r="Y2207" s="50">
        <v>3445.1</v>
      </c>
      <c r="Z2207" s="51">
        <v>3240</v>
      </c>
      <c r="AA2207" s="52">
        <f t="shared" si="60"/>
        <v>0.940466169341964</v>
      </c>
      <c r="AB2207" s="12">
        <v>3240</v>
      </c>
      <c r="AC2207" s="12">
        <v>0</v>
      </c>
      <c r="AD2207" s="43"/>
      <c r="AE2207" s="43"/>
      <c r="AF2207" s="43"/>
      <c r="AG2207" s="43"/>
      <c r="AH2207" s="43"/>
      <c r="AI2207" s="43"/>
      <c r="AJ2207" s="43"/>
      <c r="AK2207" s="43"/>
      <c r="AL2207" s="43"/>
      <c r="AM2207" s="43"/>
      <c r="AN2207" s="43"/>
      <c r="AO2207" s="43"/>
      <c r="AP2207" s="43"/>
      <c r="AQ2207" s="43"/>
      <c r="AR2207" s="43"/>
      <c r="AS2207" s="43"/>
      <c r="AT2207" s="43"/>
      <c r="AU2207" s="43"/>
      <c r="AV2207" s="43"/>
    </row>
    <row r="2208" ht="15.75" spans="1:48">
      <c r="A2208" s="12">
        <v>2204</v>
      </c>
      <c r="B2208" s="44">
        <v>4017</v>
      </c>
      <c r="C2208" s="45" t="s">
        <v>148</v>
      </c>
      <c r="D2208" s="46">
        <v>17</v>
      </c>
      <c r="E2208" s="47" t="s">
        <v>50</v>
      </c>
      <c r="F2208" s="48">
        <v>9.83</v>
      </c>
      <c r="G2208" s="38">
        <v>1.34</v>
      </c>
      <c r="H2208" s="39"/>
      <c r="I2208" s="39"/>
      <c r="J2208" s="39"/>
      <c r="K2208" s="39"/>
      <c r="L2208" s="39"/>
      <c r="M2208" s="39"/>
      <c r="N2208" s="39"/>
      <c r="O2208" s="39"/>
      <c r="P2208" s="39"/>
      <c r="Q2208" s="39">
        <v>1.17</v>
      </c>
      <c r="R2208" s="39"/>
      <c r="S2208" s="39"/>
      <c r="T2208" s="39"/>
      <c r="U2208" s="39">
        <v>0.17</v>
      </c>
      <c r="V2208" s="39"/>
      <c r="W2208" s="39"/>
      <c r="X2208" s="49" t="s">
        <v>222</v>
      </c>
      <c r="Y2208" s="50">
        <v>14253.5</v>
      </c>
      <c r="Z2208" s="51">
        <v>13878</v>
      </c>
      <c r="AA2208" s="52">
        <f t="shared" si="60"/>
        <v>0.973655593363034</v>
      </c>
      <c r="AB2208" s="12">
        <v>13878</v>
      </c>
      <c r="AC2208" s="12">
        <v>0</v>
      </c>
      <c r="AD2208" s="43"/>
      <c r="AE2208" s="43"/>
      <c r="AF2208" s="43"/>
      <c r="AG2208" s="43"/>
      <c r="AH2208" s="43"/>
      <c r="AI2208" s="43"/>
      <c r="AJ2208" s="43"/>
      <c r="AK2208" s="43"/>
      <c r="AL2208" s="43"/>
      <c r="AM2208" s="43"/>
      <c r="AN2208" s="43"/>
      <c r="AO2208" s="43"/>
      <c r="AP2208" s="43"/>
      <c r="AQ2208" s="43"/>
      <c r="AR2208" s="43"/>
      <c r="AS2208" s="43"/>
      <c r="AT2208" s="43"/>
      <c r="AU2208" s="43"/>
      <c r="AV2208" s="43"/>
    </row>
    <row r="2209" ht="15.75" spans="1:48">
      <c r="A2209" s="12">
        <v>2205</v>
      </c>
      <c r="B2209" s="44">
        <v>4384</v>
      </c>
      <c r="C2209" s="45" t="s">
        <v>145</v>
      </c>
      <c r="D2209" s="46">
        <v>5</v>
      </c>
      <c r="E2209" s="47" t="s">
        <v>50</v>
      </c>
      <c r="F2209" s="48">
        <v>1.17</v>
      </c>
      <c r="G2209" s="38">
        <v>0</v>
      </c>
      <c r="H2209" s="39"/>
      <c r="I2209" s="39"/>
      <c r="J2209" s="39"/>
      <c r="K2209" s="39"/>
      <c r="L2209" s="39"/>
      <c r="M2209" s="39"/>
      <c r="N2209" s="39"/>
      <c r="O2209" s="39"/>
      <c r="P2209" s="39"/>
      <c r="Q2209" s="39"/>
      <c r="R2209" s="39"/>
      <c r="S2209" s="39"/>
      <c r="T2209" s="39"/>
      <c r="U2209" s="39"/>
      <c r="V2209" s="39"/>
      <c r="W2209" s="39"/>
      <c r="X2209" s="49">
        <v>5770</v>
      </c>
      <c r="Y2209" s="50">
        <v>707.85</v>
      </c>
      <c r="Z2209" s="51">
        <v>690</v>
      </c>
      <c r="AA2209" s="52">
        <f t="shared" si="60"/>
        <v>0.974782792964611</v>
      </c>
      <c r="AB2209" s="12">
        <v>690</v>
      </c>
      <c r="AC2209" s="12">
        <v>0</v>
      </c>
      <c r="AD2209" s="43"/>
      <c r="AE2209" s="43"/>
      <c r="AF2209" s="43"/>
      <c r="AG2209" s="43"/>
      <c r="AH2209" s="43"/>
      <c r="AI2209" s="43"/>
      <c r="AJ2209" s="43"/>
      <c r="AK2209" s="43"/>
      <c r="AL2209" s="43"/>
      <c r="AM2209" s="43"/>
      <c r="AN2209" s="43"/>
      <c r="AO2209" s="43"/>
      <c r="AP2209" s="43"/>
      <c r="AQ2209" s="43"/>
      <c r="AR2209" s="43"/>
      <c r="AS2209" s="43"/>
      <c r="AT2209" s="43"/>
      <c r="AU2209" s="43"/>
      <c r="AV2209" s="43"/>
    </row>
    <row r="2210" ht="15.75" spans="1:48">
      <c r="A2210" s="12">
        <v>2206</v>
      </c>
      <c r="B2210" s="44">
        <v>4384</v>
      </c>
      <c r="C2210" s="45" t="s">
        <v>145</v>
      </c>
      <c r="D2210" s="46"/>
      <c r="E2210" s="47" t="s">
        <v>50</v>
      </c>
      <c r="F2210" s="48">
        <v>7.67</v>
      </c>
      <c r="G2210" s="38">
        <v>1.67</v>
      </c>
      <c r="H2210" s="39"/>
      <c r="I2210" s="39"/>
      <c r="J2210" s="39"/>
      <c r="K2210" s="39"/>
      <c r="L2210" s="39"/>
      <c r="M2210" s="39"/>
      <c r="N2210" s="39"/>
      <c r="O2210" s="39"/>
      <c r="P2210" s="39"/>
      <c r="Q2210" s="39">
        <v>1.17</v>
      </c>
      <c r="R2210" s="39"/>
      <c r="S2210" s="39"/>
      <c r="T2210" s="39">
        <v>0.5</v>
      </c>
      <c r="U2210" s="39"/>
      <c r="V2210" s="39"/>
      <c r="W2210" s="39"/>
      <c r="X2210" s="49" t="s">
        <v>90</v>
      </c>
      <c r="Y2210" s="50">
        <v>3604.9</v>
      </c>
      <c r="Z2210" s="51">
        <v>3420</v>
      </c>
      <c r="AA2210" s="52">
        <f t="shared" si="60"/>
        <v>0.948708702044439</v>
      </c>
      <c r="AB2210" s="12">
        <v>3420</v>
      </c>
      <c r="AC2210" s="12">
        <v>0</v>
      </c>
      <c r="AD2210" s="43"/>
      <c r="AE2210" s="43"/>
      <c r="AF2210" s="43"/>
      <c r="AG2210" s="43"/>
      <c r="AH2210" s="43"/>
      <c r="AI2210" s="43"/>
      <c r="AJ2210" s="43"/>
      <c r="AK2210" s="43"/>
      <c r="AL2210" s="43"/>
      <c r="AM2210" s="43"/>
      <c r="AN2210" s="43"/>
      <c r="AO2210" s="43"/>
      <c r="AP2210" s="43"/>
      <c r="AQ2210" s="43"/>
      <c r="AR2210" s="43"/>
      <c r="AS2210" s="43"/>
      <c r="AT2210" s="43"/>
      <c r="AU2210" s="43"/>
      <c r="AV2210" s="43"/>
    </row>
    <row r="2211" ht="15.75" spans="1:48">
      <c r="A2211" s="12">
        <v>2207</v>
      </c>
      <c r="B2211" s="44">
        <v>4110</v>
      </c>
      <c r="C2211" s="45" t="s">
        <v>135</v>
      </c>
      <c r="D2211" s="46">
        <v>18</v>
      </c>
      <c r="E2211" s="47" t="s">
        <v>50</v>
      </c>
      <c r="F2211" s="48">
        <v>0.83</v>
      </c>
      <c r="G2211" s="38">
        <v>1.34</v>
      </c>
      <c r="H2211" s="39"/>
      <c r="I2211" s="39"/>
      <c r="J2211" s="39"/>
      <c r="K2211" s="39"/>
      <c r="L2211" s="39"/>
      <c r="M2211" s="39"/>
      <c r="N2211" s="39"/>
      <c r="O2211" s="39"/>
      <c r="P2211" s="39"/>
      <c r="Q2211" s="39">
        <v>1.17</v>
      </c>
      <c r="R2211" s="39"/>
      <c r="S2211" s="39"/>
      <c r="T2211" s="39">
        <v>0.17</v>
      </c>
      <c r="U2211" s="39"/>
      <c r="V2211" s="39"/>
      <c r="W2211" s="39"/>
      <c r="X2211" s="49">
        <v>2801</v>
      </c>
      <c r="Y2211" s="50">
        <v>502.15</v>
      </c>
      <c r="Z2211" s="51">
        <v>480</v>
      </c>
      <c r="AA2211" s="52">
        <f t="shared" si="60"/>
        <v>0.95588967440008</v>
      </c>
      <c r="AB2211" s="12">
        <v>428</v>
      </c>
      <c r="AC2211" s="12">
        <v>52</v>
      </c>
      <c r="AD2211" s="19">
        <v>52</v>
      </c>
      <c r="AE2211" s="43"/>
      <c r="AF2211" s="43"/>
      <c r="AG2211" s="43"/>
      <c r="AH2211" s="43"/>
      <c r="AI2211" s="43"/>
      <c r="AJ2211" s="43"/>
      <c r="AK2211" s="43"/>
      <c r="AL2211" s="43"/>
      <c r="AM2211" s="43"/>
      <c r="AN2211" s="43"/>
      <c r="AO2211" s="43"/>
      <c r="AP2211" s="43"/>
      <c r="AQ2211" s="43"/>
      <c r="AR2211" s="43"/>
      <c r="AS2211" s="43"/>
      <c r="AT2211" s="43"/>
      <c r="AU2211" s="43"/>
      <c r="AV2211" s="43"/>
    </row>
    <row r="2212" ht="15.75" spans="1:48">
      <c r="A2212" s="12">
        <v>2208</v>
      </c>
      <c r="B2212" s="44">
        <v>4110</v>
      </c>
      <c r="C2212" s="45" t="s">
        <v>135</v>
      </c>
      <c r="D2212" s="46">
        <v>7</v>
      </c>
      <c r="E2212" s="47" t="s">
        <v>50</v>
      </c>
      <c r="F2212" s="48">
        <v>3.5</v>
      </c>
      <c r="G2212" s="38">
        <v>0.17</v>
      </c>
      <c r="H2212" s="39"/>
      <c r="I2212" s="39"/>
      <c r="J2212" s="39"/>
      <c r="K2212" s="39"/>
      <c r="L2212" s="39"/>
      <c r="M2212" s="39"/>
      <c r="N2212" s="39"/>
      <c r="O2212" s="39"/>
      <c r="P2212" s="39"/>
      <c r="Q2212" s="39"/>
      <c r="R2212" s="39"/>
      <c r="S2212" s="39"/>
      <c r="T2212" s="39"/>
      <c r="U2212" s="39">
        <v>0.17</v>
      </c>
      <c r="V2212" s="39"/>
      <c r="W2212" s="39"/>
      <c r="X2212" s="49" t="s">
        <v>95</v>
      </c>
      <c r="Y2212" s="50">
        <v>4900</v>
      </c>
      <c r="Z2212" s="51">
        <v>4900</v>
      </c>
      <c r="AA2212" s="52">
        <f t="shared" si="60"/>
        <v>1</v>
      </c>
      <c r="AB2212" s="12">
        <v>4900</v>
      </c>
      <c r="AC2212" s="12">
        <v>0</v>
      </c>
      <c r="AD2212" s="43"/>
      <c r="AE2212" s="43"/>
      <c r="AF2212" s="43"/>
      <c r="AG2212" s="43"/>
      <c r="AH2212" s="43"/>
      <c r="AI2212" s="43"/>
      <c r="AJ2212" s="43"/>
      <c r="AK2212" s="43"/>
      <c r="AL2212" s="43"/>
      <c r="AM2212" s="43"/>
      <c r="AN2212" s="43"/>
      <c r="AO2212" s="43"/>
      <c r="AP2212" s="43"/>
      <c r="AQ2212" s="43"/>
      <c r="AR2212" s="43"/>
      <c r="AS2212" s="43"/>
      <c r="AT2212" s="43"/>
      <c r="AU2212" s="43"/>
      <c r="AV2212" s="43"/>
    </row>
    <row r="2213" ht="15.75" spans="1:48">
      <c r="A2213" s="12">
        <v>2209</v>
      </c>
      <c r="B2213" s="44">
        <v>4342</v>
      </c>
      <c r="C2213" s="45" t="s">
        <v>147</v>
      </c>
      <c r="D2213" s="46"/>
      <c r="E2213" s="47" t="s">
        <v>50</v>
      </c>
      <c r="F2213" s="48">
        <v>5.33</v>
      </c>
      <c r="G2213" s="38">
        <v>2.01</v>
      </c>
      <c r="H2213" s="39"/>
      <c r="I2213" s="39"/>
      <c r="J2213" s="39"/>
      <c r="K2213" s="39"/>
      <c r="L2213" s="39"/>
      <c r="M2213" s="39"/>
      <c r="N2213" s="39"/>
      <c r="O2213" s="39"/>
      <c r="P2213" s="39"/>
      <c r="Q2213" s="39">
        <v>1.17</v>
      </c>
      <c r="R2213" s="39"/>
      <c r="S2213" s="39"/>
      <c r="T2213" s="39">
        <v>0.67</v>
      </c>
      <c r="U2213" s="39">
        <v>0.17</v>
      </c>
      <c r="V2213" s="39"/>
      <c r="W2213" s="39"/>
      <c r="X2213" s="49" t="s">
        <v>90</v>
      </c>
      <c r="Y2213" s="50">
        <v>2505.1</v>
      </c>
      <c r="Z2213" s="51">
        <v>2340</v>
      </c>
      <c r="AA2213" s="52">
        <f t="shared" si="60"/>
        <v>0.934094447327452</v>
      </c>
      <c r="AB2213" s="12">
        <v>2340</v>
      </c>
      <c r="AC2213" s="12">
        <v>0</v>
      </c>
      <c r="AD2213" s="43"/>
      <c r="AE2213" s="43"/>
      <c r="AF2213" s="43"/>
      <c r="AG2213" s="43"/>
      <c r="AH2213" s="43"/>
      <c r="AI2213" s="43"/>
      <c r="AJ2213" s="43"/>
      <c r="AK2213" s="43"/>
      <c r="AL2213" s="43"/>
      <c r="AM2213" s="43"/>
      <c r="AN2213" s="43"/>
      <c r="AO2213" s="43"/>
      <c r="AP2213" s="43"/>
      <c r="AQ2213" s="43"/>
      <c r="AR2213" s="43"/>
      <c r="AS2213" s="43"/>
      <c r="AT2213" s="43"/>
      <c r="AU2213" s="43"/>
      <c r="AV2213" s="43"/>
    </row>
    <row r="2214" ht="15.75" spans="1:48">
      <c r="A2214" s="12">
        <v>2210</v>
      </c>
      <c r="B2214" s="44">
        <v>4342</v>
      </c>
      <c r="C2214" s="45" t="s">
        <v>147</v>
      </c>
      <c r="D2214" s="46"/>
      <c r="E2214" s="47" t="s">
        <v>50</v>
      </c>
      <c r="F2214" s="48">
        <v>4.67</v>
      </c>
      <c r="G2214" s="38">
        <v>0</v>
      </c>
      <c r="H2214" s="39"/>
      <c r="I2214" s="39"/>
      <c r="J2214" s="39"/>
      <c r="K2214" s="39"/>
      <c r="L2214" s="39"/>
      <c r="M2214" s="39"/>
      <c r="N2214" s="39"/>
      <c r="O2214" s="39"/>
      <c r="P2214" s="39"/>
      <c r="Q2214" s="39"/>
      <c r="R2214" s="39"/>
      <c r="S2214" s="39"/>
      <c r="T2214" s="39"/>
      <c r="U2214" s="39"/>
      <c r="V2214" s="39"/>
      <c r="W2214" s="39"/>
      <c r="X2214" s="49" t="s">
        <v>98</v>
      </c>
      <c r="Y2214" s="50">
        <v>2194.9</v>
      </c>
      <c r="Z2214" s="51">
        <v>2160</v>
      </c>
      <c r="AA2214" s="52">
        <f t="shared" si="60"/>
        <v>0.984099503394232</v>
      </c>
      <c r="AB2214" s="12">
        <v>2160</v>
      </c>
      <c r="AC2214" s="12">
        <v>0</v>
      </c>
      <c r="AD2214" s="43"/>
      <c r="AE2214" s="43"/>
      <c r="AF2214" s="43"/>
      <c r="AG2214" s="43"/>
      <c r="AH2214" s="43"/>
      <c r="AI2214" s="43"/>
      <c r="AJ2214" s="43"/>
      <c r="AK2214" s="43"/>
      <c r="AL2214" s="43"/>
      <c r="AM2214" s="43"/>
      <c r="AN2214" s="43"/>
      <c r="AO2214" s="43"/>
      <c r="AP2214" s="43"/>
      <c r="AQ2214" s="43"/>
      <c r="AR2214" s="43"/>
      <c r="AS2214" s="43"/>
      <c r="AT2214" s="43"/>
      <c r="AU2214" s="43"/>
      <c r="AV2214" s="43"/>
    </row>
    <row r="2215" ht="15.75" spans="1:48">
      <c r="A2215" s="12">
        <v>2211</v>
      </c>
      <c r="B2215" s="44">
        <v>947</v>
      </c>
      <c r="C2215" s="45" t="s">
        <v>143</v>
      </c>
      <c r="D2215" s="46">
        <v>8</v>
      </c>
      <c r="E2215" s="47" t="s">
        <v>50</v>
      </c>
      <c r="F2215" s="48">
        <v>8.17</v>
      </c>
      <c r="G2215" s="38">
        <v>2.01</v>
      </c>
      <c r="H2215" s="39"/>
      <c r="I2215" s="39"/>
      <c r="J2215" s="39"/>
      <c r="K2215" s="39"/>
      <c r="L2215" s="39"/>
      <c r="M2215" s="39"/>
      <c r="N2215" s="39"/>
      <c r="O2215" s="39"/>
      <c r="P2215" s="39"/>
      <c r="Q2215" s="39">
        <v>1.17</v>
      </c>
      <c r="R2215" s="39"/>
      <c r="S2215" s="39"/>
      <c r="T2215" s="39">
        <v>0.67</v>
      </c>
      <c r="U2215" s="39">
        <v>0.17</v>
      </c>
      <c r="V2215" s="39"/>
      <c r="W2215" s="39"/>
      <c r="X2215" s="49">
        <v>6270</v>
      </c>
      <c r="Y2215" s="50">
        <v>4942.85</v>
      </c>
      <c r="Z2215" s="51">
        <v>5392</v>
      </c>
      <c r="AA2215" s="52">
        <f t="shared" si="60"/>
        <v>1.09086862842287</v>
      </c>
      <c r="AB2215" s="12">
        <v>5269</v>
      </c>
      <c r="AC2215" s="12">
        <v>123</v>
      </c>
      <c r="AD2215" s="19">
        <v>123</v>
      </c>
      <c r="AE2215" s="43"/>
      <c r="AF2215" s="43"/>
      <c r="AG2215" s="43"/>
      <c r="AH2215" s="43"/>
      <c r="AI2215" s="43"/>
      <c r="AJ2215" s="43"/>
      <c r="AK2215" s="43"/>
      <c r="AL2215" s="43"/>
      <c r="AM2215" s="43"/>
      <c r="AN2215" s="43"/>
      <c r="AO2215" s="43"/>
      <c r="AP2215" s="43"/>
      <c r="AQ2215" s="43"/>
      <c r="AR2215" s="43"/>
      <c r="AS2215" s="43"/>
      <c r="AT2215" s="43"/>
      <c r="AU2215" s="43"/>
      <c r="AV2215" s="43"/>
    </row>
    <row r="2216" ht="15.75" spans="1:48">
      <c r="A2216" s="12">
        <v>2212</v>
      </c>
      <c r="B2216" s="44">
        <v>4110</v>
      </c>
      <c r="C2216" s="45" t="s">
        <v>135</v>
      </c>
      <c r="D2216" s="46" t="s">
        <v>73</v>
      </c>
      <c r="E2216" s="47" t="s">
        <v>50</v>
      </c>
      <c r="F2216" s="48">
        <v>5</v>
      </c>
      <c r="G2216" s="38">
        <v>0.17</v>
      </c>
      <c r="H2216" s="39"/>
      <c r="I2216" s="39"/>
      <c r="J2216" s="39"/>
      <c r="K2216" s="39"/>
      <c r="L2216" s="39"/>
      <c r="M2216" s="39"/>
      <c r="N2216" s="39"/>
      <c r="O2216" s="39"/>
      <c r="P2216" s="39"/>
      <c r="Q2216" s="39"/>
      <c r="R2216" s="39"/>
      <c r="S2216" s="39"/>
      <c r="T2216" s="39"/>
      <c r="U2216" s="39">
        <v>0.17</v>
      </c>
      <c r="V2216" s="39"/>
      <c r="W2216" s="39"/>
      <c r="X2216" s="49" t="s">
        <v>139</v>
      </c>
      <c r="Y2216" s="50">
        <v>7625</v>
      </c>
      <c r="Z2216" s="51">
        <v>7496</v>
      </c>
      <c r="AA2216" s="52">
        <f t="shared" si="60"/>
        <v>0.983081967213115</v>
      </c>
      <c r="AB2216" s="12">
        <v>7492</v>
      </c>
      <c r="AC2216" s="12">
        <v>4</v>
      </c>
      <c r="AD2216" s="43"/>
      <c r="AE2216" s="43"/>
      <c r="AF2216" s="43"/>
      <c r="AG2216" s="19">
        <v>4</v>
      </c>
      <c r="AH2216" s="43"/>
      <c r="AI2216" s="43"/>
      <c r="AJ2216" s="43"/>
      <c r="AK2216" s="43"/>
      <c r="AL2216" s="43"/>
      <c r="AM2216" s="43"/>
      <c r="AN2216" s="43"/>
      <c r="AO2216" s="43"/>
      <c r="AP2216" s="43"/>
      <c r="AQ2216" s="43"/>
      <c r="AR2216" s="43"/>
      <c r="AS2216" s="43"/>
      <c r="AT2216" s="43"/>
      <c r="AU2216" s="43"/>
      <c r="AV2216" s="43"/>
    </row>
    <row r="2217" ht="15.75" spans="1:48">
      <c r="A2217" s="12">
        <v>2213</v>
      </c>
      <c r="B2217" s="44">
        <v>4352</v>
      </c>
      <c r="C2217" s="45" t="s">
        <v>132</v>
      </c>
      <c r="D2217" s="46" t="s">
        <v>129</v>
      </c>
      <c r="E2217" s="47" t="s">
        <v>50</v>
      </c>
      <c r="F2217" s="48">
        <v>10.67</v>
      </c>
      <c r="G2217" s="38">
        <v>1.34</v>
      </c>
      <c r="H2217" s="39"/>
      <c r="I2217" s="39"/>
      <c r="J2217" s="39"/>
      <c r="K2217" s="39"/>
      <c r="L2217" s="39"/>
      <c r="M2217" s="39"/>
      <c r="N2217" s="39"/>
      <c r="O2217" s="39"/>
      <c r="P2217" s="39"/>
      <c r="Q2217" s="39">
        <v>1.17</v>
      </c>
      <c r="R2217" s="39"/>
      <c r="S2217" s="39"/>
      <c r="T2217" s="39"/>
      <c r="U2217" s="39">
        <v>0.17</v>
      </c>
      <c r="V2217" s="39"/>
      <c r="W2217" s="39"/>
      <c r="X2217" s="49" t="s">
        <v>311</v>
      </c>
      <c r="Y2217" s="50">
        <v>21340</v>
      </c>
      <c r="Z2217" s="51">
        <v>21336</v>
      </c>
      <c r="AA2217" s="52">
        <f t="shared" si="60"/>
        <v>0.999812558575445</v>
      </c>
      <c r="AB2217" s="12">
        <v>21312</v>
      </c>
      <c r="AC2217" s="12">
        <v>24</v>
      </c>
      <c r="AD2217" s="43"/>
      <c r="AE2217" s="43"/>
      <c r="AF2217" s="43"/>
      <c r="AG2217" s="19">
        <v>24</v>
      </c>
      <c r="AH2217" s="43"/>
      <c r="AI2217" s="43"/>
      <c r="AJ2217" s="43"/>
      <c r="AK2217" s="43"/>
      <c r="AL2217" s="43"/>
      <c r="AM2217" s="43"/>
      <c r="AN2217" s="43"/>
      <c r="AO2217" s="43"/>
      <c r="AP2217" s="43"/>
      <c r="AQ2217" s="43"/>
      <c r="AR2217" s="43"/>
      <c r="AS2217" s="43"/>
      <c r="AT2217" s="43"/>
      <c r="AU2217" s="43"/>
      <c r="AV2217" s="43"/>
    </row>
    <row r="2218" ht="15.75" spans="1:48">
      <c r="A2218" s="12">
        <v>2214</v>
      </c>
      <c r="B2218" s="44">
        <v>4019</v>
      </c>
      <c r="C2218" s="45" t="s">
        <v>134</v>
      </c>
      <c r="D2218" s="46" t="s">
        <v>76</v>
      </c>
      <c r="E2218" s="47" t="s">
        <v>50</v>
      </c>
      <c r="F2218" s="48">
        <v>11.17</v>
      </c>
      <c r="G2218" s="38">
        <v>0.83</v>
      </c>
      <c r="H2218" s="39"/>
      <c r="I2218" s="39"/>
      <c r="J2218" s="39"/>
      <c r="K2218" s="39">
        <v>0.17</v>
      </c>
      <c r="L2218" s="39"/>
      <c r="M2218" s="39"/>
      <c r="N2218" s="39"/>
      <c r="O2218" s="39"/>
      <c r="P2218" s="39"/>
      <c r="Q2218" s="39">
        <v>0.33</v>
      </c>
      <c r="R2218" s="39"/>
      <c r="S2218" s="39"/>
      <c r="T2218" s="39"/>
      <c r="U2218" s="39">
        <v>0.33</v>
      </c>
      <c r="V2218" s="39"/>
      <c r="W2218" s="39"/>
      <c r="X2218" s="49" t="s">
        <v>79</v>
      </c>
      <c r="Y2218" s="50">
        <v>74392.2</v>
      </c>
      <c r="Z2218" s="51">
        <v>65160</v>
      </c>
      <c r="AA2218" s="52">
        <f t="shared" si="60"/>
        <v>0.875898279658351</v>
      </c>
      <c r="AB2218" s="12">
        <v>65040</v>
      </c>
      <c r="AC2218" s="12">
        <v>120</v>
      </c>
      <c r="AD2218" s="43"/>
      <c r="AE2218" s="43"/>
      <c r="AF2218" s="43"/>
      <c r="AG2218" s="19">
        <v>72</v>
      </c>
      <c r="AH2218" s="43"/>
      <c r="AI2218" s="43"/>
      <c r="AJ2218" s="43"/>
      <c r="AK2218" s="43"/>
      <c r="AL2218" s="43"/>
      <c r="AM2218" s="43"/>
      <c r="AN2218" s="19">
        <v>48</v>
      </c>
      <c r="AO2218" s="43"/>
      <c r="AP2218" s="43"/>
      <c r="AQ2218" s="43"/>
      <c r="AR2218" s="43"/>
      <c r="AS2218" s="43"/>
      <c r="AT2218" s="43"/>
      <c r="AU2218" s="43"/>
      <c r="AV2218" s="43"/>
    </row>
    <row r="2219" ht="15.75" spans="1:48">
      <c r="A2219" s="12">
        <v>2215</v>
      </c>
      <c r="B2219" s="44">
        <v>4019</v>
      </c>
      <c r="C2219" s="45" t="s">
        <v>134</v>
      </c>
      <c r="D2219" s="46" t="s">
        <v>207</v>
      </c>
      <c r="E2219" s="47" t="s">
        <v>50</v>
      </c>
      <c r="F2219" s="48">
        <v>11.17</v>
      </c>
      <c r="G2219" s="38">
        <v>0.83</v>
      </c>
      <c r="H2219" s="39"/>
      <c r="I2219" s="39"/>
      <c r="J2219" s="39"/>
      <c r="K2219" s="39">
        <v>0.17</v>
      </c>
      <c r="L2219" s="39"/>
      <c r="M2219" s="39"/>
      <c r="N2219" s="39"/>
      <c r="O2219" s="39"/>
      <c r="P2219" s="39"/>
      <c r="Q2219" s="39">
        <v>0.33</v>
      </c>
      <c r="R2219" s="39"/>
      <c r="S2219" s="39"/>
      <c r="T2219" s="39"/>
      <c r="U2219" s="39">
        <v>0.33</v>
      </c>
      <c r="V2219" s="39"/>
      <c r="W2219" s="39"/>
      <c r="X2219" s="49" t="s">
        <v>79</v>
      </c>
      <c r="Y2219" s="50">
        <v>74392.2</v>
      </c>
      <c r="Z2219" s="51">
        <v>64992</v>
      </c>
      <c r="AA2219" s="52">
        <f t="shared" si="60"/>
        <v>0.873639978384831</v>
      </c>
      <c r="AB2219" s="12">
        <v>64864</v>
      </c>
      <c r="AC2219" s="12">
        <v>128</v>
      </c>
      <c r="AD2219" s="43"/>
      <c r="AE2219" s="43"/>
      <c r="AF2219" s="43"/>
      <c r="AG2219" s="19">
        <v>80</v>
      </c>
      <c r="AH2219" s="43"/>
      <c r="AI2219" s="43"/>
      <c r="AJ2219" s="43"/>
      <c r="AK2219" s="43"/>
      <c r="AL2219" s="43"/>
      <c r="AM2219" s="43"/>
      <c r="AN2219" s="19">
        <v>48</v>
      </c>
      <c r="AO2219" s="43"/>
      <c r="AP2219" s="43"/>
      <c r="AQ2219" s="43"/>
      <c r="AR2219" s="43"/>
      <c r="AS2219" s="43"/>
      <c r="AT2219" s="43"/>
      <c r="AU2219" s="43"/>
      <c r="AV2219" s="43"/>
    </row>
    <row r="2220" ht="15.75" spans="1:48">
      <c r="A2220" s="12">
        <v>2216</v>
      </c>
      <c r="B2220" s="44">
        <v>4019</v>
      </c>
      <c r="C2220" s="45" t="s">
        <v>134</v>
      </c>
      <c r="D2220" s="46" t="s">
        <v>78</v>
      </c>
      <c r="E2220" s="47" t="s">
        <v>50</v>
      </c>
      <c r="F2220" s="48">
        <v>11.17</v>
      </c>
      <c r="G2220" s="38">
        <v>0.83</v>
      </c>
      <c r="H2220" s="39"/>
      <c r="I2220" s="39"/>
      <c r="J2220" s="39"/>
      <c r="K2220" s="39">
        <v>0.17</v>
      </c>
      <c r="L2220" s="39"/>
      <c r="M2220" s="39"/>
      <c r="N2220" s="39"/>
      <c r="O2220" s="39"/>
      <c r="P2220" s="39"/>
      <c r="Q2220" s="39">
        <v>0.33</v>
      </c>
      <c r="R2220" s="39"/>
      <c r="S2220" s="39"/>
      <c r="T2220" s="39"/>
      <c r="U2220" s="39">
        <v>0.33</v>
      </c>
      <c r="V2220" s="39"/>
      <c r="W2220" s="39"/>
      <c r="X2220" s="49" t="s">
        <v>79</v>
      </c>
      <c r="Y2220" s="50">
        <v>74392.2</v>
      </c>
      <c r="Z2220" s="51">
        <v>64976</v>
      </c>
      <c r="AA2220" s="52">
        <f t="shared" si="60"/>
        <v>0.873424902073067</v>
      </c>
      <c r="AB2220" s="12">
        <v>64832</v>
      </c>
      <c r="AC2220" s="12">
        <v>144</v>
      </c>
      <c r="AD2220" s="43"/>
      <c r="AE2220" s="43"/>
      <c r="AF2220" s="43"/>
      <c r="AG2220" s="19">
        <v>72</v>
      </c>
      <c r="AH2220" s="43"/>
      <c r="AI2220" s="43"/>
      <c r="AJ2220" s="43"/>
      <c r="AK2220" s="43"/>
      <c r="AL2220" s="43"/>
      <c r="AM2220" s="43"/>
      <c r="AN2220" s="19">
        <v>72</v>
      </c>
      <c r="AO2220" s="43"/>
      <c r="AP2220" s="43"/>
      <c r="AQ2220" s="43"/>
      <c r="AR2220" s="43"/>
      <c r="AS2220" s="43"/>
      <c r="AT2220" s="43"/>
      <c r="AU2220" s="43"/>
      <c r="AV2220" s="43"/>
    </row>
    <row r="2221" ht="15.75" spans="1:48">
      <c r="A2221" s="12">
        <v>2217</v>
      </c>
      <c r="B2221" s="44">
        <v>4019</v>
      </c>
      <c r="C2221" s="55" t="s">
        <v>134</v>
      </c>
      <c r="D2221" s="46" t="s">
        <v>83</v>
      </c>
      <c r="E2221" s="47" t="s">
        <v>50</v>
      </c>
      <c r="F2221" s="48">
        <v>7.5</v>
      </c>
      <c r="G2221" s="38">
        <v>0.5</v>
      </c>
      <c r="H2221" s="39"/>
      <c r="I2221" s="39"/>
      <c r="J2221" s="39"/>
      <c r="K2221" s="39">
        <v>0.17</v>
      </c>
      <c r="L2221" s="39"/>
      <c r="M2221" s="39"/>
      <c r="N2221" s="39"/>
      <c r="O2221" s="39"/>
      <c r="P2221" s="39"/>
      <c r="Q2221" s="39">
        <v>0.33</v>
      </c>
      <c r="R2221" s="39"/>
      <c r="S2221" s="39"/>
      <c r="T2221" s="39"/>
      <c r="U2221" s="39"/>
      <c r="V2221" s="39"/>
      <c r="W2221" s="39"/>
      <c r="X2221" s="49" t="s">
        <v>342</v>
      </c>
      <c r="Y2221" s="50">
        <v>33750</v>
      </c>
      <c r="Z2221" s="51">
        <v>34140</v>
      </c>
      <c r="AA2221" s="52">
        <f t="shared" si="60"/>
        <v>1.01155555555556</v>
      </c>
      <c r="AB2221" s="12">
        <v>34080</v>
      </c>
      <c r="AC2221" s="12">
        <v>60</v>
      </c>
      <c r="AD2221" s="43"/>
      <c r="AE2221" s="43"/>
      <c r="AF2221" s="43"/>
      <c r="AG2221" s="19">
        <v>36</v>
      </c>
      <c r="AH2221" s="43"/>
      <c r="AI2221" s="43"/>
      <c r="AJ2221" s="43"/>
      <c r="AK2221" s="43"/>
      <c r="AL2221" s="43"/>
      <c r="AM2221" s="43"/>
      <c r="AN2221" s="19">
        <v>24</v>
      </c>
      <c r="AO2221" s="43"/>
      <c r="AP2221" s="43"/>
      <c r="AQ2221" s="43"/>
      <c r="AR2221" s="43"/>
      <c r="AS2221" s="43"/>
      <c r="AT2221" s="43"/>
      <c r="AU2221" s="43"/>
      <c r="AV2221" s="43"/>
    </row>
    <row r="2222" ht="15.75" spans="1:48">
      <c r="A2222" s="12">
        <v>2218</v>
      </c>
      <c r="B2222" s="44">
        <v>4496</v>
      </c>
      <c r="C2222" s="45" t="s">
        <v>133</v>
      </c>
      <c r="D2222" s="46" t="s">
        <v>73</v>
      </c>
      <c r="E2222" s="47" t="s">
        <v>50</v>
      </c>
      <c r="F2222" s="48">
        <v>1.83</v>
      </c>
      <c r="G2222" s="38">
        <v>0</v>
      </c>
      <c r="H2222" s="39"/>
      <c r="I2222" s="39"/>
      <c r="J2222" s="39"/>
      <c r="K2222" s="39"/>
      <c r="L2222" s="39"/>
      <c r="M2222" s="39"/>
      <c r="N2222" s="39"/>
      <c r="O2222" s="39"/>
      <c r="P2222" s="39"/>
      <c r="Q2222" s="39"/>
      <c r="R2222" s="39"/>
      <c r="S2222" s="39"/>
      <c r="T2222" s="39"/>
      <c r="U2222" s="39"/>
      <c r="V2222" s="39"/>
      <c r="W2222" s="39"/>
      <c r="X2222" s="49" t="s">
        <v>139</v>
      </c>
      <c r="Y2222" s="50">
        <v>2790.75</v>
      </c>
      <c r="Z2222" s="51">
        <v>2760</v>
      </c>
      <c r="AA2222" s="52">
        <f t="shared" si="60"/>
        <v>0.988981456597689</v>
      </c>
      <c r="AB2222" s="12">
        <v>2760</v>
      </c>
      <c r="AC2222" s="12">
        <v>0</v>
      </c>
      <c r="AD2222" s="43"/>
      <c r="AE2222" s="43"/>
      <c r="AF2222" s="43"/>
      <c r="AG2222" s="43"/>
      <c r="AH2222" s="43"/>
      <c r="AI2222" s="43"/>
      <c r="AJ2222" s="43"/>
      <c r="AK2222" s="43"/>
      <c r="AL2222" s="43"/>
      <c r="AM2222" s="43"/>
      <c r="AN2222" s="43"/>
      <c r="AO2222" s="43"/>
      <c r="AP2222" s="43"/>
      <c r="AQ2222" s="43"/>
      <c r="AR2222" s="43"/>
      <c r="AS2222" s="43"/>
      <c r="AT2222" s="43"/>
      <c r="AU2222" s="43"/>
      <c r="AV2222" s="43"/>
    </row>
    <row r="2223" ht="15.75" spans="1:48">
      <c r="A2223" s="12">
        <v>2219</v>
      </c>
      <c r="B2223" s="44">
        <v>4496</v>
      </c>
      <c r="C2223" s="45" t="s">
        <v>133</v>
      </c>
      <c r="D2223" s="46" t="s">
        <v>138</v>
      </c>
      <c r="E2223" s="47" t="s">
        <v>50</v>
      </c>
      <c r="F2223" s="48">
        <v>8</v>
      </c>
      <c r="G2223" s="38">
        <v>2.17</v>
      </c>
      <c r="H2223" s="39"/>
      <c r="I2223" s="39"/>
      <c r="J2223" s="39"/>
      <c r="K2223" s="39"/>
      <c r="L2223" s="39"/>
      <c r="M2223" s="39"/>
      <c r="N2223" s="39"/>
      <c r="O2223" s="39"/>
      <c r="P2223" s="39"/>
      <c r="Q2223" s="39">
        <v>1.17</v>
      </c>
      <c r="R2223" s="39"/>
      <c r="S2223" s="39">
        <v>0.83</v>
      </c>
      <c r="T2223" s="39"/>
      <c r="U2223" s="39">
        <v>0.17</v>
      </c>
      <c r="V2223" s="39"/>
      <c r="W2223" s="39"/>
      <c r="X2223" s="49" t="s">
        <v>440</v>
      </c>
      <c r="Y2223" s="50">
        <v>32000</v>
      </c>
      <c r="Z2223" s="51">
        <v>25600</v>
      </c>
      <c r="AA2223" s="52">
        <f t="shared" si="60"/>
        <v>0.8</v>
      </c>
      <c r="AB2223" s="12">
        <v>25600</v>
      </c>
      <c r="AC2223" s="12">
        <v>0</v>
      </c>
      <c r="AD2223" s="43"/>
      <c r="AE2223" s="43"/>
      <c r="AF2223" s="43"/>
      <c r="AG2223" s="43"/>
      <c r="AH2223" s="43"/>
      <c r="AI2223" s="43"/>
      <c r="AJ2223" s="43"/>
      <c r="AK2223" s="43"/>
      <c r="AL2223" s="43"/>
      <c r="AM2223" s="43"/>
      <c r="AN2223" s="43"/>
      <c r="AO2223" s="43"/>
      <c r="AP2223" s="43"/>
      <c r="AQ2223" s="43"/>
      <c r="AR2223" s="43"/>
      <c r="AS2223" s="43"/>
      <c r="AT2223" s="43"/>
      <c r="AU2223" s="43"/>
      <c r="AV2223" s="43"/>
    </row>
    <row r="2224" ht="15.75" spans="1:48">
      <c r="A2224" s="12">
        <v>2220</v>
      </c>
      <c r="B2224" s="44">
        <v>947</v>
      </c>
      <c r="C2224" s="45" t="s">
        <v>143</v>
      </c>
      <c r="D2224" s="46"/>
      <c r="E2224" s="47" t="s">
        <v>50</v>
      </c>
      <c r="F2224" s="48">
        <v>1.83</v>
      </c>
      <c r="G2224" s="38">
        <v>0</v>
      </c>
      <c r="H2224" s="39"/>
      <c r="I2224" s="39"/>
      <c r="J2224" s="39"/>
      <c r="K2224" s="39"/>
      <c r="L2224" s="39"/>
      <c r="M2224" s="39"/>
      <c r="N2224" s="39"/>
      <c r="O2224" s="39"/>
      <c r="P2224" s="39"/>
      <c r="Q2224" s="39"/>
      <c r="R2224" s="39"/>
      <c r="S2224" s="39"/>
      <c r="T2224" s="39"/>
      <c r="U2224" s="39"/>
      <c r="V2224" s="39"/>
      <c r="W2224" s="39"/>
      <c r="X2224" s="49" t="s">
        <v>103</v>
      </c>
      <c r="Y2224" s="50">
        <v>1537.2</v>
      </c>
      <c r="Z2224" s="51">
        <v>1560</v>
      </c>
      <c r="AA2224" s="52">
        <f t="shared" si="60"/>
        <v>1.01483216237315</v>
      </c>
      <c r="AB2224" s="12">
        <v>1560</v>
      </c>
      <c r="AC2224" s="12">
        <v>0</v>
      </c>
      <c r="AD2224" s="43"/>
      <c r="AE2224" s="43"/>
      <c r="AF2224" s="43"/>
      <c r="AG2224" s="43"/>
      <c r="AH2224" s="43"/>
      <c r="AI2224" s="43"/>
      <c r="AJ2224" s="43"/>
      <c r="AK2224" s="43"/>
      <c r="AL2224" s="43"/>
      <c r="AM2224" s="43"/>
      <c r="AN2224" s="43"/>
      <c r="AO2224" s="43"/>
      <c r="AP2224" s="43"/>
      <c r="AQ2224" s="43"/>
      <c r="AR2224" s="43"/>
      <c r="AS2224" s="43"/>
      <c r="AT2224" s="43"/>
      <c r="AU2224" s="43"/>
      <c r="AV2224" s="43"/>
    </row>
    <row r="2225" ht="15.75" spans="1:48">
      <c r="A2225" s="12">
        <v>2221</v>
      </c>
      <c r="B2225" s="44">
        <v>2865</v>
      </c>
      <c r="C2225" s="45" t="s">
        <v>149</v>
      </c>
      <c r="D2225" s="46"/>
      <c r="E2225" s="47" t="s">
        <v>50</v>
      </c>
      <c r="F2225" s="48">
        <v>0.83</v>
      </c>
      <c r="G2225" s="38">
        <v>0</v>
      </c>
      <c r="H2225" s="39"/>
      <c r="I2225" s="39"/>
      <c r="J2225" s="39"/>
      <c r="K2225" s="39"/>
      <c r="L2225" s="39"/>
      <c r="M2225" s="39"/>
      <c r="N2225" s="39"/>
      <c r="O2225" s="39"/>
      <c r="P2225" s="39"/>
      <c r="Q2225" s="39"/>
      <c r="R2225" s="39"/>
      <c r="S2225" s="39"/>
      <c r="T2225" s="39"/>
      <c r="U2225" s="39"/>
      <c r="V2225" s="39"/>
      <c r="W2225" s="39"/>
      <c r="X2225" s="49" t="s">
        <v>103</v>
      </c>
      <c r="Y2225" s="50">
        <v>697.2</v>
      </c>
      <c r="Z2225" s="51">
        <v>645</v>
      </c>
      <c r="AA2225" s="52">
        <f t="shared" si="60"/>
        <v>0.92512908777969</v>
      </c>
      <c r="AB2225" s="12">
        <v>645</v>
      </c>
      <c r="AC2225" s="12">
        <v>0</v>
      </c>
      <c r="AD2225" s="43"/>
      <c r="AE2225" s="43"/>
      <c r="AF2225" s="43"/>
      <c r="AG2225" s="43"/>
      <c r="AH2225" s="43"/>
      <c r="AI2225" s="43"/>
      <c r="AJ2225" s="43"/>
      <c r="AK2225" s="43"/>
      <c r="AL2225" s="43"/>
      <c r="AM2225" s="43"/>
      <c r="AN2225" s="43"/>
      <c r="AO2225" s="43"/>
      <c r="AP2225" s="43"/>
      <c r="AQ2225" s="43"/>
      <c r="AR2225" s="43"/>
      <c r="AS2225" s="43"/>
      <c r="AT2225" s="43"/>
      <c r="AU2225" s="43"/>
      <c r="AV2225" s="43"/>
    </row>
    <row r="2226" ht="15.75" spans="1:48">
      <c r="A2226" s="12">
        <v>2222</v>
      </c>
      <c r="B2226" s="44">
        <v>4412</v>
      </c>
      <c r="C2226" s="45" t="s">
        <v>177</v>
      </c>
      <c r="D2226" s="46"/>
      <c r="E2226" s="47" t="s">
        <v>50</v>
      </c>
      <c r="F2226" s="48">
        <v>0.5</v>
      </c>
      <c r="G2226" s="38">
        <v>0.17</v>
      </c>
      <c r="H2226" s="39"/>
      <c r="I2226" s="39"/>
      <c r="J2226" s="39"/>
      <c r="K2226" s="39"/>
      <c r="L2226" s="39"/>
      <c r="M2226" s="39"/>
      <c r="N2226" s="39"/>
      <c r="O2226" s="39"/>
      <c r="P2226" s="39"/>
      <c r="Q2226" s="39">
        <v>0.17</v>
      </c>
      <c r="R2226" s="39"/>
      <c r="S2226" s="39"/>
      <c r="T2226" s="39"/>
      <c r="U2226" s="39"/>
      <c r="V2226" s="39"/>
      <c r="W2226" s="39"/>
      <c r="X2226" s="49" t="s">
        <v>103</v>
      </c>
      <c r="Y2226" s="50">
        <v>420</v>
      </c>
      <c r="Z2226" s="51">
        <v>480</v>
      </c>
      <c r="AA2226" s="52">
        <f t="shared" si="60"/>
        <v>1.14285714285714</v>
      </c>
      <c r="AB2226" s="12">
        <v>480</v>
      </c>
      <c r="AC2226" s="12">
        <v>0</v>
      </c>
      <c r="AD2226" s="43"/>
      <c r="AE2226" s="43"/>
      <c r="AF2226" s="43"/>
      <c r="AG2226" s="43"/>
      <c r="AH2226" s="43"/>
      <c r="AI2226" s="43"/>
      <c r="AJ2226" s="43"/>
      <c r="AK2226" s="43"/>
      <c r="AL2226" s="43"/>
      <c r="AM2226" s="43"/>
      <c r="AN2226" s="43"/>
      <c r="AO2226" s="43"/>
      <c r="AP2226" s="43"/>
      <c r="AQ2226" s="43"/>
      <c r="AR2226" s="43"/>
      <c r="AS2226" s="43"/>
      <c r="AT2226" s="43"/>
      <c r="AU2226" s="43"/>
      <c r="AV2226" s="43"/>
    </row>
    <row r="2227" ht="15.75" spans="1:48">
      <c r="A2227" s="12">
        <v>2223</v>
      </c>
      <c r="B2227" s="44">
        <v>4412</v>
      </c>
      <c r="C2227" s="45" t="s">
        <v>177</v>
      </c>
      <c r="D2227" s="46"/>
      <c r="E2227" s="47" t="s">
        <v>50</v>
      </c>
      <c r="F2227" s="48">
        <v>1.67</v>
      </c>
      <c r="G2227" s="38">
        <v>0</v>
      </c>
      <c r="H2227" s="39"/>
      <c r="I2227" s="39"/>
      <c r="J2227" s="39"/>
      <c r="K2227" s="39"/>
      <c r="L2227" s="39"/>
      <c r="M2227" s="39"/>
      <c r="N2227" s="39"/>
      <c r="O2227" s="39"/>
      <c r="P2227" s="39"/>
      <c r="Q2227" s="39"/>
      <c r="R2227" s="39"/>
      <c r="S2227" s="39"/>
      <c r="T2227" s="39"/>
      <c r="U2227" s="39"/>
      <c r="V2227" s="39"/>
      <c r="W2227" s="39"/>
      <c r="X2227" s="49" t="s">
        <v>105</v>
      </c>
      <c r="Y2227" s="50">
        <v>1102.2</v>
      </c>
      <c r="Z2227" s="51">
        <v>1050</v>
      </c>
      <c r="AA2227" s="52">
        <f t="shared" si="60"/>
        <v>0.95264017419706</v>
      </c>
      <c r="AB2227" s="12">
        <v>1050</v>
      </c>
      <c r="AC2227" s="12">
        <v>0</v>
      </c>
      <c r="AD2227" s="43"/>
      <c r="AE2227" s="43"/>
      <c r="AF2227" s="43"/>
      <c r="AG2227" s="43"/>
      <c r="AH2227" s="43"/>
      <c r="AI2227" s="43"/>
      <c r="AJ2227" s="43"/>
      <c r="AK2227" s="43"/>
      <c r="AL2227" s="43"/>
      <c r="AM2227" s="43"/>
      <c r="AN2227" s="43"/>
      <c r="AO2227" s="43"/>
      <c r="AP2227" s="43"/>
      <c r="AQ2227" s="43"/>
      <c r="AR2227" s="43"/>
      <c r="AS2227" s="43"/>
      <c r="AT2227" s="43"/>
      <c r="AU2227" s="43"/>
      <c r="AV2227" s="43"/>
    </row>
    <row r="2228" ht="15.75" spans="1:48">
      <c r="A2228" s="12">
        <v>2224</v>
      </c>
      <c r="B2228" s="44">
        <v>4384</v>
      </c>
      <c r="C2228" s="45" t="s">
        <v>145</v>
      </c>
      <c r="D2228" s="46"/>
      <c r="E2228" s="47" t="s">
        <v>50</v>
      </c>
      <c r="F2228" s="48">
        <v>0.2</v>
      </c>
      <c r="G2228" s="38">
        <v>0</v>
      </c>
      <c r="H2228" s="39"/>
      <c r="I2228" s="39"/>
      <c r="J2228" s="39"/>
      <c r="K2228" s="39"/>
      <c r="L2228" s="39"/>
      <c r="M2228" s="39"/>
      <c r="N2228" s="39"/>
      <c r="O2228" s="39"/>
      <c r="P2228" s="39"/>
      <c r="Q2228" s="39"/>
      <c r="R2228" s="39"/>
      <c r="S2228" s="39"/>
      <c r="T2228" s="39"/>
      <c r="U2228" s="39"/>
      <c r="V2228" s="39"/>
      <c r="W2228" s="39"/>
      <c r="X2228" s="49" t="s">
        <v>102</v>
      </c>
      <c r="Y2228" s="50">
        <v>900</v>
      </c>
      <c r="Z2228" s="51">
        <v>1000</v>
      </c>
      <c r="AA2228" s="52">
        <f t="shared" si="60"/>
        <v>1.11111111111111</v>
      </c>
      <c r="AB2228" s="12">
        <v>1000</v>
      </c>
      <c r="AC2228" s="12">
        <v>0</v>
      </c>
      <c r="AD2228" s="43"/>
      <c r="AE2228" s="43"/>
      <c r="AF2228" s="43"/>
      <c r="AG2228" s="43"/>
      <c r="AH2228" s="43"/>
      <c r="AI2228" s="43"/>
      <c r="AJ2228" s="43"/>
      <c r="AK2228" s="43"/>
      <c r="AL2228" s="43"/>
      <c r="AM2228" s="43"/>
      <c r="AN2228" s="43"/>
      <c r="AO2228" s="43"/>
      <c r="AP2228" s="43"/>
      <c r="AQ2228" s="43"/>
      <c r="AR2228" s="43"/>
      <c r="AS2228" s="43"/>
      <c r="AT2228" s="43"/>
      <c r="AU2228" s="43"/>
      <c r="AV2228" s="43"/>
    </row>
    <row r="2229" ht="15.75" spans="1:48">
      <c r="A2229" s="12">
        <v>2225</v>
      </c>
      <c r="B2229" s="44">
        <v>4384</v>
      </c>
      <c r="C2229" s="45" t="s">
        <v>145</v>
      </c>
      <c r="D2229" s="46"/>
      <c r="E2229" s="47" t="s">
        <v>50</v>
      </c>
      <c r="F2229" s="48">
        <v>0.5</v>
      </c>
      <c r="G2229" s="38">
        <v>0</v>
      </c>
      <c r="H2229" s="39"/>
      <c r="I2229" s="39"/>
      <c r="J2229" s="39"/>
      <c r="K2229" s="39"/>
      <c r="L2229" s="39"/>
      <c r="M2229" s="39"/>
      <c r="N2229" s="39"/>
      <c r="O2229" s="39"/>
      <c r="P2229" s="39"/>
      <c r="Q2229" s="39"/>
      <c r="R2229" s="39"/>
      <c r="S2229" s="39"/>
      <c r="T2229" s="39"/>
      <c r="U2229" s="39"/>
      <c r="V2229" s="39"/>
      <c r="W2229" s="39"/>
      <c r="X2229" s="49" t="s">
        <v>152</v>
      </c>
      <c r="Y2229" s="50">
        <v>2175</v>
      </c>
      <c r="Z2229" s="51">
        <v>2100</v>
      </c>
      <c r="AA2229" s="52">
        <f t="shared" si="60"/>
        <v>0.96551724137931</v>
      </c>
      <c r="AB2229" s="12">
        <v>2100</v>
      </c>
      <c r="AC2229" s="12">
        <v>0</v>
      </c>
      <c r="AD2229" s="43"/>
      <c r="AE2229" s="43"/>
      <c r="AF2229" s="43"/>
      <c r="AG2229" s="43"/>
      <c r="AH2229" s="43"/>
      <c r="AI2229" s="43"/>
      <c r="AJ2229" s="43"/>
      <c r="AK2229" s="43"/>
      <c r="AL2229" s="43"/>
      <c r="AM2229" s="43"/>
      <c r="AN2229" s="43"/>
      <c r="AO2229" s="43"/>
      <c r="AP2229" s="43"/>
      <c r="AQ2229" s="43"/>
      <c r="AR2229" s="43"/>
      <c r="AS2229" s="43"/>
      <c r="AT2229" s="43"/>
      <c r="AU2229" s="43"/>
      <c r="AV2229" s="43"/>
    </row>
    <row r="2230" ht="15.75" spans="1:48">
      <c r="A2230" s="12">
        <v>2226</v>
      </c>
      <c r="B2230" s="44">
        <v>4384</v>
      </c>
      <c r="C2230" s="45" t="s">
        <v>145</v>
      </c>
      <c r="D2230" s="46"/>
      <c r="E2230" s="47" t="s">
        <v>50</v>
      </c>
      <c r="F2230" s="48">
        <v>0.8</v>
      </c>
      <c r="G2230" s="38">
        <v>0</v>
      </c>
      <c r="H2230" s="39"/>
      <c r="I2230" s="39"/>
      <c r="J2230" s="39"/>
      <c r="K2230" s="39"/>
      <c r="L2230" s="39"/>
      <c r="M2230" s="39"/>
      <c r="N2230" s="39"/>
      <c r="O2230" s="39"/>
      <c r="P2230" s="39"/>
      <c r="Q2230" s="39"/>
      <c r="R2230" s="39"/>
      <c r="S2230" s="39"/>
      <c r="T2230" s="39"/>
      <c r="U2230" s="39"/>
      <c r="V2230" s="39"/>
      <c r="W2230" s="39"/>
      <c r="X2230" s="49" t="s">
        <v>100</v>
      </c>
      <c r="Y2230" s="50">
        <v>1536</v>
      </c>
      <c r="Z2230" s="51">
        <v>1440</v>
      </c>
      <c r="AA2230" s="52">
        <f t="shared" si="60"/>
        <v>0.9375</v>
      </c>
      <c r="AB2230" s="12">
        <v>1440</v>
      </c>
      <c r="AC2230" s="12">
        <v>0</v>
      </c>
      <c r="AD2230" s="43"/>
      <c r="AE2230" s="43"/>
      <c r="AF2230" s="43"/>
      <c r="AG2230" s="43"/>
      <c r="AH2230" s="43"/>
      <c r="AI2230" s="43"/>
      <c r="AJ2230" s="43"/>
      <c r="AK2230" s="43"/>
      <c r="AL2230" s="43"/>
      <c r="AM2230" s="43"/>
      <c r="AN2230" s="43"/>
      <c r="AO2230" s="43"/>
      <c r="AP2230" s="43"/>
      <c r="AQ2230" s="43"/>
      <c r="AR2230" s="43"/>
      <c r="AS2230" s="43"/>
      <c r="AT2230" s="43"/>
      <c r="AU2230" s="43"/>
      <c r="AV2230" s="43"/>
    </row>
    <row r="2231" ht="15.75" spans="1:48">
      <c r="A2231" s="12">
        <v>2227</v>
      </c>
      <c r="B2231" s="44">
        <v>692</v>
      </c>
      <c r="C2231" s="45" t="s">
        <v>142</v>
      </c>
      <c r="D2231" s="46"/>
      <c r="E2231" s="47" t="s">
        <v>50</v>
      </c>
      <c r="F2231" s="48">
        <v>0.6</v>
      </c>
      <c r="G2231" s="38">
        <v>0</v>
      </c>
      <c r="H2231" s="39"/>
      <c r="I2231" s="39"/>
      <c r="J2231" s="39"/>
      <c r="K2231" s="39"/>
      <c r="L2231" s="39"/>
      <c r="M2231" s="39"/>
      <c r="N2231" s="39"/>
      <c r="O2231" s="39"/>
      <c r="P2231" s="39"/>
      <c r="Q2231" s="39"/>
      <c r="R2231" s="39"/>
      <c r="S2231" s="39"/>
      <c r="T2231" s="39"/>
      <c r="U2231" s="39"/>
      <c r="V2231" s="39"/>
      <c r="W2231" s="39"/>
      <c r="X2231" s="49" t="s">
        <v>102</v>
      </c>
      <c r="Y2231" s="50">
        <v>2700</v>
      </c>
      <c r="Z2231" s="51">
        <v>2500</v>
      </c>
      <c r="AA2231" s="52">
        <f t="shared" si="60"/>
        <v>0.925925925925926</v>
      </c>
      <c r="AB2231" s="12">
        <v>2500</v>
      </c>
      <c r="AC2231" s="12">
        <v>0</v>
      </c>
      <c r="AD2231" s="43"/>
      <c r="AE2231" s="43"/>
      <c r="AF2231" s="43"/>
      <c r="AG2231" s="43"/>
      <c r="AH2231" s="43"/>
      <c r="AI2231" s="43"/>
      <c r="AJ2231" s="43"/>
      <c r="AK2231" s="43"/>
      <c r="AL2231" s="43"/>
      <c r="AM2231" s="43"/>
      <c r="AN2231" s="43"/>
      <c r="AO2231" s="43"/>
      <c r="AP2231" s="43"/>
      <c r="AQ2231" s="43"/>
      <c r="AR2231" s="43"/>
      <c r="AS2231" s="43"/>
      <c r="AT2231" s="43"/>
      <c r="AU2231" s="43"/>
      <c r="AV2231" s="43"/>
    </row>
    <row r="2232" ht="15.75" spans="1:48">
      <c r="A2232" s="12">
        <v>2228</v>
      </c>
      <c r="B2232" s="44">
        <v>692</v>
      </c>
      <c r="C2232" s="45" t="s">
        <v>142</v>
      </c>
      <c r="D2232" s="46"/>
      <c r="E2232" s="47" t="s">
        <v>50</v>
      </c>
      <c r="F2232" s="48">
        <v>1.1</v>
      </c>
      <c r="G2232" s="38">
        <v>2.01</v>
      </c>
      <c r="H2232" s="39"/>
      <c r="I2232" s="39"/>
      <c r="J2232" s="39"/>
      <c r="K2232" s="39"/>
      <c r="L2232" s="39"/>
      <c r="M2232" s="39"/>
      <c r="N2232" s="39"/>
      <c r="O2232" s="39"/>
      <c r="P2232" s="39"/>
      <c r="Q2232" s="39">
        <v>1.17</v>
      </c>
      <c r="R2232" s="39"/>
      <c r="S2232" s="39">
        <v>0.67</v>
      </c>
      <c r="T2232" s="39"/>
      <c r="U2232" s="39">
        <v>0.17</v>
      </c>
      <c r="V2232" s="39"/>
      <c r="W2232" s="39"/>
      <c r="X2232" s="49" t="s">
        <v>152</v>
      </c>
      <c r="Y2232" s="50">
        <v>4785</v>
      </c>
      <c r="Z2232" s="51">
        <v>4200</v>
      </c>
      <c r="AA2232" s="52">
        <f t="shared" si="60"/>
        <v>0.877742946708464</v>
      </c>
      <c r="AB2232" s="12">
        <v>4200</v>
      </c>
      <c r="AC2232" s="12">
        <v>0</v>
      </c>
      <c r="AD2232" s="43"/>
      <c r="AE2232" s="43"/>
      <c r="AF2232" s="43"/>
      <c r="AG2232" s="43"/>
      <c r="AH2232" s="43"/>
      <c r="AI2232" s="43"/>
      <c r="AJ2232" s="43"/>
      <c r="AK2232" s="43"/>
      <c r="AL2232" s="43"/>
      <c r="AM2232" s="43"/>
      <c r="AN2232" s="43"/>
      <c r="AO2232" s="43"/>
      <c r="AP2232" s="43"/>
      <c r="AQ2232" s="43"/>
      <c r="AR2232" s="43"/>
      <c r="AS2232" s="43"/>
      <c r="AT2232" s="43"/>
      <c r="AU2232" s="43"/>
      <c r="AV2232" s="43"/>
    </row>
    <row r="2233" ht="15.75" spans="1:48">
      <c r="A2233" s="12">
        <v>2229</v>
      </c>
      <c r="B2233" s="44">
        <v>692</v>
      </c>
      <c r="C2233" s="45" t="s">
        <v>142</v>
      </c>
      <c r="D2233" s="46"/>
      <c r="E2233" s="47" t="s">
        <v>50</v>
      </c>
      <c r="F2233" s="48">
        <v>3.83</v>
      </c>
      <c r="G2233" s="38">
        <v>0</v>
      </c>
      <c r="H2233" s="39"/>
      <c r="I2233" s="39"/>
      <c r="J2233" s="39"/>
      <c r="K2233" s="39"/>
      <c r="L2233" s="39"/>
      <c r="M2233" s="39"/>
      <c r="N2233" s="39"/>
      <c r="O2233" s="39"/>
      <c r="P2233" s="39"/>
      <c r="Q2233" s="39"/>
      <c r="R2233" s="39"/>
      <c r="S2233" s="39"/>
      <c r="T2233" s="39"/>
      <c r="U2233" s="39"/>
      <c r="V2233" s="39"/>
      <c r="W2233" s="39"/>
      <c r="X2233" s="49" t="s">
        <v>100</v>
      </c>
      <c r="Y2233" s="50">
        <v>7353.6</v>
      </c>
      <c r="Z2233" s="51">
        <v>6840</v>
      </c>
      <c r="AA2233" s="52">
        <f t="shared" ref="AA2233:AA2264" si="61">IFERROR(Z2233/Y2233,0)</f>
        <v>0.930156657963446</v>
      </c>
      <c r="AB2233" s="12">
        <v>6840</v>
      </c>
      <c r="AC2233" s="12">
        <v>0</v>
      </c>
      <c r="AD2233" s="43"/>
      <c r="AE2233" s="43"/>
      <c r="AF2233" s="43"/>
      <c r="AG2233" s="43"/>
      <c r="AH2233" s="43"/>
      <c r="AI2233" s="43"/>
      <c r="AJ2233" s="43"/>
      <c r="AK2233" s="43"/>
      <c r="AL2233" s="43"/>
      <c r="AM2233" s="43"/>
      <c r="AN2233" s="43"/>
      <c r="AO2233" s="43"/>
      <c r="AP2233" s="43"/>
      <c r="AQ2233" s="43"/>
      <c r="AR2233" s="43"/>
      <c r="AS2233" s="43"/>
      <c r="AT2233" s="43"/>
      <c r="AU2233" s="43"/>
      <c r="AV2233" s="43"/>
    </row>
    <row r="2234" ht="15.75" spans="1:48">
      <c r="A2234" s="12">
        <v>2230</v>
      </c>
      <c r="B2234" s="44">
        <v>692</v>
      </c>
      <c r="C2234" s="45" t="s">
        <v>142</v>
      </c>
      <c r="D2234" s="46"/>
      <c r="E2234" s="47" t="s">
        <v>50</v>
      </c>
      <c r="F2234" s="48">
        <v>2.33</v>
      </c>
      <c r="G2234" s="38">
        <v>0</v>
      </c>
      <c r="H2234" s="39"/>
      <c r="I2234" s="39"/>
      <c r="J2234" s="39"/>
      <c r="K2234" s="39"/>
      <c r="L2234" s="39"/>
      <c r="M2234" s="39"/>
      <c r="N2234" s="39"/>
      <c r="O2234" s="39"/>
      <c r="P2234" s="39"/>
      <c r="Q2234" s="39"/>
      <c r="R2234" s="39"/>
      <c r="S2234" s="39"/>
      <c r="T2234" s="39"/>
      <c r="U2234" s="39"/>
      <c r="V2234" s="39"/>
      <c r="W2234" s="39"/>
      <c r="X2234" s="49" t="s">
        <v>229</v>
      </c>
      <c r="Y2234" s="50">
        <v>8667.6</v>
      </c>
      <c r="Z2234" s="51">
        <v>8100</v>
      </c>
      <c r="AA2234" s="52">
        <f t="shared" si="61"/>
        <v>0.93451474456597</v>
      </c>
      <c r="AB2234" s="12">
        <v>8100</v>
      </c>
      <c r="AC2234" s="12">
        <v>0</v>
      </c>
      <c r="AD2234" s="43"/>
      <c r="AE2234" s="43"/>
      <c r="AF2234" s="43"/>
      <c r="AG2234" s="43"/>
      <c r="AH2234" s="43"/>
      <c r="AI2234" s="43"/>
      <c r="AJ2234" s="43"/>
      <c r="AK2234" s="43"/>
      <c r="AL2234" s="43"/>
      <c r="AM2234" s="43"/>
      <c r="AN2234" s="43"/>
      <c r="AO2234" s="43"/>
      <c r="AP2234" s="43"/>
      <c r="AQ2234" s="43"/>
      <c r="AR2234" s="43"/>
      <c r="AS2234" s="43"/>
      <c r="AT2234" s="43"/>
      <c r="AU2234" s="43"/>
      <c r="AV2234" s="43"/>
    </row>
    <row r="2235" ht="15.75" spans="1:48">
      <c r="A2235" s="12">
        <v>2231</v>
      </c>
      <c r="B2235" s="44">
        <v>692</v>
      </c>
      <c r="C2235" s="45" t="s">
        <v>142</v>
      </c>
      <c r="D2235" s="46"/>
      <c r="E2235" s="47" t="s">
        <v>50</v>
      </c>
      <c r="F2235" s="48">
        <v>2.13</v>
      </c>
      <c r="G2235" s="38">
        <v>0</v>
      </c>
      <c r="H2235" s="39"/>
      <c r="I2235" s="39"/>
      <c r="J2235" s="39"/>
      <c r="K2235" s="39"/>
      <c r="L2235" s="39"/>
      <c r="M2235" s="39"/>
      <c r="N2235" s="39"/>
      <c r="O2235" s="39"/>
      <c r="P2235" s="39"/>
      <c r="Q2235" s="39"/>
      <c r="R2235" s="39"/>
      <c r="S2235" s="39"/>
      <c r="T2235" s="39"/>
      <c r="U2235" s="39"/>
      <c r="V2235" s="39"/>
      <c r="W2235" s="39"/>
      <c r="X2235" s="49" t="s">
        <v>101</v>
      </c>
      <c r="Y2235" s="50">
        <v>4089.6</v>
      </c>
      <c r="Z2235" s="51">
        <v>2880</v>
      </c>
      <c r="AA2235" s="52">
        <f t="shared" si="61"/>
        <v>0.704225352112676</v>
      </c>
      <c r="AB2235" s="12">
        <v>2880</v>
      </c>
      <c r="AC2235" s="12">
        <v>0</v>
      </c>
      <c r="AD2235" s="43"/>
      <c r="AE2235" s="43"/>
      <c r="AF2235" s="43"/>
      <c r="AG2235" s="43"/>
      <c r="AH2235" s="43"/>
      <c r="AI2235" s="43"/>
      <c r="AJ2235" s="43"/>
      <c r="AK2235" s="43"/>
      <c r="AL2235" s="43"/>
      <c r="AM2235" s="43"/>
      <c r="AN2235" s="43"/>
      <c r="AO2235" s="43"/>
      <c r="AP2235" s="43"/>
      <c r="AQ2235" s="43"/>
      <c r="AR2235" s="43"/>
      <c r="AS2235" s="43"/>
      <c r="AT2235" s="43"/>
      <c r="AU2235" s="43"/>
      <c r="AV2235" s="43"/>
    </row>
    <row r="2236" ht="15.75" spans="1:48">
      <c r="A2236" s="12">
        <v>2232</v>
      </c>
      <c r="B2236" s="44">
        <v>4110</v>
      </c>
      <c r="C2236" s="45" t="s">
        <v>135</v>
      </c>
      <c r="D2236" s="46"/>
      <c r="E2236" s="47" t="s">
        <v>50</v>
      </c>
      <c r="F2236" s="48">
        <v>0.17</v>
      </c>
      <c r="G2236" s="38">
        <v>0.84</v>
      </c>
      <c r="H2236" s="39"/>
      <c r="I2236" s="39"/>
      <c r="J2236" s="39"/>
      <c r="K2236" s="39"/>
      <c r="L2236" s="39"/>
      <c r="M2236" s="39"/>
      <c r="N2236" s="39"/>
      <c r="O2236" s="39"/>
      <c r="P2236" s="39"/>
      <c r="Q2236" s="39"/>
      <c r="R2236" s="39"/>
      <c r="S2236" s="39">
        <v>0.67</v>
      </c>
      <c r="T2236" s="39"/>
      <c r="U2236" s="39">
        <v>0.17</v>
      </c>
      <c r="V2236" s="39"/>
      <c r="W2236" s="39"/>
      <c r="X2236" s="49" t="s">
        <v>103</v>
      </c>
      <c r="Y2236" s="50">
        <v>142.8</v>
      </c>
      <c r="Z2236" s="51">
        <v>240</v>
      </c>
      <c r="AA2236" s="52">
        <f t="shared" si="61"/>
        <v>1.68067226890756</v>
      </c>
      <c r="AB2236" s="12">
        <v>240</v>
      </c>
      <c r="AC2236" s="12">
        <v>0</v>
      </c>
      <c r="AD2236" s="43"/>
      <c r="AE2236" s="43"/>
      <c r="AF2236" s="43"/>
      <c r="AG2236" s="43"/>
      <c r="AH2236" s="43"/>
      <c r="AI2236" s="43"/>
      <c r="AJ2236" s="43"/>
      <c r="AK2236" s="43"/>
      <c r="AL2236" s="43"/>
      <c r="AM2236" s="43"/>
      <c r="AN2236" s="43"/>
      <c r="AO2236" s="43"/>
      <c r="AP2236" s="43"/>
      <c r="AQ2236" s="43"/>
      <c r="AR2236" s="43"/>
      <c r="AS2236" s="43"/>
      <c r="AT2236" s="43"/>
      <c r="AU2236" s="43"/>
      <c r="AV2236" s="43"/>
    </row>
    <row r="2237" ht="15.75" spans="1:48">
      <c r="A2237" s="12">
        <v>2233</v>
      </c>
      <c r="B2237" s="44">
        <v>666</v>
      </c>
      <c r="C2237" s="45" t="s">
        <v>151</v>
      </c>
      <c r="D2237" s="46"/>
      <c r="E2237" s="47" t="s">
        <v>50</v>
      </c>
      <c r="F2237" s="48">
        <v>0.5</v>
      </c>
      <c r="G2237" s="38">
        <v>0.17</v>
      </c>
      <c r="H2237" s="39"/>
      <c r="I2237" s="39"/>
      <c r="J2237" s="39"/>
      <c r="K2237" s="39"/>
      <c r="L2237" s="39"/>
      <c r="M2237" s="39"/>
      <c r="N2237" s="39"/>
      <c r="O2237" s="39"/>
      <c r="P2237" s="39"/>
      <c r="Q2237" s="39">
        <v>0.17</v>
      </c>
      <c r="R2237" s="39"/>
      <c r="S2237" s="39"/>
      <c r="T2237" s="39"/>
      <c r="U2237" s="39"/>
      <c r="V2237" s="39"/>
      <c r="W2237" s="39"/>
      <c r="X2237" s="49" t="s">
        <v>102</v>
      </c>
      <c r="Y2237" s="50">
        <v>2250</v>
      </c>
      <c r="Z2237" s="51">
        <v>2500</v>
      </c>
      <c r="AA2237" s="52">
        <f t="shared" si="61"/>
        <v>1.11111111111111</v>
      </c>
      <c r="AB2237" s="12">
        <v>2500</v>
      </c>
      <c r="AC2237" s="12">
        <v>0</v>
      </c>
      <c r="AD2237" s="43"/>
      <c r="AE2237" s="43"/>
      <c r="AF2237" s="43"/>
      <c r="AG2237" s="43"/>
      <c r="AH2237" s="43"/>
      <c r="AI2237" s="43"/>
      <c r="AJ2237" s="43"/>
      <c r="AK2237" s="43"/>
      <c r="AL2237" s="43"/>
      <c r="AM2237" s="43"/>
      <c r="AN2237" s="43"/>
      <c r="AO2237" s="43"/>
      <c r="AP2237" s="43"/>
      <c r="AQ2237" s="43"/>
      <c r="AR2237" s="43"/>
      <c r="AS2237" s="43"/>
      <c r="AT2237" s="43"/>
      <c r="AU2237" s="43"/>
      <c r="AV2237" s="43"/>
    </row>
    <row r="2238" ht="15.75" spans="1:48">
      <c r="A2238" s="12">
        <v>2234</v>
      </c>
      <c r="B2238" s="44">
        <v>666</v>
      </c>
      <c r="C2238" s="45" t="s">
        <v>151</v>
      </c>
      <c r="D2238" s="46"/>
      <c r="E2238" s="47" t="s">
        <v>50</v>
      </c>
      <c r="F2238" s="48">
        <v>0.83</v>
      </c>
      <c r="G2238" s="38">
        <v>0</v>
      </c>
      <c r="H2238" s="39"/>
      <c r="I2238" s="39"/>
      <c r="J2238" s="39"/>
      <c r="K2238" s="39"/>
      <c r="L2238" s="39"/>
      <c r="M2238" s="39"/>
      <c r="N2238" s="39"/>
      <c r="O2238" s="39"/>
      <c r="P2238" s="39"/>
      <c r="Q2238" s="39"/>
      <c r="R2238" s="39"/>
      <c r="S2238" s="39"/>
      <c r="T2238" s="39"/>
      <c r="U2238" s="39"/>
      <c r="V2238" s="39"/>
      <c r="W2238" s="39"/>
      <c r="X2238" s="49" t="s">
        <v>229</v>
      </c>
      <c r="Y2238" s="50">
        <v>3087.6</v>
      </c>
      <c r="Z2238" s="51">
        <v>3150</v>
      </c>
      <c r="AA2238" s="52">
        <f t="shared" si="61"/>
        <v>1.02020987174504</v>
      </c>
      <c r="AB2238" s="12">
        <v>3150</v>
      </c>
      <c r="AC2238" s="12">
        <v>0</v>
      </c>
      <c r="AD2238" s="43"/>
      <c r="AE2238" s="43"/>
      <c r="AF2238" s="43"/>
      <c r="AG2238" s="43"/>
      <c r="AH2238" s="43"/>
      <c r="AI2238" s="43"/>
      <c r="AJ2238" s="43"/>
      <c r="AK2238" s="43"/>
      <c r="AL2238" s="43"/>
      <c r="AM2238" s="43"/>
      <c r="AN2238" s="43"/>
      <c r="AO2238" s="43"/>
      <c r="AP2238" s="43"/>
      <c r="AQ2238" s="43"/>
      <c r="AR2238" s="43"/>
      <c r="AS2238" s="43"/>
      <c r="AT2238" s="43"/>
      <c r="AU2238" s="43"/>
      <c r="AV2238" s="43"/>
    </row>
    <row r="2239" ht="15.75" spans="1:48">
      <c r="A2239" s="12">
        <v>2235</v>
      </c>
      <c r="B2239" s="44">
        <v>666</v>
      </c>
      <c r="C2239" s="45" t="s">
        <v>151</v>
      </c>
      <c r="D2239" s="46"/>
      <c r="E2239" s="47" t="s">
        <v>50</v>
      </c>
      <c r="F2239" s="48">
        <v>0.5</v>
      </c>
      <c r="G2239" s="38">
        <v>0</v>
      </c>
      <c r="H2239" s="39"/>
      <c r="I2239" s="39"/>
      <c r="J2239" s="39"/>
      <c r="K2239" s="39"/>
      <c r="L2239" s="39"/>
      <c r="M2239" s="39"/>
      <c r="N2239" s="39"/>
      <c r="O2239" s="39"/>
      <c r="P2239" s="39"/>
      <c r="Q2239" s="39"/>
      <c r="R2239" s="39"/>
      <c r="S2239" s="39"/>
      <c r="T2239" s="39"/>
      <c r="U2239" s="39"/>
      <c r="V2239" s="39"/>
      <c r="W2239" s="39"/>
      <c r="X2239" s="49" t="s">
        <v>100</v>
      </c>
      <c r="Y2239" s="50">
        <v>960</v>
      </c>
      <c r="Z2239" s="51">
        <v>900</v>
      </c>
      <c r="AA2239" s="52">
        <f t="shared" si="61"/>
        <v>0.9375</v>
      </c>
      <c r="AB2239" s="12">
        <v>900</v>
      </c>
      <c r="AC2239" s="12">
        <v>0</v>
      </c>
      <c r="AD2239" s="43"/>
      <c r="AE2239" s="43"/>
      <c r="AF2239" s="43"/>
      <c r="AG2239" s="43"/>
      <c r="AH2239" s="43"/>
      <c r="AI2239" s="43"/>
      <c r="AJ2239" s="43"/>
      <c r="AK2239" s="43"/>
      <c r="AL2239" s="43"/>
      <c r="AM2239" s="43"/>
      <c r="AN2239" s="43"/>
      <c r="AO2239" s="43"/>
      <c r="AP2239" s="43"/>
      <c r="AQ2239" s="43"/>
      <c r="AR2239" s="43"/>
      <c r="AS2239" s="43"/>
      <c r="AT2239" s="43"/>
      <c r="AU2239" s="43"/>
      <c r="AV2239" s="43"/>
    </row>
    <row r="2240" ht="15.75" spans="1:48">
      <c r="A2240" s="12">
        <v>2236</v>
      </c>
      <c r="B2240" s="44">
        <v>4017</v>
      </c>
      <c r="C2240" s="45" t="s">
        <v>148</v>
      </c>
      <c r="D2240" s="46"/>
      <c r="E2240" s="47" t="s">
        <v>50</v>
      </c>
      <c r="F2240" s="48">
        <v>0.83</v>
      </c>
      <c r="G2240" s="38">
        <v>0</v>
      </c>
      <c r="H2240" s="39"/>
      <c r="I2240" s="39"/>
      <c r="J2240" s="39"/>
      <c r="K2240" s="39"/>
      <c r="L2240" s="39"/>
      <c r="M2240" s="39"/>
      <c r="N2240" s="39"/>
      <c r="O2240" s="39"/>
      <c r="P2240" s="39"/>
      <c r="Q2240" s="39"/>
      <c r="R2240" s="39"/>
      <c r="S2240" s="39"/>
      <c r="T2240" s="39"/>
      <c r="U2240" s="39"/>
      <c r="V2240" s="39"/>
      <c r="W2240" s="39"/>
      <c r="X2240" s="49" t="s">
        <v>103</v>
      </c>
      <c r="Y2240" s="50">
        <v>697.2</v>
      </c>
      <c r="Z2240" s="51">
        <v>690</v>
      </c>
      <c r="AA2240" s="52">
        <f t="shared" si="61"/>
        <v>0.989672977624785</v>
      </c>
      <c r="AB2240" s="12">
        <v>690</v>
      </c>
      <c r="AC2240" s="12">
        <v>0</v>
      </c>
      <c r="AD2240" s="43"/>
      <c r="AE2240" s="43"/>
      <c r="AF2240" s="43"/>
      <c r="AG2240" s="43"/>
      <c r="AH2240" s="43"/>
      <c r="AI2240" s="43"/>
      <c r="AJ2240" s="43"/>
      <c r="AK2240" s="43"/>
      <c r="AL2240" s="43"/>
      <c r="AM2240" s="43"/>
      <c r="AN2240" s="43"/>
      <c r="AO2240" s="43"/>
      <c r="AP2240" s="43"/>
      <c r="AQ2240" s="43"/>
      <c r="AR2240" s="43"/>
      <c r="AS2240" s="43"/>
      <c r="AT2240" s="43"/>
      <c r="AU2240" s="43"/>
      <c r="AV2240" s="43"/>
    </row>
    <row r="2241" ht="15.75" spans="1:48">
      <c r="A2241" s="12">
        <v>2237</v>
      </c>
      <c r="B2241" s="44" t="s">
        <v>339</v>
      </c>
      <c r="C2241" s="45" t="s">
        <v>340</v>
      </c>
      <c r="D2241" s="46"/>
      <c r="E2241" s="47" t="s">
        <v>50</v>
      </c>
      <c r="F2241" s="48">
        <v>7.17</v>
      </c>
      <c r="G2241" s="38">
        <v>1.5</v>
      </c>
      <c r="H2241" s="39"/>
      <c r="I2241" s="39"/>
      <c r="J2241" s="39"/>
      <c r="K2241" s="39"/>
      <c r="L2241" s="39"/>
      <c r="M2241" s="39"/>
      <c r="N2241" s="39"/>
      <c r="O2241" s="39"/>
      <c r="P2241" s="39"/>
      <c r="Q2241" s="39">
        <v>0.83</v>
      </c>
      <c r="R2241" s="39"/>
      <c r="S2241" s="39">
        <v>0.67</v>
      </c>
      <c r="T2241" s="39"/>
      <c r="U2241" s="39"/>
      <c r="V2241" s="39"/>
      <c r="W2241" s="39"/>
      <c r="X2241" s="49" t="s">
        <v>103</v>
      </c>
      <c r="Y2241" s="50">
        <v>4818.24</v>
      </c>
      <c r="Z2241" s="51">
        <v>3960</v>
      </c>
      <c r="AA2241" s="52">
        <f t="shared" si="61"/>
        <v>0.821876867901972</v>
      </c>
      <c r="AB2241" s="12">
        <v>3960</v>
      </c>
      <c r="AC2241" s="12">
        <v>0</v>
      </c>
      <c r="AD2241" s="43"/>
      <c r="AE2241" s="43"/>
      <c r="AF2241" s="43"/>
      <c r="AG2241" s="43"/>
      <c r="AH2241" s="43"/>
      <c r="AI2241" s="43"/>
      <c r="AJ2241" s="43"/>
      <c r="AK2241" s="43"/>
      <c r="AL2241" s="43"/>
      <c r="AM2241" s="43"/>
      <c r="AN2241" s="43"/>
      <c r="AO2241" s="43"/>
      <c r="AP2241" s="43"/>
      <c r="AQ2241" s="43"/>
      <c r="AR2241" s="43"/>
      <c r="AS2241" s="43"/>
      <c r="AT2241" s="43"/>
      <c r="AU2241" s="43"/>
      <c r="AV2241" s="43"/>
    </row>
    <row r="2242" ht="15.75" spans="1:48">
      <c r="A2242" s="12">
        <v>2238</v>
      </c>
      <c r="B2242" s="44" t="s">
        <v>433</v>
      </c>
      <c r="C2242" s="45" t="s">
        <v>404</v>
      </c>
      <c r="D2242" s="46"/>
      <c r="E2242" s="47" t="s">
        <v>441</v>
      </c>
      <c r="F2242" s="48">
        <v>7.17</v>
      </c>
      <c r="G2242" s="38">
        <v>0</v>
      </c>
      <c r="H2242" s="39"/>
      <c r="I2242" s="39"/>
      <c r="J2242" s="39"/>
      <c r="K2242" s="39"/>
      <c r="L2242" s="39"/>
      <c r="M2242" s="39"/>
      <c r="N2242" s="39"/>
      <c r="O2242" s="39"/>
      <c r="P2242" s="39"/>
      <c r="Q2242" s="39"/>
      <c r="R2242" s="39"/>
      <c r="S2242" s="39"/>
      <c r="T2242" s="39"/>
      <c r="U2242" s="39"/>
      <c r="V2242" s="39"/>
      <c r="W2242" s="39"/>
      <c r="X2242" s="49" t="s">
        <v>103</v>
      </c>
      <c r="Y2242" s="50">
        <v>4215.96</v>
      </c>
      <c r="Z2242" s="51">
        <v>2909</v>
      </c>
      <c r="AA2242" s="52">
        <f t="shared" si="61"/>
        <v>0.689997058795624</v>
      </c>
      <c r="AB2242" s="12">
        <v>2909</v>
      </c>
      <c r="AC2242" s="12">
        <v>0</v>
      </c>
      <c r="AD2242" s="43"/>
      <c r="AE2242" s="43"/>
      <c r="AF2242" s="43"/>
      <c r="AG2242" s="43"/>
      <c r="AH2242" s="43"/>
      <c r="AI2242" s="43"/>
      <c r="AJ2242" s="43"/>
      <c r="AK2242" s="43"/>
      <c r="AL2242" s="43"/>
      <c r="AM2242" s="43"/>
      <c r="AN2242" s="43"/>
      <c r="AO2242" s="43"/>
      <c r="AP2242" s="43"/>
      <c r="AQ2242" s="43"/>
      <c r="AR2242" s="43"/>
      <c r="AS2242" s="43"/>
      <c r="AT2242" s="43"/>
      <c r="AU2242" s="43"/>
      <c r="AV2242" s="43"/>
    </row>
    <row r="2243" ht="15.75" spans="1:48">
      <c r="A2243" s="12">
        <v>2239</v>
      </c>
      <c r="B2243" s="44" t="s">
        <v>211</v>
      </c>
      <c r="C2243" s="45" t="s">
        <v>176</v>
      </c>
      <c r="D2243" s="46">
        <v>5</v>
      </c>
      <c r="E2243" s="47" t="s">
        <v>441</v>
      </c>
      <c r="F2243" s="48">
        <v>3.83</v>
      </c>
      <c r="G2243" s="38">
        <v>0</v>
      </c>
      <c r="H2243" s="39"/>
      <c r="I2243" s="39"/>
      <c r="J2243" s="39"/>
      <c r="K2243" s="39"/>
      <c r="L2243" s="39"/>
      <c r="M2243" s="39"/>
      <c r="N2243" s="39"/>
      <c r="O2243" s="39"/>
      <c r="P2243" s="39"/>
      <c r="Q2243" s="39"/>
      <c r="R2243" s="39"/>
      <c r="S2243" s="39"/>
      <c r="T2243" s="39"/>
      <c r="U2243" s="39"/>
      <c r="V2243" s="39"/>
      <c r="W2243" s="39"/>
      <c r="X2243" s="49">
        <v>5770</v>
      </c>
      <c r="Y2243" s="50">
        <v>2317.15</v>
      </c>
      <c r="Z2243" s="51">
        <v>2400</v>
      </c>
      <c r="AA2243" s="52">
        <f t="shared" si="61"/>
        <v>1.03575513022463</v>
      </c>
      <c r="AB2243" s="12">
        <v>2400</v>
      </c>
      <c r="AC2243" s="12">
        <v>0</v>
      </c>
      <c r="AD2243" s="43"/>
      <c r="AE2243" s="43"/>
      <c r="AF2243" s="43"/>
      <c r="AG2243" s="43"/>
      <c r="AH2243" s="43"/>
      <c r="AI2243" s="43"/>
      <c r="AJ2243" s="43"/>
      <c r="AK2243" s="43"/>
      <c r="AL2243" s="43"/>
      <c r="AM2243" s="43"/>
      <c r="AN2243" s="43"/>
      <c r="AO2243" s="43"/>
      <c r="AP2243" s="43"/>
      <c r="AQ2243" s="43"/>
      <c r="AR2243" s="43"/>
      <c r="AS2243" s="43"/>
      <c r="AT2243" s="43"/>
      <c r="AU2243" s="43"/>
      <c r="AV2243" s="43"/>
    </row>
    <row r="2244" ht="15.75" spans="1:48">
      <c r="A2244" s="12">
        <v>2240</v>
      </c>
      <c r="B2244" s="44" t="s">
        <v>211</v>
      </c>
      <c r="C2244" s="45" t="s">
        <v>176</v>
      </c>
      <c r="D2244" s="46"/>
      <c r="E2244" s="47" t="s">
        <v>441</v>
      </c>
      <c r="F2244" s="48">
        <v>1.17</v>
      </c>
      <c r="G2244" s="38">
        <v>0</v>
      </c>
      <c r="H2244" s="39"/>
      <c r="I2244" s="39"/>
      <c r="J2244" s="39"/>
      <c r="K2244" s="39"/>
      <c r="L2244" s="39"/>
      <c r="M2244" s="39"/>
      <c r="N2244" s="39"/>
      <c r="O2244" s="39"/>
      <c r="P2244" s="39"/>
      <c r="Q2244" s="39"/>
      <c r="R2244" s="39"/>
      <c r="S2244" s="39"/>
      <c r="T2244" s="39"/>
      <c r="U2244" s="39"/>
      <c r="V2244" s="39"/>
      <c r="W2244" s="39"/>
      <c r="X2244" s="49" t="s">
        <v>103</v>
      </c>
      <c r="Y2244" s="50">
        <v>982.8</v>
      </c>
      <c r="Z2244" s="51">
        <v>1080</v>
      </c>
      <c r="AA2244" s="52">
        <f t="shared" si="61"/>
        <v>1.0989010989011</v>
      </c>
      <c r="AB2244" s="12">
        <v>1080</v>
      </c>
      <c r="AC2244" s="12">
        <v>0</v>
      </c>
      <c r="AD2244" s="43"/>
      <c r="AE2244" s="43"/>
      <c r="AF2244" s="43"/>
      <c r="AG2244" s="43"/>
      <c r="AH2244" s="43"/>
      <c r="AI2244" s="43"/>
      <c r="AJ2244" s="43"/>
      <c r="AK2244" s="43"/>
      <c r="AL2244" s="43"/>
      <c r="AM2244" s="43"/>
      <c r="AN2244" s="43"/>
      <c r="AO2244" s="43"/>
      <c r="AP2244" s="43"/>
      <c r="AQ2244" s="43"/>
      <c r="AR2244" s="43"/>
      <c r="AS2244" s="43"/>
      <c r="AT2244" s="43"/>
      <c r="AU2244" s="43"/>
      <c r="AV2244" s="43"/>
    </row>
    <row r="2245" ht="15.75" spans="1:48">
      <c r="A2245" s="12">
        <v>2241</v>
      </c>
      <c r="B2245" s="44">
        <v>2959</v>
      </c>
      <c r="C2245" s="45" t="s">
        <v>86</v>
      </c>
      <c r="D2245" s="46"/>
      <c r="E2245" s="47" t="s">
        <v>113</v>
      </c>
      <c r="F2245" s="48">
        <v>10.67</v>
      </c>
      <c r="G2245" s="38">
        <v>133</v>
      </c>
      <c r="H2245" s="39"/>
      <c r="I2245" s="39"/>
      <c r="J2245" s="39"/>
      <c r="K2245" s="39"/>
      <c r="L2245" s="39"/>
      <c r="M2245" s="39"/>
      <c r="N2245" s="39"/>
      <c r="O2245" s="39"/>
      <c r="P2245" s="39"/>
      <c r="Q2245" s="39">
        <v>133</v>
      </c>
      <c r="R2245" s="39"/>
      <c r="S2245" s="39"/>
      <c r="T2245" s="39"/>
      <c r="U2245" s="39"/>
      <c r="V2245" s="39"/>
      <c r="W2245" s="39"/>
      <c r="X2245" s="49" t="s">
        <v>442</v>
      </c>
      <c r="Y2245" s="50">
        <v>0</v>
      </c>
      <c r="Z2245" s="51"/>
      <c r="AA2245" s="52">
        <f t="shared" si="61"/>
        <v>0</v>
      </c>
      <c r="AB2245" s="12">
        <v>0</v>
      </c>
      <c r="AC2245" s="12">
        <v>0</v>
      </c>
      <c r="AD2245" s="43"/>
      <c r="AE2245" s="43"/>
      <c r="AF2245" s="43"/>
      <c r="AG2245" s="43"/>
      <c r="AH2245" s="43"/>
      <c r="AI2245" s="43"/>
      <c r="AJ2245" s="43"/>
      <c r="AK2245" s="43"/>
      <c r="AL2245" s="43"/>
      <c r="AM2245" s="43"/>
      <c r="AN2245" s="43"/>
      <c r="AO2245" s="43"/>
      <c r="AP2245" s="43"/>
      <c r="AQ2245" s="43"/>
      <c r="AR2245" s="43"/>
      <c r="AS2245" s="43"/>
      <c r="AT2245" s="43"/>
      <c r="AU2245" s="43"/>
      <c r="AV2245" s="43"/>
    </row>
    <row r="2246" ht="15.75" spans="1:48">
      <c r="A2246" s="12">
        <v>2242</v>
      </c>
      <c r="B2246" s="44">
        <v>4185</v>
      </c>
      <c r="C2246" s="45" t="s">
        <v>72</v>
      </c>
      <c r="D2246" s="46" t="s">
        <v>83</v>
      </c>
      <c r="E2246" s="47" t="s">
        <v>113</v>
      </c>
      <c r="F2246" s="48">
        <v>10.33</v>
      </c>
      <c r="G2246" s="38">
        <v>1.66</v>
      </c>
      <c r="H2246" s="39"/>
      <c r="I2246" s="39"/>
      <c r="J2246" s="39"/>
      <c r="K2246" s="39"/>
      <c r="L2246" s="39"/>
      <c r="M2246" s="39"/>
      <c r="N2246" s="39"/>
      <c r="O2246" s="39"/>
      <c r="P2246" s="39"/>
      <c r="Q2246" s="39">
        <v>1.33</v>
      </c>
      <c r="R2246" s="39"/>
      <c r="S2246" s="39"/>
      <c r="T2246" s="39"/>
      <c r="U2246" s="39">
        <v>0.33</v>
      </c>
      <c r="V2246" s="39"/>
      <c r="W2246" s="39"/>
      <c r="X2246" s="49" t="s">
        <v>342</v>
      </c>
      <c r="Y2246" s="50">
        <v>46485</v>
      </c>
      <c r="Z2246" s="51">
        <v>44571</v>
      </c>
      <c r="AA2246" s="52">
        <f t="shared" si="61"/>
        <v>0.958825427557277</v>
      </c>
      <c r="AB2246" s="12">
        <v>44505</v>
      </c>
      <c r="AC2246" s="12">
        <v>66</v>
      </c>
      <c r="AD2246" s="43"/>
      <c r="AE2246" s="43"/>
      <c r="AF2246" s="43"/>
      <c r="AG2246" s="19">
        <v>66</v>
      </c>
      <c r="AH2246" s="43"/>
      <c r="AI2246" s="43"/>
      <c r="AJ2246" s="43"/>
      <c r="AK2246" s="43"/>
      <c r="AL2246" s="43"/>
      <c r="AM2246" s="43"/>
      <c r="AN2246" s="43"/>
      <c r="AO2246" s="43"/>
      <c r="AP2246" s="43"/>
      <c r="AQ2246" s="43"/>
      <c r="AR2246" s="43"/>
      <c r="AS2246" s="43"/>
      <c r="AT2246" s="43"/>
      <c r="AU2246" s="43"/>
      <c r="AV2246" s="43"/>
    </row>
    <row r="2247" ht="15.75" spans="1:48">
      <c r="A2247" s="12">
        <v>2243</v>
      </c>
      <c r="B2247" s="44">
        <v>4185</v>
      </c>
      <c r="C2247" s="45" t="s">
        <v>72</v>
      </c>
      <c r="D2247" s="46" t="s">
        <v>78</v>
      </c>
      <c r="E2247" s="47" t="s">
        <v>113</v>
      </c>
      <c r="F2247" s="48">
        <v>10.33</v>
      </c>
      <c r="G2247" s="38">
        <v>1.66</v>
      </c>
      <c r="H2247" s="39"/>
      <c r="I2247" s="39"/>
      <c r="J2247" s="39"/>
      <c r="K2247" s="39"/>
      <c r="L2247" s="39"/>
      <c r="M2247" s="39"/>
      <c r="N2247" s="39"/>
      <c r="O2247" s="39"/>
      <c r="P2247" s="39"/>
      <c r="Q2247" s="39">
        <v>1.33</v>
      </c>
      <c r="R2247" s="39"/>
      <c r="S2247" s="39"/>
      <c r="T2247" s="39"/>
      <c r="U2247" s="39">
        <v>0.33</v>
      </c>
      <c r="V2247" s="39"/>
      <c r="W2247" s="39"/>
      <c r="X2247" s="49" t="s">
        <v>79</v>
      </c>
      <c r="Y2247" s="50">
        <v>68797.8</v>
      </c>
      <c r="Z2247" s="51">
        <v>60232</v>
      </c>
      <c r="AA2247" s="52">
        <f t="shared" si="61"/>
        <v>0.875493111698339</v>
      </c>
      <c r="AB2247" s="12">
        <v>60096</v>
      </c>
      <c r="AC2247" s="12">
        <v>136</v>
      </c>
      <c r="AD2247" s="43"/>
      <c r="AE2247" s="43"/>
      <c r="AF2247" s="43"/>
      <c r="AG2247" s="19">
        <v>136</v>
      </c>
      <c r="AH2247" s="43"/>
      <c r="AI2247" s="43"/>
      <c r="AJ2247" s="43"/>
      <c r="AK2247" s="43"/>
      <c r="AL2247" s="43"/>
      <c r="AM2247" s="43"/>
      <c r="AN2247" s="43"/>
      <c r="AO2247" s="43"/>
      <c r="AP2247" s="43"/>
      <c r="AQ2247" s="43"/>
      <c r="AR2247" s="43"/>
      <c r="AS2247" s="43"/>
      <c r="AT2247" s="43"/>
      <c r="AU2247" s="43"/>
      <c r="AV2247" s="43"/>
    </row>
    <row r="2248" ht="15.75" spans="1:48">
      <c r="A2248" s="12">
        <v>2244</v>
      </c>
      <c r="B2248" s="44">
        <v>4185</v>
      </c>
      <c r="C2248" s="45" t="s">
        <v>72</v>
      </c>
      <c r="D2248" s="46" t="s">
        <v>207</v>
      </c>
      <c r="E2248" s="47" t="s">
        <v>113</v>
      </c>
      <c r="F2248" s="48">
        <v>9.67</v>
      </c>
      <c r="G2248" s="38">
        <v>2.33</v>
      </c>
      <c r="H2248" s="39"/>
      <c r="I2248" s="39"/>
      <c r="J2248" s="39"/>
      <c r="K2248" s="39">
        <v>0.67</v>
      </c>
      <c r="L2248" s="39"/>
      <c r="M2248" s="39"/>
      <c r="N2248" s="39"/>
      <c r="O2248" s="39"/>
      <c r="P2248" s="39"/>
      <c r="Q2248" s="39">
        <v>1.33</v>
      </c>
      <c r="R2248" s="39"/>
      <c r="S2248" s="39"/>
      <c r="T2248" s="39"/>
      <c r="U2248" s="39">
        <v>0.33</v>
      </c>
      <c r="V2248" s="39"/>
      <c r="W2248" s="39"/>
      <c r="X2248" s="49" t="s">
        <v>79</v>
      </c>
      <c r="Y2248" s="50">
        <v>64402.2</v>
      </c>
      <c r="Z2248" s="51">
        <v>55872</v>
      </c>
      <c r="AA2248" s="52">
        <f t="shared" si="61"/>
        <v>0.86754800301853</v>
      </c>
      <c r="AB2248" s="12">
        <v>55792</v>
      </c>
      <c r="AC2248" s="12">
        <v>80</v>
      </c>
      <c r="AD2248" s="43"/>
      <c r="AE2248" s="43"/>
      <c r="AF2248" s="43"/>
      <c r="AG2248" s="19">
        <v>80</v>
      </c>
      <c r="AH2248" s="43"/>
      <c r="AI2248" s="43"/>
      <c r="AJ2248" s="43"/>
      <c r="AK2248" s="43"/>
      <c r="AL2248" s="43"/>
      <c r="AM2248" s="43"/>
      <c r="AN2248" s="43"/>
      <c r="AO2248" s="43"/>
      <c r="AP2248" s="43"/>
      <c r="AQ2248" s="43"/>
      <c r="AR2248" s="43"/>
      <c r="AS2248" s="43"/>
      <c r="AT2248" s="43"/>
      <c r="AU2248" s="43"/>
      <c r="AV2248" s="43"/>
    </row>
    <row r="2249" ht="15.75" spans="1:48">
      <c r="A2249" s="12">
        <v>2245</v>
      </c>
      <c r="B2249" s="44">
        <v>4478</v>
      </c>
      <c r="C2249" s="45" t="s">
        <v>128</v>
      </c>
      <c r="D2249" s="46" t="s">
        <v>129</v>
      </c>
      <c r="E2249" s="47" t="s">
        <v>113</v>
      </c>
      <c r="F2249" s="48">
        <v>7.33</v>
      </c>
      <c r="G2249" s="38">
        <v>4.67</v>
      </c>
      <c r="H2249" s="39"/>
      <c r="I2249" s="39"/>
      <c r="J2249" s="39"/>
      <c r="K2249" s="39">
        <v>3.17</v>
      </c>
      <c r="L2249" s="39"/>
      <c r="M2249" s="39"/>
      <c r="N2249" s="39"/>
      <c r="O2249" s="39"/>
      <c r="P2249" s="39"/>
      <c r="Q2249" s="39">
        <v>1.33</v>
      </c>
      <c r="R2249" s="39"/>
      <c r="S2249" s="39"/>
      <c r="T2249" s="39"/>
      <c r="U2249" s="39">
        <v>0.17</v>
      </c>
      <c r="V2249" s="39"/>
      <c r="W2249" s="39"/>
      <c r="X2249" s="49" t="s">
        <v>136</v>
      </c>
      <c r="Y2249" s="50">
        <v>17592</v>
      </c>
      <c r="Z2249" s="51">
        <v>14400</v>
      </c>
      <c r="AA2249" s="52">
        <f t="shared" si="61"/>
        <v>0.818553888130969</v>
      </c>
      <c r="AB2249" s="12">
        <v>14400</v>
      </c>
      <c r="AC2249" s="12">
        <v>0</v>
      </c>
      <c r="AD2249" s="43"/>
      <c r="AE2249" s="43"/>
      <c r="AF2249" s="43"/>
      <c r="AG2249" s="43"/>
      <c r="AH2249" s="43"/>
      <c r="AI2249" s="43"/>
      <c r="AJ2249" s="43"/>
      <c r="AK2249" s="43"/>
      <c r="AL2249" s="43"/>
      <c r="AM2249" s="43"/>
      <c r="AN2249" s="43"/>
      <c r="AO2249" s="43"/>
      <c r="AP2249" s="43"/>
      <c r="AQ2249" s="43"/>
      <c r="AR2249" s="43"/>
      <c r="AS2249" s="43"/>
      <c r="AT2249" s="43"/>
      <c r="AU2249" s="43"/>
      <c r="AV2249" s="43"/>
    </row>
    <row r="2250" ht="15.75" spans="1:48">
      <c r="A2250" s="12">
        <v>2246</v>
      </c>
      <c r="B2250" s="44">
        <v>4344</v>
      </c>
      <c r="C2250" s="45" t="s">
        <v>85</v>
      </c>
      <c r="D2250" s="46" t="s">
        <v>138</v>
      </c>
      <c r="E2250" s="47" t="s">
        <v>113</v>
      </c>
      <c r="F2250" s="48">
        <v>10.5</v>
      </c>
      <c r="G2250" s="38">
        <v>1.5</v>
      </c>
      <c r="H2250" s="39"/>
      <c r="I2250" s="39"/>
      <c r="J2250" s="39"/>
      <c r="K2250" s="39"/>
      <c r="L2250" s="39"/>
      <c r="M2250" s="39"/>
      <c r="N2250" s="39"/>
      <c r="O2250" s="39"/>
      <c r="P2250" s="39"/>
      <c r="Q2250" s="39">
        <v>1.33</v>
      </c>
      <c r="R2250" s="39"/>
      <c r="S2250" s="39"/>
      <c r="T2250" s="39"/>
      <c r="U2250" s="39">
        <v>0.17</v>
      </c>
      <c r="V2250" s="39"/>
      <c r="W2250" s="39"/>
      <c r="X2250" s="49" t="s">
        <v>440</v>
      </c>
      <c r="Y2250" s="50">
        <v>42000</v>
      </c>
      <c r="Z2250" s="51">
        <v>34400</v>
      </c>
      <c r="AA2250" s="52">
        <f t="shared" si="61"/>
        <v>0.819047619047619</v>
      </c>
      <c r="AB2250" s="12">
        <v>34400</v>
      </c>
      <c r="AC2250" s="12">
        <v>0</v>
      </c>
      <c r="AD2250" s="43"/>
      <c r="AE2250" s="43"/>
      <c r="AF2250" s="43"/>
      <c r="AG2250" s="43"/>
      <c r="AH2250" s="43"/>
      <c r="AI2250" s="43"/>
      <c r="AJ2250" s="43"/>
      <c r="AK2250" s="43"/>
      <c r="AL2250" s="43"/>
      <c r="AM2250" s="43"/>
      <c r="AN2250" s="43"/>
      <c r="AO2250" s="43"/>
      <c r="AP2250" s="43"/>
      <c r="AQ2250" s="43"/>
      <c r="AR2250" s="43"/>
      <c r="AS2250" s="43"/>
      <c r="AT2250" s="43"/>
      <c r="AU2250" s="43"/>
      <c r="AV2250" s="43"/>
    </row>
    <row r="2251" ht="15.75" spans="1:48">
      <c r="A2251" s="12">
        <v>2247</v>
      </c>
      <c r="B2251" s="44">
        <v>849</v>
      </c>
      <c r="C2251" s="45" t="s">
        <v>108</v>
      </c>
      <c r="D2251" s="46">
        <v>18</v>
      </c>
      <c r="E2251" s="47" t="s">
        <v>113</v>
      </c>
      <c r="F2251" s="48">
        <v>7</v>
      </c>
      <c r="G2251" s="38">
        <v>1.33</v>
      </c>
      <c r="H2251" s="39"/>
      <c r="I2251" s="39"/>
      <c r="J2251" s="39"/>
      <c r="K2251" s="39"/>
      <c r="L2251" s="39"/>
      <c r="M2251" s="39"/>
      <c r="N2251" s="39"/>
      <c r="O2251" s="39"/>
      <c r="P2251" s="39"/>
      <c r="Q2251" s="39">
        <v>1.33</v>
      </c>
      <c r="R2251" s="39"/>
      <c r="S2251" s="39"/>
      <c r="T2251" s="39"/>
      <c r="U2251" s="39"/>
      <c r="V2251" s="39"/>
      <c r="W2251" s="39"/>
      <c r="X2251" s="49">
        <v>2801</v>
      </c>
      <c r="Y2251" s="50">
        <v>2964.5</v>
      </c>
      <c r="Z2251" s="51">
        <v>1263</v>
      </c>
      <c r="AA2251" s="52">
        <f t="shared" si="61"/>
        <v>0.426041490976556</v>
      </c>
      <c r="AB2251" s="12">
        <v>1263</v>
      </c>
      <c r="AC2251" s="12">
        <v>0</v>
      </c>
      <c r="AD2251" s="43"/>
      <c r="AE2251" s="43"/>
      <c r="AF2251" s="43"/>
      <c r="AG2251" s="43"/>
      <c r="AH2251" s="43"/>
      <c r="AI2251" s="43"/>
      <c r="AJ2251" s="43"/>
      <c r="AK2251" s="43"/>
      <c r="AL2251" s="43"/>
      <c r="AM2251" s="43"/>
      <c r="AN2251" s="43"/>
      <c r="AO2251" s="43"/>
      <c r="AP2251" s="43"/>
      <c r="AQ2251" s="43"/>
      <c r="AR2251" s="43"/>
      <c r="AS2251" s="43"/>
      <c r="AT2251" s="43"/>
      <c r="AU2251" s="43"/>
      <c r="AV2251" s="43"/>
    </row>
    <row r="2252" ht="15.75" spans="1:48">
      <c r="A2252" s="12">
        <v>2248</v>
      </c>
      <c r="B2252" s="44">
        <v>4382</v>
      </c>
      <c r="C2252" s="45" t="s">
        <v>173</v>
      </c>
      <c r="D2252" s="46">
        <v>8</v>
      </c>
      <c r="E2252" s="47" t="s">
        <v>113</v>
      </c>
      <c r="F2252" s="48">
        <v>6.5</v>
      </c>
      <c r="G2252" s="38">
        <v>1.68</v>
      </c>
      <c r="H2252" s="39"/>
      <c r="I2252" s="39"/>
      <c r="J2252" s="39">
        <v>0.17</v>
      </c>
      <c r="K2252" s="39"/>
      <c r="L2252" s="39"/>
      <c r="M2252" s="39"/>
      <c r="N2252" s="39"/>
      <c r="O2252" s="39"/>
      <c r="P2252" s="39"/>
      <c r="Q2252" s="39">
        <v>1.17</v>
      </c>
      <c r="R2252" s="39"/>
      <c r="S2252" s="39"/>
      <c r="T2252" s="39">
        <v>0.17</v>
      </c>
      <c r="U2252" s="39">
        <v>0.17</v>
      </c>
      <c r="V2252" s="39"/>
      <c r="W2252" s="39"/>
      <c r="X2252" s="49">
        <v>9477</v>
      </c>
      <c r="Y2252" s="50">
        <v>3932.5</v>
      </c>
      <c r="Z2252" s="51">
        <v>3915</v>
      </c>
      <c r="AA2252" s="52">
        <f t="shared" si="61"/>
        <v>0.995549904640814</v>
      </c>
      <c r="AB2252" s="12">
        <v>3859</v>
      </c>
      <c r="AC2252" s="12">
        <v>56</v>
      </c>
      <c r="AD2252" s="19">
        <v>56</v>
      </c>
      <c r="AE2252" s="43"/>
      <c r="AF2252" s="43"/>
      <c r="AG2252" s="43"/>
      <c r="AH2252" s="43"/>
      <c r="AI2252" s="43"/>
      <c r="AJ2252" s="43"/>
      <c r="AK2252" s="43"/>
      <c r="AL2252" s="43"/>
      <c r="AM2252" s="43"/>
      <c r="AN2252" s="43"/>
      <c r="AO2252" s="43"/>
      <c r="AP2252" s="43"/>
      <c r="AQ2252" s="43"/>
      <c r="AR2252" s="43"/>
      <c r="AS2252" s="43"/>
      <c r="AT2252" s="43"/>
      <c r="AU2252" s="43"/>
      <c r="AV2252" s="43"/>
    </row>
    <row r="2253" ht="15.75" spans="1:48">
      <c r="A2253" s="12">
        <v>2249</v>
      </c>
      <c r="B2253" s="44">
        <v>4382</v>
      </c>
      <c r="C2253" s="45" t="s">
        <v>173</v>
      </c>
      <c r="D2253" s="46">
        <v>8</v>
      </c>
      <c r="E2253" s="47" t="s">
        <v>113</v>
      </c>
      <c r="F2253" s="48">
        <v>2</v>
      </c>
      <c r="G2253" s="38">
        <v>0.17</v>
      </c>
      <c r="H2253" s="39"/>
      <c r="I2253" s="39"/>
      <c r="J2253" s="39"/>
      <c r="K2253" s="39"/>
      <c r="L2253" s="39"/>
      <c r="M2253" s="39"/>
      <c r="N2253" s="39"/>
      <c r="O2253" s="39"/>
      <c r="P2253" s="39"/>
      <c r="Q2253" s="39">
        <v>0.17</v>
      </c>
      <c r="R2253" s="39"/>
      <c r="S2253" s="39"/>
      <c r="T2253" s="39"/>
      <c r="U2253" s="39"/>
      <c r="V2253" s="39"/>
      <c r="W2253" s="39"/>
      <c r="X2253" s="49">
        <v>6270</v>
      </c>
      <c r="Y2253" s="50">
        <v>1210</v>
      </c>
      <c r="Z2253" s="51">
        <v>1200</v>
      </c>
      <c r="AA2253" s="52">
        <f t="shared" si="61"/>
        <v>0.991735537190083</v>
      </c>
      <c r="AB2253" s="12">
        <v>1200</v>
      </c>
      <c r="AC2253" s="12">
        <v>0</v>
      </c>
      <c r="AD2253" s="43"/>
      <c r="AE2253" s="43"/>
      <c r="AF2253" s="43"/>
      <c r="AG2253" s="43"/>
      <c r="AH2253" s="43"/>
      <c r="AI2253" s="43"/>
      <c r="AJ2253" s="43"/>
      <c r="AK2253" s="43"/>
      <c r="AL2253" s="43"/>
      <c r="AM2253" s="43"/>
      <c r="AN2253" s="43"/>
      <c r="AO2253" s="43"/>
      <c r="AP2253" s="43"/>
      <c r="AQ2253" s="43"/>
      <c r="AR2253" s="43"/>
      <c r="AS2253" s="43"/>
      <c r="AT2253" s="43"/>
      <c r="AU2253" s="43"/>
      <c r="AV2253" s="43"/>
    </row>
    <row r="2254" ht="15.75" spans="1:48">
      <c r="A2254" s="12">
        <v>2250</v>
      </c>
      <c r="B2254" s="44">
        <v>3268</v>
      </c>
      <c r="C2254" s="45" t="s">
        <v>80</v>
      </c>
      <c r="D2254" s="46"/>
      <c r="E2254" s="47" t="s">
        <v>113</v>
      </c>
      <c r="F2254" s="48">
        <v>10.5</v>
      </c>
      <c r="G2254" s="38">
        <v>1.5</v>
      </c>
      <c r="H2254" s="39"/>
      <c r="I2254" s="39"/>
      <c r="J2254" s="39"/>
      <c r="K2254" s="39"/>
      <c r="L2254" s="39"/>
      <c r="M2254" s="39"/>
      <c r="N2254" s="39"/>
      <c r="O2254" s="39"/>
      <c r="P2254" s="39"/>
      <c r="Q2254" s="39">
        <v>1.33</v>
      </c>
      <c r="R2254" s="39"/>
      <c r="S2254" s="39"/>
      <c r="T2254" s="39"/>
      <c r="U2254" s="39">
        <v>0.17</v>
      </c>
      <c r="V2254" s="39"/>
      <c r="W2254" s="39"/>
      <c r="X2254" s="49">
        <v>5092</v>
      </c>
      <c r="Y2254" s="50">
        <v>378</v>
      </c>
      <c r="Z2254" s="51">
        <v>319</v>
      </c>
      <c r="AA2254" s="52">
        <f t="shared" si="61"/>
        <v>0.843915343915344</v>
      </c>
      <c r="AB2254" s="12">
        <v>319</v>
      </c>
      <c r="AC2254" s="12">
        <v>0</v>
      </c>
      <c r="AD2254" s="43"/>
      <c r="AE2254" s="43"/>
      <c r="AF2254" s="43"/>
      <c r="AG2254" s="43"/>
      <c r="AH2254" s="43"/>
      <c r="AI2254" s="43"/>
      <c r="AJ2254" s="43"/>
      <c r="AK2254" s="43"/>
      <c r="AL2254" s="43"/>
      <c r="AM2254" s="43"/>
      <c r="AN2254" s="43"/>
      <c r="AO2254" s="43"/>
      <c r="AP2254" s="43"/>
      <c r="AQ2254" s="43"/>
      <c r="AR2254" s="43"/>
      <c r="AS2254" s="43"/>
      <c r="AT2254" s="43"/>
      <c r="AU2254" s="43"/>
      <c r="AV2254" s="43"/>
    </row>
    <row r="2255" ht="15.75" spans="1:48">
      <c r="A2255" s="12">
        <v>2251</v>
      </c>
      <c r="B2255" s="44" t="s">
        <v>275</v>
      </c>
      <c r="C2255" s="45" t="s">
        <v>253</v>
      </c>
      <c r="D2255" s="46">
        <v>2</v>
      </c>
      <c r="E2255" s="47" t="s">
        <v>113</v>
      </c>
      <c r="F2255" s="48">
        <v>6.67</v>
      </c>
      <c r="G2255" s="38">
        <v>1.33</v>
      </c>
      <c r="H2255" s="39"/>
      <c r="I2255" s="39"/>
      <c r="J2255" s="39"/>
      <c r="K2255" s="39"/>
      <c r="L2255" s="39"/>
      <c r="M2255" s="39"/>
      <c r="N2255" s="39"/>
      <c r="O2255" s="39"/>
      <c r="P2255" s="39"/>
      <c r="Q2255" s="39">
        <v>1.33</v>
      </c>
      <c r="R2255" s="39"/>
      <c r="S2255" s="39"/>
      <c r="T2255" s="39"/>
      <c r="U2255" s="39"/>
      <c r="V2255" s="39"/>
      <c r="W2255" s="39"/>
      <c r="X2255" s="49">
        <v>1080</v>
      </c>
      <c r="Y2255" s="50">
        <v>3521.76</v>
      </c>
      <c r="Z2255" s="51">
        <v>3300</v>
      </c>
      <c r="AA2255" s="52">
        <f t="shared" si="61"/>
        <v>0.937031484257871</v>
      </c>
      <c r="AB2255" s="12">
        <v>3300</v>
      </c>
      <c r="AC2255" s="12">
        <v>0</v>
      </c>
      <c r="AD2255" s="43"/>
      <c r="AE2255" s="43"/>
      <c r="AF2255" s="43"/>
      <c r="AG2255" s="43"/>
      <c r="AH2255" s="43"/>
      <c r="AI2255" s="43"/>
      <c r="AJ2255" s="43"/>
      <c r="AK2255" s="43"/>
      <c r="AL2255" s="43"/>
      <c r="AM2255" s="43"/>
      <c r="AN2255" s="43"/>
      <c r="AO2255" s="43"/>
      <c r="AP2255" s="43"/>
      <c r="AQ2255" s="43"/>
      <c r="AR2255" s="43"/>
      <c r="AS2255" s="43"/>
      <c r="AT2255" s="43"/>
      <c r="AU2255" s="43"/>
      <c r="AV2255" s="43"/>
    </row>
    <row r="2256" ht="15.75" spans="1:48">
      <c r="A2256" s="12">
        <v>2252</v>
      </c>
      <c r="B2256" s="44">
        <v>4234</v>
      </c>
      <c r="C2256" s="45" t="s">
        <v>331</v>
      </c>
      <c r="D2256" s="46">
        <v>17</v>
      </c>
      <c r="E2256" s="47" t="s">
        <v>113</v>
      </c>
      <c r="F2256" s="48">
        <v>10.5</v>
      </c>
      <c r="G2256" s="38">
        <v>1.5</v>
      </c>
      <c r="H2256" s="39"/>
      <c r="I2256" s="39"/>
      <c r="J2256" s="39"/>
      <c r="K2256" s="39"/>
      <c r="L2256" s="39"/>
      <c r="M2256" s="39"/>
      <c r="N2256" s="39"/>
      <c r="O2256" s="39"/>
      <c r="P2256" s="39"/>
      <c r="Q2256" s="39">
        <v>1.33</v>
      </c>
      <c r="R2256" s="39"/>
      <c r="S2256" s="39"/>
      <c r="T2256" s="39"/>
      <c r="U2256" s="39">
        <v>0.17</v>
      </c>
      <c r="V2256" s="39"/>
      <c r="W2256" s="39"/>
      <c r="X2256" s="49" t="s">
        <v>222</v>
      </c>
      <c r="Y2256" s="50">
        <v>13702.5</v>
      </c>
      <c r="Z2256" s="51">
        <v>11925</v>
      </c>
      <c r="AA2256" s="52">
        <f t="shared" si="61"/>
        <v>0.870279146141215</v>
      </c>
      <c r="AB2256" s="12">
        <v>11925</v>
      </c>
      <c r="AC2256" s="12">
        <v>0</v>
      </c>
      <c r="AD2256" s="43"/>
      <c r="AE2256" s="43"/>
      <c r="AF2256" s="43"/>
      <c r="AG2256" s="43"/>
      <c r="AH2256" s="43"/>
      <c r="AI2256" s="43"/>
      <c r="AJ2256" s="43"/>
      <c r="AK2256" s="43"/>
      <c r="AL2256" s="43"/>
      <c r="AM2256" s="43"/>
      <c r="AN2256" s="43"/>
      <c r="AO2256" s="43"/>
      <c r="AP2256" s="43"/>
      <c r="AQ2256" s="43"/>
      <c r="AR2256" s="43"/>
      <c r="AS2256" s="43"/>
      <c r="AT2256" s="43"/>
      <c r="AU2256" s="43"/>
      <c r="AV2256" s="43"/>
    </row>
    <row r="2257" ht="15.75" spans="1:48">
      <c r="A2257" s="12">
        <v>2253</v>
      </c>
      <c r="B2257" s="44">
        <v>4489</v>
      </c>
      <c r="C2257" s="45" t="s">
        <v>88</v>
      </c>
      <c r="D2257" s="46">
        <v>5</v>
      </c>
      <c r="E2257" s="47" t="s">
        <v>113</v>
      </c>
      <c r="F2257" s="48">
        <v>6</v>
      </c>
      <c r="G2257" s="38">
        <v>1.67</v>
      </c>
      <c r="H2257" s="39"/>
      <c r="I2257" s="39"/>
      <c r="J2257" s="39"/>
      <c r="K2257" s="39"/>
      <c r="L2257" s="39"/>
      <c r="M2257" s="39"/>
      <c r="N2257" s="39"/>
      <c r="O2257" s="39"/>
      <c r="P2257" s="39"/>
      <c r="Q2257" s="39">
        <v>1.33</v>
      </c>
      <c r="R2257" s="39"/>
      <c r="S2257" s="39"/>
      <c r="T2257" s="39">
        <v>0.17</v>
      </c>
      <c r="U2257" s="39">
        <v>0.17</v>
      </c>
      <c r="V2257" s="39"/>
      <c r="W2257" s="39"/>
      <c r="X2257" s="49">
        <v>5770</v>
      </c>
      <c r="Y2257" s="50">
        <v>3630</v>
      </c>
      <c r="Z2257" s="51">
        <v>3595</v>
      </c>
      <c r="AA2257" s="52">
        <f t="shared" si="61"/>
        <v>0.990358126721763</v>
      </c>
      <c r="AB2257" s="12">
        <v>3550</v>
      </c>
      <c r="AC2257" s="12">
        <v>45</v>
      </c>
      <c r="AD2257" s="19">
        <v>45</v>
      </c>
      <c r="AE2257" s="43"/>
      <c r="AF2257" s="43"/>
      <c r="AG2257" s="43"/>
      <c r="AH2257" s="43"/>
      <c r="AI2257" s="43"/>
      <c r="AJ2257" s="43"/>
      <c r="AK2257" s="43"/>
      <c r="AL2257" s="43"/>
      <c r="AM2257" s="43"/>
      <c r="AN2257" s="43"/>
      <c r="AO2257" s="43"/>
      <c r="AP2257" s="43"/>
      <c r="AQ2257" s="43"/>
      <c r="AR2257" s="43"/>
      <c r="AS2257" s="43"/>
      <c r="AT2257" s="43"/>
      <c r="AU2257" s="43"/>
      <c r="AV2257" s="43"/>
    </row>
    <row r="2258" ht="15.75" spans="1:48">
      <c r="A2258" s="12">
        <v>2254</v>
      </c>
      <c r="B2258" s="44">
        <v>669</v>
      </c>
      <c r="C2258" s="45" t="s">
        <v>94</v>
      </c>
      <c r="D2258" s="46">
        <v>2</v>
      </c>
      <c r="E2258" s="47" t="s">
        <v>113</v>
      </c>
      <c r="F2258" s="48">
        <v>1</v>
      </c>
      <c r="G2258" s="38">
        <v>1.33</v>
      </c>
      <c r="H2258" s="39"/>
      <c r="I2258" s="39"/>
      <c r="J2258" s="39"/>
      <c r="K2258" s="39"/>
      <c r="L2258" s="39"/>
      <c r="M2258" s="39"/>
      <c r="N2258" s="39"/>
      <c r="O2258" s="39"/>
      <c r="P2258" s="39"/>
      <c r="Q2258" s="39">
        <v>1.33</v>
      </c>
      <c r="R2258" s="39"/>
      <c r="S2258" s="39"/>
      <c r="T2258" s="39"/>
      <c r="U2258" s="39"/>
      <c r="V2258" s="39"/>
      <c r="W2258" s="39"/>
      <c r="X2258" s="49">
        <v>1080</v>
      </c>
      <c r="Y2258" s="50">
        <v>660</v>
      </c>
      <c r="Z2258" s="51">
        <v>785</v>
      </c>
      <c r="AA2258" s="52">
        <f t="shared" si="61"/>
        <v>1.18939393939394</v>
      </c>
      <c r="AB2258" s="12">
        <v>785</v>
      </c>
      <c r="AC2258" s="12">
        <v>0</v>
      </c>
      <c r="AD2258" s="43"/>
      <c r="AE2258" s="43"/>
      <c r="AF2258" s="43"/>
      <c r="AG2258" s="43"/>
      <c r="AH2258" s="43"/>
      <c r="AI2258" s="43"/>
      <c r="AJ2258" s="43"/>
      <c r="AK2258" s="43"/>
      <c r="AL2258" s="43"/>
      <c r="AM2258" s="43"/>
      <c r="AN2258" s="43"/>
      <c r="AO2258" s="43"/>
      <c r="AP2258" s="43"/>
      <c r="AQ2258" s="43"/>
      <c r="AR2258" s="43"/>
      <c r="AS2258" s="43"/>
      <c r="AT2258" s="43"/>
      <c r="AU2258" s="43"/>
      <c r="AV2258" s="43"/>
    </row>
    <row r="2259" ht="15.75" spans="1:48">
      <c r="A2259" s="12">
        <v>2255</v>
      </c>
      <c r="B2259" s="44">
        <v>669</v>
      </c>
      <c r="C2259" s="45" t="s">
        <v>94</v>
      </c>
      <c r="D2259" s="46">
        <v>6</v>
      </c>
      <c r="E2259" s="47" t="s">
        <v>113</v>
      </c>
      <c r="F2259" s="48">
        <v>5.67</v>
      </c>
      <c r="G2259" s="38">
        <v>2.67</v>
      </c>
      <c r="H2259" s="39"/>
      <c r="I2259" s="39"/>
      <c r="J2259" s="39"/>
      <c r="K2259" s="39">
        <v>1</v>
      </c>
      <c r="L2259" s="39"/>
      <c r="M2259" s="39"/>
      <c r="N2259" s="39"/>
      <c r="O2259" s="39"/>
      <c r="P2259" s="39"/>
      <c r="Q2259" s="39"/>
      <c r="R2259" s="39"/>
      <c r="S2259" s="39"/>
      <c r="T2259" s="39">
        <v>1.5</v>
      </c>
      <c r="U2259" s="39">
        <v>0.17</v>
      </c>
      <c r="V2259" s="39"/>
      <c r="W2259" s="39"/>
      <c r="X2259" s="49">
        <v>8235</v>
      </c>
      <c r="Y2259" s="50">
        <v>3742.2</v>
      </c>
      <c r="Z2259" s="51">
        <v>3378</v>
      </c>
      <c r="AA2259" s="52">
        <f t="shared" si="61"/>
        <v>0.902677569344236</v>
      </c>
      <c r="AB2259" s="12">
        <v>3120</v>
      </c>
      <c r="AC2259" s="12">
        <v>258</v>
      </c>
      <c r="AD2259" s="19">
        <v>258</v>
      </c>
      <c r="AE2259" s="43"/>
      <c r="AF2259" s="43"/>
      <c r="AG2259" s="43"/>
      <c r="AH2259" s="43"/>
      <c r="AI2259" s="43"/>
      <c r="AJ2259" s="43"/>
      <c r="AK2259" s="43"/>
      <c r="AL2259" s="43"/>
      <c r="AM2259" s="43"/>
      <c r="AN2259" s="43"/>
      <c r="AO2259" s="43"/>
      <c r="AP2259" s="43"/>
      <c r="AQ2259" s="43"/>
      <c r="AR2259" s="43"/>
      <c r="AS2259" s="43"/>
      <c r="AT2259" s="43"/>
      <c r="AU2259" s="43"/>
      <c r="AV2259" s="43"/>
    </row>
    <row r="2260" ht="15.75" spans="1:48">
      <c r="A2260" s="12">
        <v>2256</v>
      </c>
      <c r="B2260" s="44">
        <v>4360</v>
      </c>
      <c r="C2260" s="45" t="s">
        <v>97</v>
      </c>
      <c r="D2260" s="46">
        <v>16</v>
      </c>
      <c r="E2260" s="47" t="s">
        <v>113</v>
      </c>
      <c r="F2260" s="48">
        <v>7</v>
      </c>
      <c r="G2260" s="38">
        <v>2.33</v>
      </c>
      <c r="H2260" s="39"/>
      <c r="I2260" s="39"/>
      <c r="J2260" s="39"/>
      <c r="K2260" s="39"/>
      <c r="L2260" s="39"/>
      <c r="M2260" s="39"/>
      <c r="N2260" s="39"/>
      <c r="O2260" s="39"/>
      <c r="P2260" s="39"/>
      <c r="Q2260" s="39">
        <v>1.33</v>
      </c>
      <c r="R2260" s="39"/>
      <c r="S2260" s="39"/>
      <c r="T2260" s="39">
        <v>0.83</v>
      </c>
      <c r="U2260" s="39">
        <v>0.17</v>
      </c>
      <c r="V2260" s="39"/>
      <c r="W2260" s="39"/>
      <c r="X2260" s="49">
        <v>6773</v>
      </c>
      <c r="Y2260" s="50">
        <v>840</v>
      </c>
      <c r="Z2260" s="51">
        <v>831</v>
      </c>
      <c r="AA2260" s="52">
        <f t="shared" si="61"/>
        <v>0.989285714285714</v>
      </c>
      <c r="AB2260" s="12">
        <v>742</v>
      </c>
      <c r="AC2260" s="12">
        <v>89</v>
      </c>
      <c r="AD2260" s="19">
        <v>89</v>
      </c>
      <c r="AE2260" s="43"/>
      <c r="AF2260" s="43"/>
      <c r="AG2260" s="43"/>
      <c r="AH2260" s="43"/>
      <c r="AI2260" s="43"/>
      <c r="AJ2260" s="43"/>
      <c r="AK2260" s="43"/>
      <c r="AL2260" s="43"/>
      <c r="AM2260" s="43"/>
      <c r="AN2260" s="43"/>
      <c r="AO2260" s="43"/>
      <c r="AP2260" s="43"/>
      <c r="AQ2260" s="43"/>
      <c r="AR2260" s="43"/>
      <c r="AS2260" s="43"/>
      <c r="AT2260" s="43"/>
      <c r="AU2260" s="43"/>
      <c r="AV2260" s="43"/>
    </row>
    <row r="2261" ht="15.75" spans="1:48">
      <c r="A2261" s="12">
        <v>2257</v>
      </c>
      <c r="B2261" s="44">
        <v>4490</v>
      </c>
      <c r="C2261" s="45" t="s">
        <v>91</v>
      </c>
      <c r="D2261" s="46">
        <v>3</v>
      </c>
      <c r="E2261" s="47" t="s">
        <v>113</v>
      </c>
      <c r="F2261" s="48">
        <v>4.5</v>
      </c>
      <c r="G2261" s="38">
        <v>3.83</v>
      </c>
      <c r="H2261" s="39"/>
      <c r="I2261" s="39"/>
      <c r="J2261" s="39"/>
      <c r="K2261" s="39">
        <v>0.33</v>
      </c>
      <c r="L2261" s="39"/>
      <c r="M2261" s="39"/>
      <c r="N2261" s="39"/>
      <c r="O2261" s="39"/>
      <c r="P2261" s="39"/>
      <c r="Q2261" s="39">
        <v>1.33</v>
      </c>
      <c r="R2261" s="39"/>
      <c r="S2261" s="39"/>
      <c r="T2261" s="39">
        <v>2</v>
      </c>
      <c r="U2261" s="39">
        <v>0.17</v>
      </c>
      <c r="V2261" s="39"/>
      <c r="W2261" s="39"/>
      <c r="X2261" s="49">
        <v>7133</v>
      </c>
      <c r="Y2261" s="50">
        <v>2722.5</v>
      </c>
      <c r="Z2261" s="51">
        <v>2454</v>
      </c>
      <c r="AA2261" s="52">
        <f t="shared" si="61"/>
        <v>0.90137741046832</v>
      </c>
      <c r="AB2261" s="12">
        <v>2049</v>
      </c>
      <c r="AC2261" s="12">
        <v>405</v>
      </c>
      <c r="AD2261" s="19">
        <v>405</v>
      </c>
      <c r="AE2261" s="43"/>
      <c r="AF2261" s="43"/>
      <c r="AG2261" s="43"/>
      <c r="AH2261" s="43"/>
      <c r="AI2261" s="43"/>
      <c r="AJ2261" s="43"/>
      <c r="AK2261" s="43"/>
      <c r="AL2261" s="43"/>
      <c r="AM2261" s="43"/>
      <c r="AN2261" s="43"/>
      <c r="AO2261" s="43"/>
      <c r="AP2261" s="43"/>
      <c r="AQ2261" s="43"/>
      <c r="AR2261" s="43"/>
      <c r="AS2261" s="43"/>
      <c r="AT2261" s="43"/>
      <c r="AU2261" s="43"/>
      <c r="AV2261" s="43"/>
    </row>
    <row r="2262" ht="15.75" spans="1:48">
      <c r="A2262" s="12">
        <v>2258</v>
      </c>
      <c r="B2262" s="44">
        <v>676</v>
      </c>
      <c r="C2262" s="45" t="s">
        <v>171</v>
      </c>
      <c r="D2262" s="46"/>
      <c r="E2262" s="47" t="s">
        <v>113</v>
      </c>
      <c r="F2262" s="48">
        <v>1.33</v>
      </c>
      <c r="G2262" s="38">
        <v>2.33</v>
      </c>
      <c r="H2262" s="39"/>
      <c r="I2262" s="39"/>
      <c r="J2262" s="39"/>
      <c r="K2262" s="39"/>
      <c r="L2262" s="39"/>
      <c r="M2262" s="39"/>
      <c r="N2262" s="39"/>
      <c r="O2262" s="39"/>
      <c r="P2262" s="39"/>
      <c r="Q2262" s="39"/>
      <c r="R2262" s="39"/>
      <c r="S2262" s="39">
        <v>2</v>
      </c>
      <c r="T2262" s="39"/>
      <c r="U2262" s="39"/>
      <c r="V2262" s="39"/>
      <c r="W2262" s="39"/>
      <c r="X2262" s="49" t="s">
        <v>90</v>
      </c>
      <c r="Y2262" s="50">
        <v>625.1</v>
      </c>
      <c r="Z2262" s="51">
        <v>540</v>
      </c>
      <c r="AA2262" s="52">
        <f t="shared" si="61"/>
        <v>0.863861782114862</v>
      </c>
      <c r="AB2262" s="12">
        <v>540</v>
      </c>
      <c r="AC2262" s="12">
        <v>0</v>
      </c>
      <c r="AD2262" s="43"/>
      <c r="AE2262" s="43"/>
      <c r="AF2262" s="43"/>
      <c r="AG2262" s="43"/>
      <c r="AH2262" s="43"/>
      <c r="AI2262" s="43"/>
      <c r="AJ2262" s="43"/>
      <c r="AK2262" s="43"/>
      <c r="AL2262" s="43"/>
      <c r="AM2262" s="43"/>
      <c r="AN2262" s="43"/>
      <c r="AO2262" s="43"/>
      <c r="AP2262" s="43"/>
      <c r="AQ2262" s="43"/>
      <c r="AR2262" s="43"/>
      <c r="AS2262" s="43"/>
      <c r="AT2262" s="43"/>
      <c r="AU2262" s="43"/>
      <c r="AV2262" s="43"/>
    </row>
    <row r="2263" ht="15.75" spans="1:48">
      <c r="A2263" s="12">
        <v>2259</v>
      </c>
      <c r="B2263" s="44">
        <v>3277</v>
      </c>
      <c r="C2263" s="45" t="s">
        <v>106</v>
      </c>
      <c r="D2263" s="46">
        <v>15</v>
      </c>
      <c r="E2263" s="47" t="s">
        <v>113</v>
      </c>
      <c r="F2263" s="48">
        <v>2.5</v>
      </c>
      <c r="G2263" s="38">
        <v>1.33</v>
      </c>
      <c r="H2263" s="39"/>
      <c r="I2263" s="39"/>
      <c r="J2263" s="39"/>
      <c r="K2263" s="39"/>
      <c r="L2263" s="39"/>
      <c r="M2263" s="39"/>
      <c r="N2263" s="39"/>
      <c r="O2263" s="39"/>
      <c r="P2263" s="39"/>
      <c r="Q2263" s="39">
        <v>1.33</v>
      </c>
      <c r="R2263" s="39"/>
      <c r="S2263" s="39"/>
      <c r="T2263" s="39"/>
      <c r="U2263" s="39"/>
      <c r="V2263" s="39"/>
      <c r="W2263" s="39"/>
      <c r="X2263" s="49">
        <v>3880</v>
      </c>
      <c r="Y2263" s="50">
        <v>1000</v>
      </c>
      <c r="Z2263" s="51">
        <v>945</v>
      </c>
      <c r="AA2263" s="52">
        <f t="shared" si="61"/>
        <v>0.945</v>
      </c>
      <c r="AB2263" s="12">
        <v>945</v>
      </c>
      <c r="AC2263" s="12">
        <v>0</v>
      </c>
      <c r="AD2263" s="43"/>
      <c r="AE2263" s="43"/>
      <c r="AF2263" s="43"/>
      <c r="AG2263" s="43"/>
      <c r="AH2263" s="43"/>
      <c r="AI2263" s="43"/>
      <c r="AJ2263" s="43"/>
      <c r="AK2263" s="43"/>
      <c r="AL2263" s="43"/>
      <c r="AM2263" s="43"/>
      <c r="AN2263" s="43"/>
      <c r="AO2263" s="43"/>
      <c r="AP2263" s="43"/>
      <c r="AQ2263" s="43"/>
      <c r="AR2263" s="43"/>
      <c r="AS2263" s="43"/>
      <c r="AT2263" s="43"/>
      <c r="AU2263" s="43"/>
      <c r="AV2263" s="43"/>
    </row>
    <row r="2264" ht="15.75" spans="1:48">
      <c r="A2264" s="12">
        <v>2260</v>
      </c>
      <c r="B2264" s="44">
        <v>3277</v>
      </c>
      <c r="C2264" s="45" t="s">
        <v>106</v>
      </c>
      <c r="D2264" s="46"/>
      <c r="E2264" s="47" t="s">
        <v>113</v>
      </c>
      <c r="F2264" s="48">
        <v>7</v>
      </c>
      <c r="G2264" s="38">
        <v>0</v>
      </c>
      <c r="H2264" s="39"/>
      <c r="I2264" s="39"/>
      <c r="J2264" s="39"/>
      <c r="K2264" s="39"/>
      <c r="L2264" s="39"/>
      <c r="M2264" s="39"/>
      <c r="N2264" s="39"/>
      <c r="O2264" s="39"/>
      <c r="P2264" s="39"/>
      <c r="Q2264" s="39"/>
      <c r="R2264" s="39"/>
      <c r="S2264" s="39"/>
      <c r="T2264" s="39"/>
      <c r="U2264" s="39"/>
      <c r="V2264" s="39"/>
      <c r="W2264" s="39"/>
      <c r="X2264" s="49" t="s">
        <v>438</v>
      </c>
      <c r="Y2264" s="50">
        <v>0</v>
      </c>
      <c r="Z2264" s="51"/>
      <c r="AA2264" s="52">
        <f t="shared" si="61"/>
        <v>0</v>
      </c>
      <c r="AB2264" s="12">
        <v>0</v>
      </c>
      <c r="AC2264" s="12">
        <v>0</v>
      </c>
      <c r="AD2264" s="43"/>
      <c r="AE2264" s="43"/>
      <c r="AF2264" s="43"/>
      <c r="AG2264" s="43"/>
      <c r="AH2264" s="43"/>
      <c r="AI2264" s="43"/>
      <c r="AJ2264" s="43"/>
      <c r="AK2264" s="43"/>
      <c r="AL2264" s="43"/>
      <c r="AM2264" s="43"/>
      <c r="AN2264" s="43"/>
      <c r="AO2264" s="43"/>
      <c r="AP2264" s="43"/>
      <c r="AQ2264" s="43"/>
      <c r="AR2264" s="43"/>
      <c r="AS2264" s="43"/>
      <c r="AT2264" s="43"/>
      <c r="AU2264" s="43"/>
      <c r="AV2264" s="43"/>
    </row>
    <row r="2265" ht="15.75" spans="1:48">
      <c r="A2265" s="12">
        <v>2261</v>
      </c>
      <c r="B2265" s="44">
        <v>3277</v>
      </c>
      <c r="C2265" s="45" t="s">
        <v>106</v>
      </c>
      <c r="D2265" s="46"/>
      <c r="E2265" s="47" t="s">
        <v>113</v>
      </c>
      <c r="F2265" s="48">
        <v>1.17</v>
      </c>
      <c r="G2265" s="38">
        <v>0</v>
      </c>
      <c r="H2265" s="39"/>
      <c r="I2265" s="39"/>
      <c r="J2265" s="39"/>
      <c r="K2265" s="39"/>
      <c r="L2265" s="39"/>
      <c r="M2265" s="39"/>
      <c r="N2265" s="39"/>
      <c r="O2265" s="39"/>
      <c r="P2265" s="39"/>
      <c r="Q2265" s="39"/>
      <c r="R2265" s="39"/>
      <c r="S2265" s="39"/>
      <c r="T2265" s="39"/>
      <c r="U2265" s="39"/>
      <c r="V2265" s="39"/>
      <c r="W2265" s="39"/>
      <c r="X2265" s="49" t="s">
        <v>103</v>
      </c>
      <c r="Y2265" s="50">
        <v>982.8</v>
      </c>
      <c r="Z2265" s="51">
        <v>945</v>
      </c>
      <c r="AA2265" s="52">
        <f t="shared" ref="AA2265:AA2296" si="62">IFERROR(Z2265/Y2265,0)</f>
        <v>0.961538461538462</v>
      </c>
      <c r="AB2265" s="12">
        <v>945</v>
      </c>
      <c r="AC2265" s="12">
        <v>0</v>
      </c>
      <c r="AD2265" s="43"/>
      <c r="AE2265" s="43"/>
      <c r="AF2265" s="43"/>
      <c r="AG2265" s="43"/>
      <c r="AH2265" s="43"/>
      <c r="AI2265" s="43"/>
      <c r="AJ2265" s="43"/>
      <c r="AK2265" s="43"/>
      <c r="AL2265" s="43"/>
      <c r="AM2265" s="43"/>
      <c r="AN2265" s="43"/>
      <c r="AO2265" s="43"/>
      <c r="AP2265" s="43"/>
      <c r="AQ2265" s="43"/>
      <c r="AR2265" s="43"/>
      <c r="AS2265" s="43"/>
      <c r="AT2265" s="43"/>
      <c r="AU2265" s="43"/>
      <c r="AV2265" s="43"/>
    </row>
    <row r="2266" ht="15.75" spans="1:48">
      <c r="A2266" s="12">
        <v>2262</v>
      </c>
      <c r="B2266" s="44" t="s">
        <v>185</v>
      </c>
      <c r="C2266" s="45" t="s">
        <v>179</v>
      </c>
      <c r="D2266" s="46">
        <v>7</v>
      </c>
      <c r="E2266" s="47" t="s">
        <v>113</v>
      </c>
      <c r="F2266" s="48">
        <v>5.33</v>
      </c>
      <c r="G2266" s="38">
        <v>1.5</v>
      </c>
      <c r="H2266" s="39"/>
      <c r="I2266" s="39"/>
      <c r="J2266" s="39"/>
      <c r="K2266" s="39"/>
      <c r="L2266" s="39"/>
      <c r="M2266" s="39"/>
      <c r="N2266" s="39"/>
      <c r="O2266" s="39"/>
      <c r="P2266" s="39"/>
      <c r="Q2266" s="39">
        <v>1.33</v>
      </c>
      <c r="R2266" s="39"/>
      <c r="S2266" s="39"/>
      <c r="T2266" s="39"/>
      <c r="U2266" s="39">
        <v>0.17</v>
      </c>
      <c r="V2266" s="39"/>
      <c r="W2266" s="39"/>
      <c r="X2266" s="49" t="s">
        <v>95</v>
      </c>
      <c r="Y2266" s="50">
        <v>7462</v>
      </c>
      <c r="Z2266" s="51">
        <v>7154</v>
      </c>
      <c r="AA2266" s="52">
        <f t="shared" si="62"/>
        <v>0.958724202626642</v>
      </c>
      <c r="AB2266" s="12">
        <v>7154</v>
      </c>
      <c r="AC2266" s="12">
        <v>0</v>
      </c>
      <c r="AD2266" s="43"/>
      <c r="AE2266" s="43"/>
      <c r="AF2266" s="43"/>
      <c r="AG2266" s="43"/>
      <c r="AH2266" s="43"/>
      <c r="AI2266" s="43"/>
      <c r="AJ2266" s="43"/>
      <c r="AK2266" s="43"/>
      <c r="AL2266" s="43"/>
      <c r="AM2266" s="43"/>
      <c r="AN2266" s="43"/>
      <c r="AO2266" s="43"/>
      <c r="AP2266" s="43"/>
      <c r="AQ2266" s="43"/>
      <c r="AR2266" s="43"/>
      <c r="AS2266" s="43"/>
      <c r="AT2266" s="43"/>
      <c r="AU2266" s="43"/>
      <c r="AV2266" s="43"/>
    </row>
    <row r="2267" ht="15.75" spans="1:48">
      <c r="A2267" s="12">
        <v>2263</v>
      </c>
      <c r="B2267" s="44" t="s">
        <v>185</v>
      </c>
      <c r="C2267" s="45" t="s">
        <v>179</v>
      </c>
      <c r="D2267" s="46">
        <v>21</v>
      </c>
      <c r="E2267" s="47" t="s">
        <v>113</v>
      </c>
      <c r="F2267" s="48">
        <v>5</v>
      </c>
      <c r="G2267" s="38">
        <v>0.17</v>
      </c>
      <c r="H2267" s="39"/>
      <c r="I2267" s="39"/>
      <c r="J2267" s="39"/>
      <c r="K2267" s="39"/>
      <c r="L2267" s="39"/>
      <c r="M2267" s="39"/>
      <c r="N2267" s="39"/>
      <c r="O2267" s="39"/>
      <c r="P2267" s="39"/>
      <c r="Q2267" s="39"/>
      <c r="R2267" s="39"/>
      <c r="S2267" s="39"/>
      <c r="T2267" s="39"/>
      <c r="U2267" s="39">
        <v>0.17</v>
      </c>
      <c r="V2267" s="39"/>
      <c r="W2267" s="39"/>
      <c r="X2267" s="49" t="s">
        <v>96</v>
      </c>
      <c r="Y2267" s="50">
        <v>7250</v>
      </c>
      <c r="Z2267" s="51">
        <v>7000</v>
      </c>
      <c r="AA2267" s="52">
        <f t="shared" si="62"/>
        <v>0.96551724137931</v>
      </c>
      <c r="AB2267" s="12">
        <v>7000</v>
      </c>
      <c r="AC2267" s="12">
        <v>0</v>
      </c>
      <c r="AD2267" s="43"/>
      <c r="AE2267" s="43"/>
      <c r="AF2267" s="43"/>
      <c r="AG2267" s="43"/>
      <c r="AH2267" s="43"/>
      <c r="AI2267" s="43"/>
      <c r="AJ2267" s="43"/>
      <c r="AK2267" s="43"/>
      <c r="AL2267" s="43"/>
      <c r="AM2267" s="43"/>
      <c r="AN2267" s="43"/>
      <c r="AO2267" s="43"/>
      <c r="AP2267" s="43"/>
      <c r="AQ2267" s="43"/>
      <c r="AR2267" s="43"/>
      <c r="AS2267" s="43"/>
      <c r="AT2267" s="43"/>
      <c r="AU2267" s="43"/>
      <c r="AV2267" s="43"/>
    </row>
    <row r="2268" ht="15.75" spans="1:48">
      <c r="A2268" s="12">
        <v>2264</v>
      </c>
      <c r="B2268" s="44">
        <v>4173</v>
      </c>
      <c r="C2268" s="45" t="s">
        <v>75</v>
      </c>
      <c r="D2268" s="46"/>
      <c r="E2268" s="47" t="s">
        <v>113</v>
      </c>
      <c r="F2268" s="48">
        <v>7</v>
      </c>
      <c r="G2268" s="38">
        <v>1.33</v>
      </c>
      <c r="H2268" s="39"/>
      <c r="I2268" s="39"/>
      <c r="J2268" s="39"/>
      <c r="K2268" s="39"/>
      <c r="L2268" s="39"/>
      <c r="M2268" s="39"/>
      <c r="N2268" s="39"/>
      <c r="O2268" s="39"/>
      <c r="P2268" s="39"/>
      <c r="Q2268" s="39">
        <v>1.33</v>
      </c>
      <c r="R2268" s="39"/>
      <c r="S2268" s="39"/>
      <c r="T2268" s="39"/>
      <c r="U2268" s="39"/>
      <c r="V2268" s="39"/>
      <c r="W2268" s="39"/>
      <c r="X2268" s="49" t="s">
        <v>90</v>
      </c>
      <c r="Y2268" s="50">
        <v>3290</v>
      </c>
      <c r="Z2268" s="51">
        <v>3060</v>
      </c>
      <c r="AA2268" s="52">
        <f t="shared" si="62"/>
        <v>0.930091185410334</v>
      </c>
      <c r="AB2268" s="12">
        <v>3060</v>
      </c>
      <c r="AC2268" s="12">
        <v>0</v>
      </c>
      <c r="AD2268" s="43"/>
      <c r="AE2268" s="43"/>
      <c r="AF2268" s="43"/>
      <c r="AG2268" s="43"/>
      <c r="AH2268" s="43"/>
      <c r="AI2268" s="43"/>
      <c r="AJ2268" s="43"/>
      <c r="AK2268" s="43"/>
      <c r="AL2268" s="43"/>
      <c r="AM2268" s="43"/>
      <c r="AN2268" s="43"/>
      <c r="AO2268" s="43"/>
      <c r="AP2268" s="43"/>
      <c r="AQ2268" s="43"/>
      <c r="AR2268" s="43"/>
      <c r="AS2268" s="43"/>
      <c r="AT2268" s="43"/>
      <c r="AU2268" s="43"/>
      <c r="AV2268" s="43"/>
    </row>
    <row r="2269" ht="15.75" spans="1:48">
      <c r="A2269" s="12">
        <v>2265</v>
      </c>
      <c r="B2269" s="44">
        <v>4173</v>
      </c>
      <c r="C2269" s="45" t="s">
        <v>75</v>
      </c>
      <c r="D2269" s="46"/>
      <c r="E2269" s="47" t="s">
        <v>113</v>
      </c>
      <c r="F2269" s="48">
        <v>3.67</v>
      </c>
      <c r="G2269" s="38">
        <v>0</v>
      </c>
      <c r="H2269" s="39"/>
      <c r="I2269" s="39"/>
      <c r="J2269" s="39"/>
      <c r="K2269" s="39"/>
      <c r="L2269" s="39"/>
      <c r="M2269" s="39"/>
      <c r="N2269" s="39"/>
      <c r="O2269" s="39"/>
      <c r="P2269" s="39"/>
      <c r="Q2269" s="39"/>
      <c r="R2269" s="39"/>
      <c r="S2269" s="39"/>
      <c r="T2269" s="39"/>
      <c r="U2269" s="39"/>
      <c r="V2269" s="39"/>
      <c r="W2269" s="39"/>
      <c r="X2269" s="49" t="s">
        <v>104</v>
      </c>
      <c r="Y2269" s="50">
        <v>55050</v>
      </c>
      <c r="Z2269" s="51">
        <v>60000</v>
      </c>
      <c r="AA2269" s="52">
        <f t="shared" si="62"/>
        <v>1.08991825613079</v>
      </c>
      <c r="AB2269" s="12">
        <v>60000</v>
      </c>
      <c r="AC2269" s="12">
        <v>0</v>
      </c>
      <c r="AD2269" s="43"/>
      <c r="AE2269" s="43"/>
      <c r="AF2269" s="43"/>
      <c r="AG2269" s="43"/>
      <c r="AH2269" s="43"/>
      <c r="AI2269" s="43"/>
      <c r="AJ2269" s="43"/>
      <c r="AK2269" s="43"/>
      <c r="AL2269" s="43"/>
      <c r="AM2269" s="43"/>
      <c r="AN2269" s="43"/>
      <c r="AO2269" s="43"/>
      <c r="AP2269" s="43"/>
      <c r="AQ2269" s="43"/>
      <c r="AR2269" s="43"/>
      <c r="AS2269" s="43"/>
      <c r="AT2269" s="43"/>
      <c r="AU2269" s="43"/>
      <c r="AV2269" s="43"/>
    </row>
    <row r="2270" ht="15.75" spans="1:48">
      <c r="A2270" s="12">
        <v>2266</v>
      </c>
      <c r="B2270" s="44">
        <v>850</v>
      </c>
      <c r="C2270" s="45" t="s">
        <v>109</v>
      </c>
      <c r="D2270" s="46"/>
      <c r="E2270" s="47" t="s">
        <v>113</v>
      </c>
      <c r="F2270" s="48">
        <v>10.67</v>
      </c>
      <c r="G2270" s="38">
        <v>1.33</v>
      </c>
      <c r="H2270" s="39"/>
      <c r="I2270" s="39"/>
      <c r="J2270" s="39"/>
      <c r="K2270" s="39"/>
      <c r="L2270" s="39"/>
      <c r="M2270" s="39"/>
      <c r="N2270" s="39"/>
      <c r="O2270" s="39"/>
      <c r="P2270" s="39"/>
      <c r="Q2270" s="39">
        <v>1.33</v>
      </c>
      <c r="R2270" s="39"/>
      <c r="S2270" s="39"/>
      <c r="T2270" s="39"/>
      <c r="U2270" s="39"/>
      <c r="V2270" s="39"/>
      <c r="W2270" s="39"/>
      <c r="X2270" s="49" t="s">
        <v>103</v>
      </c>
      <c r="Y2270" s="50">
        <v>8066.52</v>
      </c>
      <c r="Z2270" s="51">
        <v>5992</v>
      </c>
      <c r="AA2270" s="52">
        <f t="shared" si="62"/>
        <v>0.742823423235794</v>
      </c>
      <c r="AB2270" s="12">
        <v>5992</v>
      </c>
      <c r="AC2270" s="12">
        <v>0</v>
      </c>
      <c r="AD2270" s="43"/>
      <c r="AE2270" s="43"/>
      <c r="AF2270" s="43"/>
      <c r="AG2270" s="43"/>
      <c r="AH2270" s="43"/>
      <c r="AI2270" s="43"/>
      <c r="AJ2270" s="43"/>
      <c r="AK2270" s="43"/>
      <c r="AL2270" s="43"/>
      <c r="AM2270" s="43"/>
      <c r="AN2270" s="43"/>
      <c r="AO2270" s="43"/>
      <c r="AP2270" s="43"/>
      <c r="AQ2270" s="43"/>
      <c r="AR2270" s="43"/>
      <c r="AS2270" s="43"/>
      <c r="AT2270" s="43"/>
      <c r="AU2270" s="43"/>
      <c r="AV2270" s="43"/>
    </row>
    <row r="2271" ht="15.75" spans="1:48">
      <c r="A2271" s="12">
        <v>2267</v>
      </c>
      <c r="B2271" s="44">
        <v>4382</v>
      </c>
      <c r="C2271" s="45" t="s">
        <v>173</v>
      </c>
      <c r="D2271" s="46"/>
      <c r="E2271" s="47" t="s">
        <v>113</v>
      </c>
      <c r="F2271" s="48">
        <v>1.67</v>
      </c>
      <c r="G2271" s="38">
        <v>0</v>
      </c>
      <c r="H2271" s="39"/>
      <c r="I2271" s="39"/>
      <c r="J2271" s="39"/>
      <c r="K2271" s="39"/>
      <c r="L2271" s="39"/>
      <c r="M2271" s="39"/>
      <c r="N2271" s="39"/>
      <c r="O2271" s="39"/>
      <c r="P2271" s="39"/>
      <c r="Q2271" s="39"/>
      <c r="R2271" s="39"/>
      <c r="S2271" s="39"/>
      <c r="T2271" s="39"/>
      <c r="U2271" s="39"/>
      <c r="V2271" s="39"/>
      <c r="W2271" s="39"/>
      <c r="X2271" s="49" t="s">
        <v>105</v>
      </c>
      <c r="Y2271" s="50">
        <v>1102.2</v>
      </c>
      <c r="Z2271" s="51">
        <v>1200</v>
      </c>
      <c r="AA2271" s="52">
        <f t="shared" si="62"/>
        <v>1.08873162765378</v>
      </c>
      <c r="AB2271" s="12">
        <v>1200</v>
      </c>
      <c r="AC2271" s="12">
        <v>0</v>
      </c>
      <c r="AD2271" s="43"/>
      <c r="AE2271" s="43"/>
      <c r="AF2271" s="43"/>
      <c r="AG2271" s="43"/>
      <c r="AH2271" s="43"/>
      <c r="AI2271" s="43"/>
      <c r="AJ2271" s="43"/>
      <c r="AK2271" s="43"/>
      <c r="AL2271" s="43"/>
      <c r="AM2271" s="43"/>
      <c r="AN2271" s="43"/>
      <c r="AO2271" s="43"/>
      <c r="AP2271" s="43"/>
      <c r="AQ2271" s="43"/>
      <c r="AR2271" s="43"/>
      <c r="AS2271" s="43"/>
      <c r="AT2271" s="43"/>
      <c r="AU2271" s="43"/>
      <c r="AV2271" s="43"/>
    </row>
    <row r="2272" ht="15.75" spans="1:48">
      <c r="A2272" s="12">
        <v>2268</v>
      </c>
      <c r="B2272" s="44">
        <v>849</v>
      </c>
      <c r="C2272" s="45" t="s">
        <v>108</v>
      </c>
      <c r="D2272" s="46"/>
      <c r="E2272" s="47" t="s">
        <v>113</v>
      </c>
      <c r="F2272" s="48">
        <v>3.67</v>
      </c>
      <c r="G2272" s="38">
        <v>0</v>
      </c>
      <c r="H2272" s="39"/>
      <c r="I2272" s="39"/>
      <c r="J2272" s="39"/>
      <c r="K2272" s="39"/>
      <c r="L2272" s="39"/>
      <c r="M2272" s="39"/>
      <c r="N2272" s="39"/>
      <c r="O2272" s="39"/>
      <c r="P2272" s="39"/>
      <c r="Q2272" s="39"/>
      <c r="R2272" s="39"/>
      <c r="S2272" s="39"/>
      <c r="T2272" s="39"/>
      <c r="U2272" s="39"/>
      <c r="V2272" s="39"/>
      <c r="W2272" s="39"/>
      <c r="X2272" s="49" t="s">
        <v>103</v>
      </c>
      <c r="Y2272" s="50">
        <v>2466.24</v>
      </c>
      <c r="Z2272" s="51">
        <v>2400</v>
      </c>
      <c r="AA2272" s="52">
        <f t="shared" si="62"/>
        <v>0.973141300116777</v>
      </c>
      <c r="AB2272" s="12">
        <v>2400</v>
      </c>
      <c r="AC2272" s="12">
        <v>0</v>
      </c>
      <c r="AD2272" s="43"/>
      <c r="AE2272" s="43"/>
      <c r="AF2272" s="43"/>
      <c r="AG2272" s="43"/>
      <c r="AH2272" s="43"/>
      <c r="AI2272" s="43"/>
      <c r="AJ2272" s="43"/>
      <c r="AK2272" s="43"/>
      <c r="AL2272" s="43"/>
      <c r="AM2272" s="43"/>
      <c r="AN2272" s="43"/>
      <c r="AO2272" s="43"/>
      <c r="AP2272" s="43"/>
      <c r="AQ2272" s="43"/>
      <c r="AR2272" s="43"/>
      <c r="AS2272" s="43"/>
      <c r="AT2272" s="43"/>
      <c r="AU2272" s="43"/>
      <c r="AV2272" s="43"/>
    </row>
    <row r="2273" ht="15.75" spans="1:48">
      <c r="A2273" s="12">
        <v>2269</v>
      </c>
      <c r="B2273" s="44" t="s">
        <v>275</v>
      </c>
      <c r="C2273" s="45" t="s">
        <v>253</v>
      </c>
      <c r="D2273" s="46"/>
      <c r="E2273" s="47" t="s">
        <v>113</v>
      </c>
      <c r="F2273" s="48">
        <v>4</v>
      </c>
      <c r="G2273" s="38">
        <v>0</v>
      </c>
      <c r="H2273" s="39"/>
      <c r="I2273" s="39"/>
      <c r="J2273" s="39"/>
      <c r="K2273" s="39"/>
      <c r="L2273" s="39"/>
      <c r="M2273" s="39"/>
      <c r="N2273" s="39"/>
      <c r="O2273" s="39"/>
      <c r="P2273" s="39"/>
      <c r="Q2273" s="39"/>
      <c r="R2273" s="39"/>
      <c r="S2273" s="39"/>
      <c r="T2273" s="39"/>
      <c r="U2273" s="39"/>
      <c r="V2273" s="39"/>
      <c r="W2273" s="39"/>
      <c r="X2273" s="49" t="s">
        <v>105</v>
      </c>
      <c r="Y2273" s="50">
        <v>2376</v>
      </c>
      <c r="Z2273" s="51">
        <v>2700</v>
      </c>
      <c r="AA2273" s="52">
        <f t="shared" si="62"/>
        <v>1.13636363636364</v>
      </c>
      <c r="AB2273" s="12">
        <v>2700</v>
      </c>
      <c r="AC2273" s="12">
        <v>0</v>
      </c>
      <c r="AD2273" s="43"/>
      <c r="AE2273" s="43"/>
      <c r="AF2273" s="43"/>
      <c r="AG2273" s="43"/>
      <c r="AH2273" s="43"/>
      <c r="AI2273" s="43"/>
      <c r="AJ2273" s="43"/>
      <c r="AK2273" s="43"/>
      <c r="AL2273" s="43"/>
      <c r="AM2273" s="43"/>
      <c r="AN2273" s="43"/>
      <c r="AO2273" s="43"/>
      <c r="AP2273" s="43"/>
      <c r="AQ2273" s="43"/>
      <c r="AR2273" s="43"/>
      <c r="AS2273" s="43"/>
      <c r="AT2273" s="43"/>
      <c r="AU2273" s="43"/>
      <c r="AV2273" s="43"/>
    </row>
    <row r="2274" ht="15.75" spans="1:48">
      <c r="A2274" s="12">
        <v>2270</v>
      </c>
      <c r="B2274" s="44">
        <v>761</v>
      </c>
      <c r="C2274" s="45" t="s">
        <v>89</v>
      </c>
      <c r="D2274" s="46"/>
      <c r="E2274" s="47" t="s">
        <v>113</v>
      </c>
      <c r="F2274" s="48">
        <v>4.5</v>
      </c>
      <c r="G2274" s="38">
        <v>1.5</v>
      </c>
      <c r="H2274" s="39"/>
      <c r="I2274" s="39"/>
      <c r="J2274" s="39"/>
      <c r="K2274" s="39"/>
      <c r="L2274" s="39"/>
      <c r="M2274" s="39"/>
      <c r="N2274" s="39"/>
      <c r="O2274" s="39"/>
      <c r="P2274" s="39"/>
      <c r="Q2274" s="39">
        <v>1.33</v>
      </c>
      <c r="R2274" s="39"/>
      <c r="S2274" s="39"/>
      <c r="T2274" s="39"/>
      <c r="U2274" s="39">
        <v>0.17</v>
      </c>
      <c r="V2274" s="39"/>
      <c r="W2274" s="39"/>
      <c r="X2274" s="49" t="s">
        <v>229</v>
      </c>
      <c r="Y2274" s="50">
        <v>16740</v>
      </c>
      <c r="Z2274" s="51">
        <v>14850</v>
      </c>
      <c r="AA2274" s="52">
        <f t="shared" si="62"/>
        <v>0.887096774193548</v>
      </c>
      <c r="AB2274" s="12">
        <v>14850</v>
      </c>
      <c r="AC2274" s="12">
        <v>0</v>
      </c>
      <c r="AD2274" s="43"/>
      <c r="AE2274" s="43"/>
      <c r="AF2274" s="43"/>
      <c r="AG2274" s="43"/>
      <c r="AH2274" s="43"/>
      <c r="AI2274" s="43"/>
      <c r="AJ2274" s="43"/>
      <c r="AK2274" s="43"/>
      <c r="AL2274" s="43"/>
      <c r="AM2274" s="43"/>
      <c r="AN2274" s="43"/>
      <c r="AO2274" s="43"/>
      <c r="AP2274" s="43"/>
      <c r="AQ2274" s="43"/>
      <c r="AR2274" s="43"/>
      <c r="AS2274" s="43"/>
      <c r="AT2274" s="43"/>
      <c r="AU2274" s="43"/>
      <c r="AV2274" s="43"/>
    </row>
    <row r="2275" ht="15.75" spans="1:48">
      <c r="A2275" s="12">
        <v>2271</v>
      </c>
      <c r="B2275" s="44">
        <v>761</v>
      </c>
      <c r="C2275" s="45" t="s">
        <v>89</v>
      </c>
      <c r="D2275" s="46"/>
      <c r="E2275" s="47" t="s">
        <v>113</v>
      </c>
      <c r="F2275" s="48">
        <v>3</v>
      </c>
      <c r="G2275" s="38">
        <v>0</v>
      </c>
      <c r="H2275" s="39"/>
      <c r="I2275" s="39"/>
      <c r="J2275" s="39"/>
      <c r="K2275" s="39"/>
      <c r="L2275" s="39"/>
      <c r="M2275" s="39"/>
      <c r="N2275" s="39"/>
      <c r="O2275" s="39"/>
      <c r="P2275" s="39"/>
      <c r="Q2275" s="39"/>
      <c r="R2275" s="39"/>
      <c r="S2275" s="39"/>
      <c r="T2275" s="39"/>
      <c r="U2275" s="39"/>
      <c r="V2275" s="39"/>
      <c r="W2275" s="39"/>
      <c r="X2275" s="49" t="s">
        <v>100</v>
      </c>
      <c r="Y2275" s="50">
        <v>5760</v>
      </c>
      <c r="Z2275" s="51">
        <v>5220</v>
      </c>
      <c r="AA2275" s="52">
        <f t="shared" si="62"/>
        <v>0.90625</v>
      </c>
      <c r="AB2275" s="12">
        <v>5220</v>
      </c>
      <c r="AC2275" s="12">
        <v>0</v>
      </c>
      <c r="AD2275" s="43"/>
      <c r="AE2275" s="43"/>
      <c r="AF2275" s="43"/>
      <c r="AG2275" s="43"/>
      <c r="AH2275" s="43"/>
      <c r="AI2275" s="43"/>
      <c r="AJ2275" s="43"/>
      <c r="AK2275" s="43"/>
      <c r="AL2275" s="43"/>
      <c r="AM2275" s="43"/>
      <c r="AN2275" s="43"/>
      <c r="AO2275" s="43"/>
      <c r="AP2275" s="43"/>
      <c r="AQ2275" s="43"/>
      <c r="AR2275" s="43"/>
      <c r="AS2275" s="43"/>
      <c r="AT2275" s="43"/>
      <c r="AU2275" s="43"/>
      <c r="AV2275" s="43"/>
    </row>
    <row r="2276" ht="15.75" spans="1:48">
      <c r="A2276" s="12">
        <v>2272</v>
      </c>
      <c r="B2276" s="44">
        <v>761</v>
      </c>
      <c r="C2276" s="45" t="s">
        <v>89</v>
      </c>
      <c r="D2276" s="46"/>
      <c r="E2276" s="47" t="s">
        <v>113</v>
      </c>
      <c r="F2276" s="48">
        <v>2.33</v>
      </c>
      <c r="G2276" s="38">
        <v>0</v>
      </c>
      <c r="H2276" s="39"/>
      <c r="I2276" s="39"/>
      <c r="J2276" s="39"/>
      <c r="K2276" s="39"/>
      <c r="L2276" s="39"/>
      <c r="M2276" s="39"/>
      <c r="N2276" s="39"/>
      <c r="O2276" s="39"/>
      <c r="P2276" s="39"/>
      <c r="Q2276" s="39"/>
      <c r="R2276" s="39"/>
      <c r="S2276" s="39"/>
      <c r="T2276" s="39"/>
      <c r="U2276" s="39"/>
      <c r="V2276" s="39"/>
      <c r="W2276" s="39"/>
      <c r="X2276" s="49" t="s">
        <v>152</v>
      </c>
      <c r="Y2276" s="50">
        <v>10135.5</v>
      </c>
      <c r="Z2276" s="51">
        <v>8400</v>
      </c>
      <c r="AA2276" s="52">
        <f t="shared" si="62"/>
        <v>0.828770164274086</v>
      </c>
      <c r="AB2276" s="12">
        <v>8400</v>
      </c>
      <c r="AC2276" s="12">
        <v>0</v>
      </c>
      <c r="AD2276" s="43"/>
      <c r="AE2276" s="43"/>
      <c r="AF2276" s="43"/>
      <c r="AG2276" s="43"/>
      <c r="AH2276" s="43"/>
      <c r="AI2276" s="43"/>
      <c r="AJ2276" s="43"/>
      <c r="AK2276" s="43"/>
      <c r="AL2276" s="43"/>
      <c r="AM2276" s="43"/>
      <c r="AN2276" s="43"/>
      <c r="AO2276" s="43"/>
      <c r="AP2276" s="43"/>
      <c r="AQ2276" s="43"/>
      <c r="AR2276" s="43"/>
      <c r="AS2276" s="43"/>
      <c r="AT2276" s="43"/>
      <c r="AU2276" s="43"/>
      <c r="AV2276" s="43"/>
    </row>
    <row r="2277" ht="15.75" spans="1:48">
      <c r="A2277" s="12">
        <v>2273</v>
      </c>
      <c r="B2277" s="44">
        <v>761</v>
      </c>
      <c r="C2277" s="45" t="s">
        <v>89</v>
      </c>
      <c r="D2277" s="46"/>
      <c r="E2277" s="47" t="s">
        <v>113</v>
      </c>
      <c r="F2277" s="48">
        <v>0.67</v>
      </c>
      <c r="G2277" s="38">
        <v>0</v>
      </c>
      <c r="H2277" s="39"/>
      <c r="I2277" s="39"/>
      <c r="J2277" s="39"/>
      <c r="K2277" s="39"/>
      <c r="L2277" s="39"/>
      <c r="M2277" s="39"/>
      <c r="N2277" s="39"/>
      <c r="O2277" s="39"/>
      <c r="P2277" s="39"/>
      <c r="Q2277" s="39"/>
      <c r="R2277" s="39"/>
      <c r="S2277" s="39"/>
      <c r="T2277" s="39"/>
      <c r="U2277" s="39"/>
      <c r="V2277" s="39"/>
      <c r="W2277" s="39"/>
      <c r="X2277" s="49" t="s">
        <v>102</v>
      </c>
      <c r="Y2277" s="50">
        <v>3015</v>
      </c>
      <c r="Z2277" s="51">
        <v>3000</v>
      </c>
      <c r="AA2277" s="52">
        <f t="shared" si="62"/>
        <v>0.995024875621891</v>
      </c>
      <c r="AB2277" s="12">
        <v>3000</v>
      </c>
      <c r="AC2277" s="12">
        <v>0</v>
      </c>
      <c r="AD2277" s="43"/>
      <c r="AE2277" s="43"/>
      <c r="AF2277" s="43"/>
      <c r="AG2277" s="43"/>
      <c r="AH2277" s="43"/>
      <c r="AI2277" s="43"/>
      <c r="AJ2277" s="43"/>
      <c r="AK2277" s="43"/>
      <c r="AL2277" s="43"/>
      <c r="AM2277" s="43"/>
      <c r="AN2277" s="43"/>
      <c r="AO2277" s="43"/>
      <c r="AP2277" s="43"/>
      <c r="AQ2277" s="43"/>
      <c r="AR2277" s="43"/>
      <c r="AS2277" s="43"/>
      <c r="AT2277" s="43"/>
      <c r="AU2277" s="43"/>
      <c r="AV2277" s="43"/>
    </row>
    <row r="2278" ht="15.75" spans="1:48">
      <c r="A2278" s="12">
        <v>2274</v>
      </c>
      <c r="B2278" s="44">
        <v>676</v>
      </c>
      <c r="C2278" s="45" t="s">
        <v>171</v>
      </c>
      <c r="D2278" s="46"/>
      <c r="E2278" s="47" t="s">
        <v>113</v>
      </c>
      <c r="F2278" s="48">
        <v>1.33</v>
      </c>
      <c r="G2278" s="38">
        <v>1.33</v>
      </c>
      <c r="H2278" s="39"/>
      <c r="I2278" s="39"/>
      <c r="J2278" s="39"/>
      <c r="K2278" s="39"/>
      <c r="L2278" s="39"/>
      <c r="M2278" s="39"/>
      <c r="N2278" s="39"/>
      <c r="O2278" s="39"/>
      <c r="P2278" s="39"/>
      <c r="Q2278" s="39">
        <v>1.33</v>
      </c>
      <c r="R2278" s="39"/>
      <c r="S2278" s="39"/>
      <c r="T2278" s="39"/>
      <c r="U2278" s="39"/>
      <c r="V2278" s="39"/>
      <c r="W2278" s="39"/>
      <c r="X2278" s="49" t="s">
        <v>104</v>
      </c>
      <c r="Y2278" s="50">
        <v>19950</v>
      </c>
      <c r="Z2278" s="51">
        <v>20000</v>
      </c>
      <c r="AA2278" s="52">
        <f t="shared" si="62"/>
        <v>1.00250626566416</v>
      </c>
      <c r="AB2278" s="12">
        <v>20000</v>
      </c>
      <c r="AC2278" s="12">
        <v>0</v>
      </c>
      <c r="AD2278" s="43"/>
      <c r="AE2278" s="43"/>
      <c r="AF2278" s="43"/>
      <c r="AG2278" s="43"/>
      <c r="AH2278" s="43"/>
      <c r="AI2278" s="43"/>
      <c r="AJ2278" s="43"/>
      <c r="AK2278" s="43"/>
      <c r="AL2278" s="43"/>
      <c r="AM2278" s="43"/>
      <c r="AN2278" s="43"/>
      <c r="AO2278" s="43"/>
      <c r="AP2278" s="43"/>
      <c r="AQ2278" s="43"/>
      <c r="AR2278" s="43"/>
      <c r="AS2278" s="43"/>
      <c r="AT2278" s="43"/>
      <c r="AU2278" s="43"/>
      <c r="AV2278" s="43"/>
    </row>
    <row r="2279" ht="15.75" spans="1:48">
      <c r="A2279" s="12">
        <v>2275</v>
      </c>
      <c r="B2279" s="44">
        <v>676</v>
      </c>
      <c r="C2279" s="45" t="s">
        <v>171</v>
      </c>
      <c r="D2279" s="46"/>
      <c r="E2279" s="47" t="s">
        <v>113</v>
      </c>
      <c r="F2279" s="48">
        <v>5.5</v>
      </c>
      <c r="G2279" s="38">
        <v>0</v>
      </c>
      <c r="H2279" s="39"/>
      <c r="I2279" s="39"/>
      <c r="J2279" s="39"/>
      <c r="K2279" s="39"/>
      <c r="L2279" s="39"/>
      <c r="M2279" s="39"/>
      <c r="N2279" s="39"/>
      <c r="O2279" s="39"/>
      <c r="P2279" s="39"/>
      <c r="Q2279" s="39"/>
      <c r="R2279" s="39"/>
      <c r="S2279" s="39"/>
      <c r="T2279" s="39"/>
      <c r="U2279" s="39"/>
      <c r="V2279" s="39"/>
      <c r="W2279" s="39"/>
      <c r="X2279" s="49" t="s">
        <v>105</v>
      </c>
      <c r="Y2279" s="50">
        <v>2904</v>
      </c>
      <c r="Z2279" s="51">
        <v>2570</v>
      </c>
      <c r="AA2279" s="52">
        <f t="shared" si="62"/>
        <v>0.884986225895317</v>
      </c>
      <c r="AB2279" s="12">
        <v>2570</v>
      </c>
      <c r="AC2279" s="12">
        <v>0</v>
      </c>
      <c r="AD2279" s="43"/>
      <c r="AE2279" s="43"/>
      <c r="AF2279" s="43"/>
      <c r="AG2279" s="43"/>
      <c r="AH2279" s="43"/>
      <c r="AI2279" s="43"/>
      <c r="AJ2279" s="43"/>
      <c r="AK2279" s="43"/>
      <c r="AL2279" s="43"/>
      <c r="AM2279" s="43"/>
      <c r="AN2279" s="43"/>
      <c r="AO2279" s="43"/>
      <c r="AP2279" s="43"/>
      <c r="AQ2279" s="43"/>
      <c r="AR2279" s="43"/>
      <c r="AS2279" s="43"/>
      <c r="AT2279" s="43"/>
      <c r="AU2279" s="43"/>
      <c r="AV2279" s="43"/>
    </row>
    <row r="2280" ht="15.75" spans="1:48">
      <c r="A2280" s="12">
        <v>2276</v>
      </c>
      <c r="B2280" s="44">
        <v>676</v>
      </c>
      <c r="C2280" s="45" t="s">
        <v>171</v>
      </c>
      <c r="D2280" s="46"/>
      <c r="E2280" s="47" t="s">
        <v>113</v>
      </c>
      <c r="F2280" s="48">
        <v>0.17</v>
      </c>
      <c r="G2280" s="38">
        <v>0</v>
      </c>
      <c r="H2280" s="39"/>
      <c r="I2280" s="39"/>
      <c r="J2280" s="39"/>
      <c r="K2280" s="39"/>
      <c r="L2280" s="39"/>
      <c r="M2280" s="39"/>
      <c r="N2280" s="39"/>
      <c r="O2280" s="39"/>
      <c r="P2280" s="39"/>
      <c r="Q2280" s="39"/>
      <c r="R2280" s="39"/>
      <c r="S2280" s="39"/>
      <c r="T2280" s="39"/>
      <c r="U2280" s="39"/>
      <c r="V2280" s="39"/>
      <c r="W2280" s="39"/>
      <c r="X2280" s="49" t="s">
        <v>443</v>
      </c>
      <c r="Y2280" s="50">
        <v>289</v>
      </c>
      <c r="Z2280" s="51">
        <v>240</v>
      </c>
      <c r="AA2280" s="52">
        <f t="shared" si="62"/>
        <v>0.830449826989619</v>
      </c>
      <c r="AB2280" s="12">
        <v>240</v>
      </c>
      <c r="AC2280" s="12">
        <v>0</v>
      </c>
      <c r="AD2280" s="43"/>
      <c r="AE2280" s="43"/>
      <c r="AF2280" s="43"/>
      <c r="AG2280" s="43"/>
      <c r="AH2280" s="43"/>
      <c r="AI2280" s="43"/>
      <c r="AJ2280" s="43"/>
      <c r="AK2280" s="43"/>
      <c r="AL2280" s="43"/>
      <c r="AM2280" s="43"/>
      <c r="AN2280" s="43"/>
      <c r="AO2280" s="43"/>
      <c r="AP2280" s="43"/>
      <c r="AQ2280" s="43"/>
      <c r="AR2280" s="43"/>
      <c r="AS2280" s="43"/>
      <c r="AT2280" s="43"/>
      <c r="AU2280" s="43"/>
      <c r="AV2280" s="43"/>
    </row>
    <row r="2281" ht="15.75" spans="1:48">
      <c r="A2281" s="12">
        <v>2277</v>
      </c>
      <c r="B2281" s="44">
        <v>4490</v>
      </c>
      <c r="C2281" s="45" t="s">
        <v>91</v>
      </c>
      <c r="D2281" s="46"/>
      <c r="E2281" s="47" t="s">
        <v>113</v>
      </c>
      <c r="F2281" s="48">
        <v>3.67</v>
      </c>
      <c r="G2281" s="38">
        <v>0</v>
      </c>
      <c r="H2281" s="39"/>
      <c r="I2281" s="39"/>
      <c r="J2281" s="39"/>
      <c r="K2281" s="39"/>
      <c r="L2281" s="39"/>
      <c r="M2281" s="39"/>
      <c r="N2281" s="39"/>
      <c r="O2281" s="39"/>
      <c r="P2281" s="39"/>
      <c r="Q2281" s="39"/>
      <c r="R2281" s="39"/>
      <c r="S2281" s="39"/>
      <c r="T2281" s="39"/>
      <c r="U2281" s="39"/>
      <c r="V2281" s="39"/>
      <c r="W2281" s="39"/>
      <c r="X2281" s="49" t="s">
        <v>103</v>
      </c>
      <c r="Y2281" s="50">
        <v>3082.8</v>
      </c>
      <c r="Z2281" s="51">
        <v>3054</v>
      </c>
      <c r="AA2281" s="52">
        <f t="shared" si="62"/>
        <v>0.990657843518879</v>
      </c>
      <c r="AB2281" s="12">
        <v>3054</v>
      </c>
      <c r="AC2281" s="12">
        <v>0</v>
      </c>
      <c r="AD2281" s="43"/>
      <c r="AE2281" s="43"/>
      <c r="AF2281" s="43"/>
      <c r="AG2281" s="43"/>
      <c r="AH2281" s="43"/>
      <c r="AI2281" s="43"/>
      <c r="AJ2281" s="43"/>
      <c r="AK2281" s="43"/>
      <c r="AL2281" s="43"/>
      <c r="AM2281" s="43"/>
      <c r="AN2281" s="43"/>
      <c r="AO2281" s="43"/>
      <c r="AP2281" s="43"/>
      <c r="AQ2281" s="43"/>
      <c r="AR2281" s="43"/>
      <c r="AS2281" s="43"/>
      <c r="AT2281" s="43"/>
      <c r="AU2281" s="43"/>
      <c r="AV2281" s="43"/>
    </row>
    <row r="2282" ht="15.75" spans="1:48">
      <c r="A2282" s="12">
        <v>2278</v>
      </c>
      <c r="B2282" s="44">
        <v>4360</v>
      </c>
      <c r="C2282" s="45" t="s">
        <v>97</v>
      </c>
      <c r="D2282" s="46"/>
      <c r="E2282" s="47" t="s">
        <v>113</v>
      </c>
      <c r="F2282" s="48">
        <v>2.67</v>
      </c>
      <c r="G2282" s="38">
        <v>0</v>
      </c>
      <c r="H2282" s="39"/>
      <c r="I2282" s="39"/>
      <c r="J2282" s="39"/>
      <c r="K2282" s="39"/>
      <c r="L2282" s="39"/>
      <c r="M2282" s="39"/>
      <c r="N2282" s="39"/>
      <c r="O2282" s="39"/>
      <c r="P2282" s="39"/>
      <c r="Q2282" s="39"/>
      <c r="R2282" s="39"/>
      <c r="S2282" s="39"/>
      <c r="T2282" s="39"/>
      <c r="U2282" s="39"/>
      <c r="V2282" s="39"/>
      <c r="W2282" s="39"/>
      <c r="X2282" s="49" t="s">
        <v>186</v>
      </c>
      <c r="Y2282" s="50">
        <v>801</v>
      </c>
      <c r="Z2282" s="51">
        <v>831</v>
      </c>
      <c r="AA2282" s="52">
        <f t="shared" si="62"/>
        <v>1.0374531835206</v>
      </c>
      <c r="AB2282" s="12">
        <v>831</v>
      </c>
      <c r="AC2282" s="12">
        <v>0</v>
      </c>
      <c r="AD2282" s="43"/>
      <c r="AE2282" s="43"/>
      <c r="AF2282" s="43"/>
      <c r="AG2282" s="43"/>
      <c r="AH2282" s="43"/>
      <c r="AI2282" s="43"/>
      <c r="AJ2282" s="43"/>
      <c r="AK2282" s="43"/>
      <c r="AL2282" s="43"/>
      <c r="AM2282" s="43"/>
      <c r="AN2282" s="43"/>
      <c r="AO2282" s="43"/>
      <c r="AP2282" s="43"/>
      <c r="AQ2282" s="43"/>
      <c r="AR2282" s="43"/>
      <c r="AS2282" s="43"/>
      <c r="AT2282" s="43"/>
      <c r="AU2282" s="43"/>
      <c r="AV2282" s="43"/>
    </row>
    <row r="2283" ht="15.75" spans="1:48">
      <c r="A2283" s="12">
        <v>2279</v>
      </c>
      <c r="B2283" s="44">
        <v>669</v>
      </c>
      <c r="C2283" s="45" t="s">
        <v>94</v>
      </c>
      <c r="D2283" s="46"/>
      <c r="E2283" s="47" t="s">
        <v>113</v>
      </c>
      <c r="F2283" s="48">
        <v>1.33</v>
      </c>
      <c r="G2283" s="38">
        <v>0</v>
      </c>
      <c r="H2283" s="39"/>
      <c r="I2283" s="39"/>
      <c r="J2283" s="39"/>
      <c r="K2283" s="39"/>
      <c r="L2283" s="39"/>
      <c r="M2283" s="39"/>
      <c r="N2283" s="39"/>
      <c r="O2283" s="39"/>
      <c r="P2283" s="39"/>
      <c r="Q2283" s="39"/>
      <c r="R2283" s="39"/>
      <c r="S2283" s="39"/>
      <c r="T2283" s="39"/>
      <c r="U2283" s="39"/>
      <c r="V2283" s="39"/>
      <c r="W2283" s="39"/>
      <c r="X2283" s="49" t="s">
        <v>104</v>
      </c>
      <c r="Y2283" s="50">
        <v>19950</v>
      </c>
      <c r="Z2283" s="51">
        <v>20000</v>
      </c>
      <c r="AA2283" s="52">
        <f t="shared" si="62"/>
        <v>1.00250626566416</v>
      </c>
      <c r="AB2283" s="12">
        <v>20000</v>
      </c>
      <c r="AC2283" s="12">
        <v>0</v>
      </c>
      <c r="AD2283" s="43"/>
      <c r="AE2283" s="43"/>
      <c r="AF2283" s="43"/>
      <c r="AG2283" s="43"/>
      <c r="AH2283" s="43"/>
      <c r="AI2283" s="43"/>
      <c r="AJ2283" s="43"/>
      <c r="AK2283" s="43"/>
      <c r="AL2283" s="43"/>
      <c r="AM2283" s="43"/>
      <c r="AN2283" s="43"/>
      <c r="AO2283" s="43"/>
      <c r="AP2283" s="43"/>
      <c r="AQ2283" s="43"/>
      <c r="AR2283" s="43"/>
      <c r="AS2283" s="43"/>
      <c r="AT2283" s="43"/>
      <c r="AU2283" s="43"/>
      <c r="AV2283" s="43"/>
    </row>
    <row r="2284" ht="15.75" spans="1:48">
      <c r="A2284" s="12">
        <v>2280</v>
      </c>
      <c r="B2284" s="44">
        <v>4489</v>
      </c>
      <c r="C2284" s="45" t="s">
        <v>88</v>
      </c>
      <c r="D2284" s="46"/>
      <c r="E2284" s="47" t="s">
        <v>113</v>
      </c>
      <c r="F2284" s="48">
        <v>4.33</v>
      </c>
      <c r="G2284" s="38">
        <v>0</v>
      </c>
      <c r="H2284" s="39"/>
      <c r="I2284" s="39"/>
      <c r="J2284" s="39"/>
      <c r="K2284" s="39"/>
      <c r="L2284" s="39"/>
      <c r="M2284" s="39"/>
      <c r="N2284" s="39"/>
      <c r="O2284" s="39"/>
      <c r="P2284" s="39"/>
      <c r="Q2284" s="39"/>
      <c r="R2284" s="39"/>
      <c r="S2284" s="39"/>
      <c r="T2284" s="39"/>
      <c r="U2284" s="39"/>
      <c r="V2284" s="39"/>
      <c r="W2284" s="39"/>
      <c r="X2284" s="49" t="s">
        <v>103</v>
      </c>
      <c r="Y2284" s="50">
        <v>3637.2</v>
      </c>
      <c r="Z2284" s="51">
        <v>3715</v>
      </c>
      <c r="AA2284" s="52">
        <f t="shared" si="62"/>
        <v>1.02139008028154</v>
      </c>
      <c r="AB2284" s="12">
        <v>3715</v>
      </c>
      <c r="AC2284" s="12">
        <v>0</v>
      </c>
      <c r="AD2284" s="43"/>
      <c r="AE2284" s="43"/>
      <c r="AF2284" s="43"/>
      <c r="AG2284" s="43"/>
      <c r="AH2284" s="43"/>
      <c r="AI2284" s="43"/>
      <c r="AJ2284" s="43"/>
      <c r="AK2284" s="43"/>
      <c r="AL2284" s="43"/>
      <c r="AM2284" s="43"/>
      <c r="AN2284" s="43"/>
      <c r="AO2284" s="43"/>
      <c r="AP2284" s="43"/>
      <c r="AQ2284" s="43"/>
      <c r="AR2284" s="43"/>
      <c r="AS2284" s="43"/>
      <c r="AT2284" s="43"/>
      <c r="AU2284" s="43"/>
      <c r="AV2284" s="43"/>
    </row>
    <row r="2285" ht="15.75" spans="1:48">
      <c r="A2285" s="12">
        <v>2281</v>
      </c>
      <c r="B2285" s="44">
        <v>4310</v>
      </c>
      <c r="C2285" s="45" t="s">
        <v>99</v>
      </c>
      <c r="D2285" s="46"/>
      <c r="E2285" s="47" t="s">
        <v>113</v>
      </c>
      <c r="F2285" s="48">
        <v>3.5</v>
      </c>
      <c r="G2285" s="38">
        <v>0.51</v>
      </c>
      <c r="H2285" s="39"/>
      <c r="I2285" s="39"/>
      <c r="J2285" s="39"/>
      <c r="K2285" s="39"/>
      <c r="L2285" s="39"/>
      <c r="M2285" s="39"/>
      <c r="N2285" s="39"/>
      <c r="O2285" s="39"/>
      <c r="P2285" s="39"/>
      <c r="Q2285" s="39">
        <v>0.17</v>
      </c>
      <c r="R2285" s="39"/>
      <c r="S2285" s="39"/>
      <c r="T2285" s="39">
        <v>0.17</v>
      </c>
      <c r="U2285" s="39">
        <v>0.17</v>
      </c>
      <c r="V2285" s="39"/>
      <c r="W2285" s="39"/>
      <c r="X2285" s="49">
        <v>2801</v>
      </c>
      <c r="Y2285" s="50">
        <v>2117.5</v>
      </c>
      <c r="Z2285" s="51">
        <v>2040</v>
      </c>
      <c r="AA2285" s="52">
        <f t="shared" si="62"/>
        <v>0.963400236127509</v>
      </c>
      <c r="AB2285" s="12">
        <v>2003</v>
      </c>
      <c r="AC2285" s="12">
        <v>37</v>
      </c>
      <c r="AD2285" s="19">
        <v>37</v>
      </c>
      <c r="AE2285" s="43"/>
      <c r="AF2285" s="43"/>
      <c r="AG2285" s="43"/>
      <c r="AH2285" s="43"/>
      <c r="AI2285" s="43"/>
      <c r="AJ2285" s="43"/>
      <c r="AK2285" s="43"/>
      <c r="AL2285" s="43"/>
      <c r="AM2285" s="43"/>
      <c r="AN2285" s="43"/>
      <c r="AO2285" s="43"/>
      <c r="AP2285" s="43"/>
      <c r="AQ2285" s="43"/>
      <c r="AR2285" s="43"/>
      <c r="AS2285" s="43"/>
      <c r="AT2285" s="43"/>
      <c r="AU2285" s="43"/>
      <c r="AV2285" s="43"/>
    </row>
    <row r="2286" ht="15.75" spans="1:48">
      <c r="A2286" s="12">
        <v>2282</v>
      </c>
      <c r="B2286" s="44" t="s">
        <v>372</v>
      </c>
      <c r="C2286" s="45" t="s">
        <v>373</v>
      </c>
      <c r="D2286" s="46"/>
      <c r="E2286" s="47" t="s">
        <v>50</v>
      </c>
      <c r="F2286" s="48">
        <v>7.17</v>
      </c>
      <c r="G2286" s="38">
        <v>0.83</v>
      </c>
      <c r="H2286" s="39"/>
      <c r="I2286" s="39"/>
      <c r="J2286" s="39"/>
      <c r="K2286" s="39"/>
      <c r="L2286" s="39"/>
      <c r="M2286" s="39"/>
      <c r="N2286" s="39"/>
      <c r="O2286" s="39"/>
      <c r="P2286" s="39"/>
      <c r="Q2286" s="39">
        <v>0.83</v>
      </c>
      <c r="R2286" s="39"/>
      <c r="S2286" s="39"/>
      <c r="T2286" s="39"/>
      <c r="U2286" s="39"/>
      <c r="V2286" s="39"/>
      <c r="W2286" s="39"/>
      <c r="X2286" s="49" t="s">
        <v>444</v>
      </c>
      <c r="Y2286" s="50">
        <v>3312.54</v>
      </c>
      <c r="Z2286" s="51">
        <v>3200</v>
      </c>
      <c r="AA2286" s="52">
        <f t="shared" si="62"/>
        <v>0.966026070628581</v>
      </c>
      <c r="AB2286" s="12">
        <v>3200</v>
      </c>
      <c r="AC2286" s="12">
        <v>0</v>
      </c>
      <c r="AD2286" s="43"/>
      <c r="AE2286" s="43"/>
      <c r="AF2286" s="43"/>
      <c r="AG2286" s="43"/>
      <c r="AH2286" s="43"/>
      <c r="AI2286" s="43"/>
      <c r="AJ2286" s="43"/>
      <c r="AK2286" s="43"/>
      <c r="AL2286" s="43"/>
      <c r="AM2286" s="43"/>
      <c r="AN2286" s="43"/>
      <c r="AO2286" s="43"/>
      <c r="AP2286" s="43"/>
      <c r="AQ2286" s="43"/>
      <c r="AR2286" s="43"/>
      <c r="AS2286" s="43"/>
      <c r="AT2286" s="43"/>
      <c r="AU2286" s="43"/>
      <c r="AV2286" s="43"/>
    </row>
    <row r="2287" ht="15.75" spans="1:48">
      <c r="A2287" s="12">
        <v>2283</v>
      </c>
      <c r="B2287" s="44" t="s">
        <v>374</v>
      </c>
      <c r="C2287" s="45" t="s">
        <v>375</v>
      </c>
      <c r="D2287" s="46"/>
      <c r="E2287" s="47" t="s">
        <v>50</v>
      </c>
      <c r="F2287" s="48"/>
      <c r="G2287" s="38">
        <v>0</v>
      </c>
      <c r="H2287" s="39"/>
      <c r="I2287" s="39"/>
      <c r="J2287" s="39"/>
      <c r="K2287" s="39"/>
      <c r="L2287" s="39"/>
      <c r="M2287" s="39"/>
      <c r="N2287" s="39"/>
      <c r="O2287" s="39"/>
      <c r="P2287" s="39"/>
      <c r="Q2287" s="39"/>
      <c r="R2287" s="39"/>
      <c r="S2287" s="39"/>
      <c r="T2287" s="39"/>
      <c r="U2287" s="39"/>
      <c r="V2287" s="39"/>
      <c r="W2287" s="39"/>
      <c r="X2287" s="49" t="s">
        <v>445</v>
      </c>
      <c r="Y2287" s="50">
        <v>0</v>
      </c>
      <c r="Z2287" s="51"/>
      <c r="AA2287" s="52">
        <f t="shared" si="62"/>
        <v>0</v>
      </c>
      <c r="AB2287" s="12">
        <v>0</v>
      </c>
      <c r="AC2287" s="12">
        <v>0</v>
      </c>
      <c r="AD2287" s="43"/>
      <c r="AE2287" s="43"/>
      <c r="AF2287" s="43"/>
      <c r="AG2287" s="43"/>
      <c r="AH2287" s="43"/>
      <c r="AI2287" s="43"/>
      <c r="AJ2287" s="43"/>
      <c r="AK2287" s="43"/>
      <c r="AL2287" s="43"/>
      <c r="AM2287" s="43"/>
      <c r="AN2287" s="43"/>
      <c r="AO2287" s="43"/>
      <c r="AP2287" s="43"/>
      <c r="AQ2287" s="43"/>
      <c r="AR2287" s="43"/>
      <c r="AS2287" s="43"/>
      <c r="AT2287" s="43"/>
      <c r="AU2287" s="43"/>
      <c r="AV2287" s="43"/>
    </row>
    <row r="2288" ht="15.75" spans="1:48">
      <c r="A2288" s="12">
        <v>2284</v>
      </c>
      <c r="B2288" s="44" t="s">
        <v>357</v>
      </c>
      <c r="C2288" s="45" t="s">
        <v>358</v>
      </c>
      <c r="D2288" s="46"/>
      <c r="E2288" s="47" t="s">
        <v>50</v>
      </c>
      <c r="F2288" s="48">
        <v>7.16</v>
      </c>
      <c r="G2288" s="38">
        <v>0.83</v>
      </c>
      <c r="H2288" s="39"/>
      <c r="I2288" s="39"/>
      <c r="J2288" s="39"/>
      <c r="K2288" s="39"/>
      <c r="L2288" s="39"/>
      <c r="M2288" s="39"/>
      <c r="N2288" s="39"/>
      <c r="O2288" s="39"/>
      <c r="P2288" s="39"/>
      <c r="Q2288" s="39">
        <v>0.83</v>
      </c>
      <c r="R2288" s="39"/>
      <c r="S2288" s="39"/>
      <c r="T2288" s="39"/>
      <c r="U2288" s="39"/>
      <c r="V2288" s="39"/>
      <c r="W2288" s="39"/>
      <c r="X2288" s="49" t="s">
        <v>436</v>
      </c>
      <c r="Y2288" s="50">
        <v>4210.08</v>
      </c>
      <c r="Z2288" s="51">
        <v>3840</v>
      </c>
      <c r="AA2288" s="52">
        <f t="shared" si="62"/>
        <v>0.912096682248318</v>
      </c>
      <c r="AB2288" s="12">
        <v>3840</v>
      </c>
      <c r="AC2288" s="12">
        <v>0</v>
      </c>
      <c r="AD2288" s="43"/>
      <c r="AE2288" s="43"/>
      <c r="AF2288" s="43"/>
      <c r="AG2288" s="43"/>
      <c r="AH2288" s="43"/>
      <c r="AI2288" s="43"/>
      <c r="AJ2288" s="43"/>
      <c r="AK2288" s="43"/>
      <c r="AL2288" s="43"/>
      <c r="AM2288" s="43"/>
      <c r="AN2288" s="43"/>
      <c r="AO2288" s="43"/>
      <c r="AP2288" s="43"/>
      <c r="AQ2288" s="43"/>
      <c r="AR2288" s="43"/>
      <c r="AS2288" s="43"/>
      <c r="AT2288" s="43"/>
      <c r="AU2288" s="43"/>
      <c r="AV2288" s="43"/>
    </row>
    <row r="2289" ht="15.75" spans="1:48">
      <c r="A2289" s="12">
        <v>2285</v>
      </c>
      <c r="B2289" s="44" t="s">
        <v>363</v>
      </c>
      <c r="C2289" s="45" t="s">
        <v>364</v>
      </c>
      <c r="D2289" s="46"/>
      <c r="E2289" s="47" t="s">
        <v>50</v>
      </c>
      <c r="F2289" s="48">
        <v>7.17</v>
      </c>
      <c r="G2289" s="38">
        <v>0.83</v>
      </c>
      <c r="H2289" s="39"/>
      <c r="I2289" s="39"/>
      <c r="J2289" s="39"/>
      <c r="K2289" s="39"/>
      <c r="L2289" s="39"/>
      <c r="M2289" s="39"/>
      <c r="N2289" s="39"/>
      <c r="O2289" s="39"/>
      <c r="P2289" s="39"/>
      <c r="Q2289" s="39">
        <v>0.83</v>
      </c>
      <c r="R2289" s="39"/>
      <c r="S2289" s="39"/>
      <c r="T2289" s="39"/>
      <c r="U2289" s="39"/>
      <c r="V2289" s="39"/>
      <c r="W2289" s="39"/>
      <c r="X2289" s="49" t="s">
        <v>436</v>
      </c>
      <c r="Y2289" s="50">
        <v>4215.96</v>
      </c>
      <c r="Z2289" s="51">
        <v>3720</v>
      </c>
      <c r="AA2289" s="52">
        <f t="shared" si="62"/>
        <v>0.882361312725927</v>
      </c>
      <c r="AB2289" s="12">
        <v>3720</v>
      </c>
      <c r="AC2289" s="12">
        <v>0</v>
      </c>
      <c r="AD2289" s="43"/>
      <c r="AE2289" s="43"/>
      <c r="AF2289" s="43"/>
      <c r="AG2289" s="43"/>
      <c r="AH2289" s="43"/>
      <c r="AI2289" s="43"/>
      <c r="AJ2289" s="43"/>
      <c r="AK2289" s="43"/>
      <c r="AL2289" s="43"/>
      <c r="AM2289" s="43"/>
      <c r="AN2289" s="43"/>
      <c r="AO2289" s="43"/>
      <c r="AP2289" s="43"/>
      <c r="AQ2289" s="43"/>
      <c r="AR2289" s="43"/>
      <c r="AS2289" s="43"/>
      <c r="AT2289" s="43"/>
      <c r="AU2289" s="43"/>
      <c r="AV2289" s="43"/>
    </row>
    <row r="2290" ht="15.75" spans="1:48">
      <c r="A2290" s="12">
        <v>2286</v>
      </c>
      <c r="B2290" s="44" t="s">
        <v>370</v>
      </c>
      <c r="C2290" s="45" t="s">
        <v>371</v>
      </c>
      <c r="D2290" s="46">
        <v>2</v>
      </c>
      <c r="E2290" s="47" t="s">
        <v>50</v>
      </c>
      <c r="F2290" s="48">
        <v>3.5</v>
      </c>
      <c r="G2290" s="38">
        <v>1</v>
      </c>
      <c r="H2290" s="39"/>
      <c r="I2290" s="39"/>
      <c r="J2290" s="39"/>
      <c r="K2290" s="39"/>
      <c r="L2290" s="39"/>
      <c r="M2290" s="39"/>
      <c r="N2290" s="39"/>
      <c r="O2290" s="39"/>
      <c r="P2290" s="39"/>
      <c r="Q2290" s="39">
        <v>0.83</v>
      </c>
      <c r="R2290" s="39"/>
      <c r="S2290" s="39"/>
      <c r="T2290" s="39"/>
      <c r="U2290" s="39">
        <v>0.17</v>
      </c>
      <c r="V2290" s="39"/>
      <c r="W2290" s="39"/>
      <c r="X2290" s="49">
        <v>1080</v>
      </c>
      <c r="Y2290" s="50">
        <v>1617</v>
      </c>
      <c r="Z2290" s="51">
        <v>1200</v>
      </c>
      <c r="AA2290" s="52">
        <f t="shared" si="62"/>
        <v>0.742115027829313</v>
      </c>
      <c r="AB2290" s="12">
        <v>1099</v>
      </c>
      <c r="AC2290" s="12">
        <v>101</v>
      </c>
      <c r="AD2290" s="19">
        <v>101</v>
      </c>
      <c r="AE2290" s="43"/>
      <c r="AF2290" s="43"/>
      <c r="AG2290" s="43"/>
      <c r="AH2290" s="43"/>
      <c r="AI2290" s="43"/>
      <c r="AJ2290" s="43"/>
      <c r="AK2290" s="43"/>
      <c r="AL2290" s="43"/>
      <c r="AM2290" s="43"/>
      <c r="AN2290" s="43"/>
      <c r="AO2290" s="43"/>
      <c r="AP2290" s="43"/>
      <c r="AQ2290" s="43"/>
      <c r="AR2290" s="43"/>
      <c r="AS2290" s="43"/>
      <c r="AT2290" s="43"/>
      <c r="AU2290" s="43"/>
      <c r="AV2290" s="43"/>
    </row>
    <row r="2291" ht="15.75" spans="1:48">
      <c r="A2291" s="12">
        <v>2287</v>
      </c>
      <c r="B2291" s="44" t="s">
        <v>354</v>
      </c>
      <c r="C2291" s="45" t="s">
        <v>355</v>
      </c>
      <c r="D2291" s="46"/>
      <c r="E2291" s="47" t="s">
        <v>50</v>
      </c>
      <c r="F2291" s="48">
        <v>7.17</v>
      </c>
      <c r="G2291" s="38">
        <v>0.83</v>
      </c>
      <c r="H2291" s="39"/>
      <c r="I2291" s="39"/>
      <c r="J2291" s="39"/>
      <c r="K2291" s="39"/>
      <c r="L2291" s="39"/>
      <c r="M2291" s="39"/>
      <c r="N2291" s="39"/>
      <c r="O2291" s="39"/>
      <c r="P2291" s="39"/>
      <c r="Q2291" s="39">
        <v>0.83</v>
      </c>
      <c r="R2291" s="39"/>
      <c r="S2291" s="39"/>
      <c r="T2291" s="39"/>
      <c r="U2291" s="39"/>
      <c r="V2291" s="39"/>
      <c r="W2291" s="39"/>
      <c r="X2291" s="49" t="s">
        <v>446</v>
      </c>
      <c r="Y2291" s="50">
        <v>0</v>
      </c>
      <c r="Z2291" s="51"/>
      <c r="AA2291" s="52">
        <f t="shared" si="62"/>
        <v>0</v>
      </c>
      <c r="AB2291" s="12">
        <v>0</v>
      </c>
      <c r="AC2291" s="12">
        <v>0</v>
      </c>
      <c r="AD2291" s="43"/>
      <c r="AE2291" s="43"/>
      <c r="AF2291" s="43"/>
      <c r="AG2291" s="43"/>
      <c r="AH2291" s="43"/>
      <c r="AI2291" s="43"/>
      <c r="AJ2291" s="43"/>
      <c r="AK2291" s="43"/>
      <c r="AL2291" s="43"/>
      <c r="AM2291" s="43"/>
      <c r="AN2291" s="43"/>
      <c r="AO2291" s="43"/>
      <c r="AP2291" s="43"/>
      <c r="AQ2291" s="43"/>
      <c r="AR2291" s="43"/>
      <c r="AS2291" s="43"/>
      <c r="AT2291" s="43"/>
      <c r="AU2291" s="43"/>
      <c r="AV2291" s="43"/>
    </row>
    <row r="2292" ht="15.75" spans="1:48">
      <c r="A2292" s="12">
        <v>2288</v>
      </c>
      <c r="B2292" s="44" t="s">
        <v>368</v>
      </c>
      <c r="C2292" s="45" t="s">
        <v>369</v>
      </c>
      <c r="D2292" s="46"/>
      <c r="E2292" s="47" t="s">
        <v>50</v>
      </c>
      <c r="F2292" s="48">
        <v>7.17</v>
      </c>
      <c r="G2292" s="38">
        <v>0.83</v>
      </c>
      <c r="H2292" s="39"/>
      <c r="I2292" s="39"/>
      <c r="J2292" s="39"/>
      <c r="K2292" s="39"/>
      <c r="L2292" s="39"/>
      <c r="M2292" s="39"/>
      <c r="N2292" s="39"/>
      <c r="O2292" s="39"/>
      <c r="P2292" s="39"/>
      <c r="Q2292" s="39">
        <v>0.83</v>
      </c>
      <c r="R2292" s="39"/>
      <c r="S2292" s="39"/>
      <c r="T2292" s="39"/>
      <c r="U2292" s="39"/>
      <c r="V2292" s="39"/>
      <c r="W2292" s="39"/>
      <c r="X2292" s="49" t="s">
        <v>174</v>
      </c>
      <c r="Y2292" s="50">
        <v>2358.93</v>
      </c>
      <c r="Z2292" s="51">
        <v>1080</v>
      </c>
      <c r="AA2292" s="52">
        <f t="shared" si="62"/>
        <v>0.457834696239397</v>
      </c>
      <c r="AB2292" s="12">
        <v>1080</v>
      </c>
      <c r="AC2292" s="12">
        <v>0</v>
      </c>
      <c r="AD2292" s="43"/>
      <c r="AE2292" s="43"/>
      <c r="AF2292" s="43"/>
      <c r="AG2292" s="43"/>
      <c r="AH2292" s="43"/>
      <c r="AI2292" s="43"/>
      <c r="AJ2292" s="43"/>
      <c r="AK2292" s="43"/>
      <c r="AL2292" s="43"/>
      <c r="AM2292" s="43"/>
      <c r="AN2292" s="43"/>
      <c r="AO2292" s="43"/>
      <c r="AP2292" s="43"/>
      <c r="AQ2292" s="43"/>
      <c r="AR2292" s="43"/>
      <c r="AS2292" s="43"/>
      <c r="AT2292" s="43"/>
      <c r="AU2292" s="43"/>
      <c r="AV2292" s="43"/>
    </row>
    <row r="2293" ht="15.75" spans="1:48">
      <c r="A2293" s="12">
        <v>2289</v>
      </c>
      <c r="B2293" s="44" t="s">
        <v>361</v>
      </c>
      <c r="C2293" s="45" t="s">
        <v>362</v>
      </c>
      <c r="D2293" s="46">
        <v>21</v>
      </c>
      <c r="E2293" s="47" t="s">
        <v>50</v>
      </c>
      <c r="F2293" s="48">
        <v>7.17</v>
      </c>
      <c r="G2293" s="38">
        <v>0.83</v>
      </c>
      <c r="H2293" s="39"/>
      <c r="I2293" s="39"/>
      <c r="J2293" s="39"/>
      <c r="K2293" s="39"/>
      <c r="L2293" s="39"/>
      <c r="M2293" s="39"/>
      <c r="N2293" s="39"/>
      <c r="O2293" s="39"/>
      <c r="P2293" s="39"/>
      <c r="Q2293" s="39">
        <v>0.83</v>
      </c>
      <c r="R2293" s="39"/>
      <c r="S2293" s="39"/>
      <c r="T2293" s="39"/>
      <c r="U2293" s="39"/>
      <c r="V2293" s="39"/>
      <c r="W2293" s="39"/>
      <c r="X2293" s="49" t="s">
        <v>170</v>
      </c>
      <c r="Y2293" s="50">
        <v>7277.55</v>
      </c>
      <c r="Z2293" s="51">
        <v>4500</v>
      </c>
      <c r="AA2293" s="52">
        <f t="shared" si="62"/>
        <v>0.618339963311829</v>
      </c>
      <c r="AB2293" s="12">
        <v>4500</v>
      </c>
      <c r="AC2293" s="12">
        <v>0</v>
      </c>
      <c r="AD2293" s="43"/>
      <c r="AE2293" s="43"/>
      <c r="AF2293" s="43"/>
      <c r="AG2293" s="43"/>
      <c r="AH2293" s="43"/>
      <c r="AI2293" s="43"/>
      <c r="AJ2293" s="43"/>
      <c r="AK2293" s="43"/>
      <c r="AL2293" s="43"/>
      <c r="AM2293" s="43"/>
      <c r="AN2293" s="43"/>
      <c r="AO2293" s="43"/>
      <c r="AP2293" s="43"/>
      <c r="AQ2293" s="43"/>
      <c r="AR2293" s="43"/>
      <c r="AS2293" s="43"/>
      <c r="AT2293" s="43"/>
      <c r="AU2293" s="43"/>
      <c r="AV2293" s="43"/>
    </row>
    <row r="2294" ht="15.75" spans="1:48">
      <c r="A2294" s="12">
        <v>2290</v>
      </c>
      <c r="B2294" s="44" t="s">
        <v>359</v>
      </c>
      <c r="C2294" s="45" t="s">
        <v>360</v>
      </c>
      <c r="D2294" s="46">
        <v>6</v>
      </c>
      <c r="E2294" s="47" t="s">
        <v>50</v>
      </c>
      <c r="F2294" s="48">
        <v>7.17</v>
      </c>
      <c r="G2294" s="38">
        <v>0.83</v>
      </c>
      <c r="H2294" s="39"/>
      <c r="I2294" s="39"/>
      <c r="J2294" s="39"/>
      <c r="K2294" s="39"/>
      <c r="L2294" s="39"/>
      <c r="M2294" s="39"/>
      <c r="N2294" s="39"/>
      <c r="O2294" s="39"/>
      <c r="P2294" s="39"/>
      <c r="Q2294" s="39">
        <v>0.83</v>
      </c>
      <c r="R2294" s="39"/>
      <c r="S2294" s="39"/>
      <c r="T2294" s="39"/>
      <c r="U2294" s="39"/>
      <c r="V2294" s="39"/>
      <c r="W2294" s="39"/>
      <c r="X2294" s="49">
        <v>8235</v>
      </c>
      <c r="Y2294" s="50">
        <v>3312.54</v>
      </c>
      <c r="Z2294" s="51">
        <v>3200</v>
      </c>
      <c r="AA2294" s="52">
        <f t="shared" si="62"/>
        <v>0.966026070628581</v>
      </c>
      <c r="AB2294" s="12">
        <v>3052</v>
      </c>
      <c r="AC2294" s="12">
        <v>148</v>
      </c>
      <c r="AD2294" s="19">
        <v>148</v>
      </c>
      <c r="AE2294" s="43"/>
      <c r="AF2294" s="43"/>
      <c r="AG2294" s="43"/>
      <c r="AH2294" s="43"/>
      <c r="AI2294" s="43"/>
      <c r="AJ2294" s="43"/>
      <c r="AK2294" s="43"/>
      <c r="AL2294" s="43"/>
      <c r="AM2294" s="43"/>
      <c r="AN2294" s="43"/>
      <c r="AO2294" s="43"/>
      <c r="AP2294" s="43"/>
      <c r="AQ2294" s="43"/>
      <c r="AR2294" s="43"/>
      <c r="AS2294" s="43"/>
      <c r="AT2294" s="43"/>
      <c r="AU2294" s="43"/>
      <c r="AV2294" s="43"/>
    </row>
    <row r="2295" ht="15.75" spans="1:48">
      <c r="A2295" s="12">
        <v>2291</v>
      </c>
      <c r="B2295" s="44" t="s">
        <v>376</v>
      </c>
      <c r="C2295" s="45" t="s">
        <v>377</v>
      </c>
      <c r="D2295" s="46"/>
      <c r="E2295" s="47" t="s">
        <v>50</v>
      </c>
      <c r="F2295" s="48">
        <v>7.17</v>
      </c>
      <c r="G2295" s="38">
        <v>0.83</v>
      </c>
      <c r="H2295" s="39"/>
      <c r="I2295" s="39"/>
      <c r="J2295" s="39"/>
      <c r="K2295" s="39"/>
      <c r="L2295" s="39"/>
      <c r="M2295" s="39"/>
      <c r="N2295" s="39"/>
      <c r="O2295" s="39"/>
      <c r="P2295" s="39"/>
      <c r="Q2295" s="39">
        <v>0.83</v>
      </c>
      <c r="R2295" s="39"/>
      <c r="S2295" s="39"/>
      <c r="T2295" s="39"/>
      <c r="U2295" s="39"/>
      <c r="V2295" s="39"/>
      <c r="W2295" s="39"/>
      <c r="X2295" s="49" t="s">
        <v>436</v>
      </c>
      <c r="Y2295" s="50">
        <v>4215.96</v>
      </c>
      <c r="Z2295" s="51">
        <v>3000</v>
      </c>
      <c r="AA2295" s="52">
        <f t="shared" si="62"/>
        <v>0.711581703811232</v>
      </c>
      <c r="AB2295" s="12">
        <v>3000</v>
      </c>
      <c r="AC2295" s="12">
        <v>0</v>
      </c>
      <c r="AD2295" s="43"/>
      <c r="AE2295" s="43"/>
      <c r="AF2295" s="43"/>
      <c r="AG2295" s="43"/>
      <c r="AH2295" s="43"/>
      <c r="AI2295" s="43"/>
      <c r="AJ2295" s="43"/>
      <c r="AK2295" s="43"/>
      <c r="AL2295" s="43"/>
      <c r="AM2295" s="43"/>
      <c r="AN2295" s="43"/>
      <c r="AO2295" s="43"/>
      <c r="AP2295" s="43"/>
      <c r="AQ2295" s="43"/>
      <c r="AR2295" s="43"/>
      <c r="AS2295" s="43"/>
      <c r="AT2295" s="43"/>
      <c r="AU2295" s="43"/>
      <c r="AV2295" s="43"/>
    </row>
    <row r="2296" ht="15.75" spans="1:48">
      <c r="A2296" s="12">
        <v>2292</v>
      </c>
      <c r="B2296" s="44" t="s">
        <v>365</v>
      </c>
      <c r="C2296" s="45" t="s">
        <v>366</v>
      </c>
      <c r="D2296" s="46">
        <v>5</v>
      </c>
      <c r="E2296" s="47" t="s">
        <v>50</v>
      </c>
      <c r="F2296" s="48">
        <v>7.17</v>
      </c>
      <c r="G2296" s="38">
        <v>0.83</v>
      </c>
      <c r="H2296" s="39"/>
      <c r="I2296" s="39"/>
      <c r="J2296" s="39"/>
      <c r="K2296" s="39"/>
      <c r="L2296" s="39"/>
      <c r="M2296" s="39"/>
      <c r="N2296" s="39"/>
      <c r="O2296" s="39"/>
      <c r="P2296" s="39"/>
      <c r="Q2296" s="39">
        <v>0.83</v>
      </c>
      <c r="R2296" s="39"/>
      <c r="S2296" s="39"/>
      <c r="T2296" s="39"/>
      <c r="U2296" s="39"/>
      <c r="V2296" s="39"/>
      <c r="W2296" s="39"/>
      <c r="X2296" s="49">
        <v>5770</v>
      </c>
      <c r="Y2296" s="50">
        <v>3904.065</v>
      </c>
      <c r="Z2296" s="51">
        <v>3720</v>
      </c>
      <c r="AA2296" s="52">
        <f t="shared" si="62"/>
        <v>0.952852987847282</v>
      </c>
      <c r="AB2296" s="12">
        <v>3637</v>
      </c>
      <c r="AC2296" s="12">
        <v>83</v>
      </c>
      <c r="AD2296" s="19">
        <v>83</v>
      </c>
      <c r="AE2296" s="43"/>
      <c r="AF2296" s="43"/>
      <c r="AG2296" s="43"/>
      <c r="AH2296" s="43"/>
      <c r="AI2296" s="43"/>
      <c r="AJ2296" s="43"/>
      <c r="AK2296" s="43"/>
      <c r="AL2296" s="43"/>
      <c r="AM2296" s="43"/>
      <c r="AN2296" s="43"/>
      <c r="AO2296" s="43"/>
      <c r="AP2296" s="43"/>
      <c r="AQ2296" s="43"/>
      <c r="AR2296" s="43"/>
      <c r="AS2296" s="43"/>
      <c r="AT2296" s="43"/>
      <c r="AU2296" s="43"/>
      <c r="AV2296" s="43"/>
    </row>
    <row r="2297" ht="15.75" spans="1:48">
      <c r="A2297" s="12">
        <v>2293</v>
      </c>
      <c r="B2297" s="44" t="s">
        <v>370</v>
      </c>
      <c r="C2297" s="45" t="s">
        <v>371</v>
      </c>
      <c r="D2297" s="46"/>
      <c r="E2297" s="47" t="s">
        <v>50</v>
      </c>
      <c r="F2297" s="48">
        <v>3.5</v>
      </c>
      <c r="G2297" s="38">
        <v>0</v>
      </c>
      <c r="H2297" s="39"/>
      <c r="I2297" s="39"/>
      <c r="J2297" s="39"/>
      <c r="K2297" s="39"/>
      <c r="L2297" s="39"/>
      <c r="M2297" s="39"/>
      <c r="N2297" s="39"/>
      <c r="O2297" s="39"/>
      <c r="P2297" s="39"/>
      <c r="Q2297" s="39"/>
      <c r="R2297" s="39"/>
      <c r="S2297" s="39"/>
      <c r="T2297" s="39"/>
      <c r="U2297" s="39"/>
      <c r="V2297" s="39"/>
      <c r="W2297" s="39"/>
      <c r="X2297" s="49" t="s">
        <v>444</v>
      </c>
      <c r="Y2297" s="50">
        <v>1617</v>
      </c>
      <c r="Z2297" s="51">
        <v>1200</v>
      </c>
      <c r="AA2297" s="52">
        <f t="shared" ref="AA2297:AA2328" si="63">IFERROR(Z2297/Y2297,0)</f>
        <v>0.742115027829313</v>
      </c>
      <c r="AB2297" s="12">
        <v>1200</v>
      </c>
      <c r="AC2297" s="12">
        <v>0</v>
      </c>
      <c r="AD2297" s="43"/>
      <c r="AE2297" s="43"/>
      <c r="AF2297" s="43"/>
      <c r="AG2297" s="43"/>
      <c r="AH2297" s="43"/>
      <c r="AI2297" s="43"/>
      <c r="AJ2297" s="43"/>
      <c r="AK2297" s="43"/>
      <c r="AL2297" s="43"/>
      <c r="AM2297" s="43"/>
      <c r="AN2297" s="43"/>
      <c r="AO2297" s="43"/>
      <c r="AP2297" s="43"/>
      <c r="AQ2297" s="43"/>
      <c r="AR2297" s="43"/>
      <c r="AS2297" s="43"/>
      <c r="AT2297" s="43"/>
      <c r="AU2297" s="43"/>
      <c r="AV2297" s="43"/>
    </row>
    <row r="2298" ht="15.75" spans="1:48">
      <c r="A2298" s="12">
        <v>2294</v>
      </c>
      <c r="B2298" s="44">
        <v>4019</v>
      </c>
      <c r="C2298" s="45" t="s">
        <v>134</v>
      </c>
      <c r="D2298" s="46" t="s">
        <v>78</v>
      </c>
      <c r="E2298" s="47" t="s">
        <v>50</v>
      </c>
      <c r="F2298" s="48">
        <v>10.17</v>
      </c>
      <c r="G2298" s="38">
        <v>1.83</v>
      </c>
      <c r="H2298" s="39"/>
      <c r="I2298" s="39"/>
      <c r="J2298" s="39"/>
      <c r="K2298" s="39">
        <v>0.33</v>
      </c>
      <c r="L2298" s="39"/>
      <c r="M2298" s="39"/>
      <c r="N2298" s="39"/>
      <c r="O2298" s="39"/>
      <c r="P2298" s="39"/>
      <c r="Q2298" s="39">
        <v>1.17</v>
      </c>
      <c r="R2298" s="39"/>
      <c r="S2298" s="39"/>
      <c r="T2298" s="39"/>
      <c r="U2298" s="39">
        <v>0.33</v>
      </c>
      <c r="V2298" s="39"/>
      <c r="W2298" s="39"/>
      <c r="X2298" s="49" t="s">
        <v>79</v>
      </c>
      <c r="Y2298" s="50">
        <v>67732.2</v>
      </c>
      <c r="Z2298" s="51">
        <v>61056</v>
      </c>
      <c r="AA2298" s="52">
        <f t="shared" si="63"/>
        <v>0.901432405857185</v>
      </c>
      <c r="AB2298" s="12">
        <v>60912</v>
      </c>
      <c r="AC2298" s="12">
        <v>144</v>
      </c>
      <c r="AD2298" s="43"/>
      <c r="AE2298" s="43"/>
      <c r="AF2298" s="43"/>
      <c r="AG2298" s="19">
        <v>96</v>
      </c>
      <c r="AH2298" s="43"/>
      <c r="AI2298" s="43"/>
      <c r="AJ2298" s="43"/>
      <c r="AK2298" s="43"/>
      <c r="AL2298" s="43"/>
      <c r="AM2298" s="43"/>
      <c r="AN2298" s="19">
        <v>48</v>
      </c>
      <c r="AO2298" s="43"/>
      <c r="AP2298" s="43"/>
      <c r="AQ2298" s="43"/>
      <c r="AR2298" s="43"/>
      <c r="AS2298" s="43"/>
      <c r="AT2298" s="43"/>
      <c r="AU2298" s="43"/>
      <c r="AV2298" s="43"/>
    </row>
    <row r="2299" ht="15.75" spans="1:48">
      <c r="A2299" s="12">
        <v>2295</v>
      </c>
      <c r="B2299" s="44">
        <v>4019</v>
      </c>
      <c r="C2299" s="45" t="s">
        <v>134</v>
      </c>
      <c r="D2299" s="46" t="s">
        <v>207</v>
      </c>
      <c r="E2299" s="47" t="s">
        <v>50</v>
      </c>
      <c r="F2299" s="48">
        <v>10.17</v>
      </c>
      <c r="G2299" s="38">
        <v>1.83</v>
      </c>
      <c r="H2299" s="39"/>
      <c r="I2299" s="39"/>
      <c r="J2299" s="39"/>
      <c r="K2299" s="39">
        <v>0.33</v>
      </c>
      <c r="L2299" s="39"/>
      <c r="M2299" s="39"/>
      <c r="N2299" s="39"/>
      <c r="O2299" s="39"/>
      <c r="P2299" s="39"/>
      <c r="Q2299" s="39">
        <v>1.17</v>
      </c>
      <c r="R2299" s="39"/>
      <c r="S2299" s="39"/>
      <c r="T2299" s="39"/>
      <c r="U2299" s="39">
        <v>0.33</v>
      </c>
      <c r="V2299" s="39"/>
      <c r="W2299" s="39"/>
      <c r="X2299" s="49" t="s">
        <v>79</v>
      </c>
      <c r="Y2299" s="50">
        <v>67732.2</v>
      </c>
      <c r="Z2299" s="51">
        <v>60792</v>
      </c>
      <c r="AA2299" s="52">
        <f t="shared" si="63"/>
        <v>0.897534702844437</v>
      </c>
      <c r="AB2299" s="12">
        <v>60624</v>
      </c>
      <c r="AC2299" s="12">
        <v>168</v>
      </c>
      <c r="AD2299" s="43"/>
      <c r="AE2299" s="43"/>
      <c r="AF2299" s="43"/>
      <c r="AG2299" s="19">
        <v>96</v>
      </c>
      <c r="AH2299" s="43"/>
      <c r="AI2299" s="43"/>
      <c r="AJ2299" s="43"/>
      <c r="AK2299" s="43"/>
      <c r="AL2299" s="43"/>
      <c r="AM2299" s="43"/>
      <c r="AN2299" s="19">
        <v>72</v>
      </c>
      <c r="AO2299" s="43"/>
      <c r="AP2299" s="43"/>
      <c r="AQ2299" s="43"/>
      <c r="AR2299" s="43"/>
      <c r="AS2299" s="43"/>
      <c r="AT2299" s="43"/>
      <c r="AU2299" s="43"/>
      <c r="AV2299" s="43"/>
    </row>
    <row r="2300" ht="15.75" spans="1:48">
      <c r="A2300" s="12">
        <v>2296</v>
      </c>
      <c r="B2300" s="44">
        <v>4019</v>
      </c>
      <c r="C2300" s="45" t="s">
        <v>134</v>
      </c>
      <c r="D2300" s="46" t="s">
        <v>76</v>
      </c>
      <c r="E2300" s="47" t="s">
        <v>50</v>
      </c>
      <c r="F2300" s="48">
        <v>10.17</v>
      </c>
      <c r="G2300" s="38">
        <v>1.83</v>
      </c>
      <c r="H2300" s="39"/>
      <c r="I2300" s="39"/>
      <c r="J2300" s="39"/>
      <c r="K2300" s="39">
        <v>0.33</v>
      </c>
      <c r="L2300" s="39"/>
      <c r="M2300" s="39"/>
      <c r="N2300" s="39"/>
      <c r="O2300" s="39"/>
      <c r="P2300" s="39"/>
      <c r="Q2300" s="39">
        <v>1.17</v>
      </c>
      <c r="R2300" s="39"/>
      <c r="S2300" s="39"/>
      <c r="T2300" s="39"/>
      <c r="U2300" s="39">
        <v>0.33</v>
      </c>
      <c r="V2300" s="39"/>
      <c r="W2300" s="39"/>
      <c r="X2300" s="49" t="s">
        <v>79</v>
      </c>
      <c r="Y2300" s="50">
        <v>67732.2</v>
      </c>
      <c r="Z2300" s="51">
        <v>60656</v>
      </c>
      <c r="AA2300" s="52">
        <f t="shared" si="63"/>
        <v>0.89552679523181</v>
      </c>
      <c r="AB2300" s="12">
        <v>60512</v>
      </c>
      <c r="AC2300" s="12">
        <v>144</v>
      </c>
      <c r="AD2300" s="43"/>
      <c r="AE2300" s="43"/>
      <c r="AF2300" s="43"/>
      <c r="AG2300" s="19">
        <v>88</v>
      </c>
      <c r="AH2300" s="43"/>
      <c r="AI2300" s="43"/>
      <c r="AJ2300" s="43"/>
      <c r="AK2300" s="43"/>
      <c r="AL2300" s="43"/>
      <c r="AM2300" s="43"/>
      <c r="AN2300" s="19">
        <v>56</v>
      </c>
      <c r="AO2300" s="43"/>
      <c r="AP2300" s="43"/>
      <c r="AQ2300" s="43"/>
      <c r="AR2300" s="43"/>
      <c r="AS2300" s="43"/>
      <c r="AT2300" s="43"/>
      <c r="AU2300" s="43"/>
      <c r="AV2300" s="43"/>
    </row>
    <row r="2301" ht="15.75" spans="1:48">
      <c r="A2301" s="12">
        <v>2297</v>
      </c>
      <c r="B2301" s="44">
        <v>4019</v>
      </c>
      <c r="C2301" s="45" t="s">
        <v>134</v>
      </c>
      <c r="D2301" s="46" t="s">
        <v>83</v>
      </c>
      <c r="E2301" s="47" t="s">
        <v>50</v>
      </c>
      <c r="F2301" s="48">
        <v>7</v>
      </c>
      <c r="G2301" s="38">
        <v>5</v>
      </c>
      <c r="H2301" s="39"/>
      <c r="I2301" s="39"/>
      <c r="J2301" s="39"/>
      <c r="K2301" s="39">
        <v>0.17</v>
      </c>
      <c r="L2301" s="39"/>
      <c r="M2301" s="39"/>
      <c r="N2301" s="39"/>
      <c r="O2301" s="39"/>
      <c r="P2301" s="39"/>
      <c r="Q2301" s="39">
        <v>1.17</v>
      </c>
      <c r="R2301" s="39"/>
      <c r="S2301" s="39">
        <v>3.33</v>
      </c>
      <c r="T2301" s="39"/>
      <c r="U2301" s="39">
        <v>0.33</v>
      </c>
      <c r="V2301" s="39"/>
      <c r="W2301" s="39"/>
      <c r="X2301" s="49" t="s">
        <v>342</v>
      </c>
      <c r="Y2301" s="50">
        <v>31500</v>
      </c>
      <c r="Z2301" s="51">
        <v>32064</v>
      </c>
      <c r="AA2301" s="52">
        <f t="shared" si="63"/>
        <v>1.01790476190476</v>
      </c>
      <c r="AB2301" s="12">
        <v>31936</v>
      </c>
      <c r="AC2301" s="12">
        <v>128</v>
      </c>
      <c r="AD2301" s="43"/>
      <c r="AE2301" s="43"/>
      <c r="AF2301" s="43"/>
      <c r="AG2301" s="19">
        <v>96</v>
      </c>
      <c r="AH2301" s="43"/>
      <c r="AI2301" s="43"/>
      <c r="AJ2301" s="43"/>
      <c r="AK2301" s="43"/>
      <c r="AL2301" s="43"/>
      <c r="AM2301" s="43"/>
      <c r="AN2301" s="19">
        <v>32</v>
      </c>
      <c r="AO2301" s="43"/>
      <c r="AP2301" s="43"/>
      <c r="AQ2301" s="43"/>
      <c r="AR2301" s="43"/>
      <c r="AS2301" s="43"/>
      <c r="AT2301" s="43"/>
      <c r="AU2301" s="43"/>
      <c r="AV2301" s="43"/>
    </row>
    <row r="2302" ht="15.75" spans="1:48">
      <c r="A2302" s="12">
        <v>2298</v>
      </c>
      <c r="B2302" s="44">
        <v>4352</v>
      </c>
      <c r="C2302" s="45" t="s">
        <v>132</v>
      </c>
      <c r="D2302" s="46" t="s">
        <v>83</v>
      </c>
      <c r="E2302" s="47" t="s">
        <v>50</v>
      </c>
      <c r="F2302" s="48">
        <v>10.5</v>
      </c>
      <c r="G2302" s="38">
        <v>1.51</v>
      </c>
      <c r="H2302" s="39"/>
      <c r="I2302" s="39"/>
      <c r="J2302" s="39"/>
      <c r="K2302" s="39">
        <v>0.17</v>
      </c>
      <c r="L2302" s="39"/>
      <c r="M2302" s="39"/>
      <c r="N2302" s="39"/>
      <c r="O2302" s="39"/>
      <c r="P2302" s="39"/>
      <c r="Q2302" s="39">
        <v>1.17</v>
      </c>
      <c r="R2302" s="39"/>
      <c r="S2302" s="39"/>
      <c r="T2302" s="39"/>
      <c r="U2302" s="39">
        <v>0.17</v>
      </c>
      <c r="V2302" s="39"/>
      <c r="W2302" s="39"/>
      <c r="X2302" s="49" t="s">
        <v>136</v>
      </c>
      <c r="Y2302" s="50">
        <v>25200</v>
      </c>
      <c r="Z2302" s="51">
        <v>21016</v>
      </c>
      <c r="AA2302" s="52">
        <f t="shared" si="63"/>
        <v>0.833968253968254</v>
      </c>
      <c r="AB2302" s="12">
        <v>21016</v>
      </c>
      <c r="AC2302" s="12">
        <v>0</v>
      </c>
      <c r="AD2302" s="43"/>
      <c r="AE2302" s="43"/>
      <c r="AF2302" s="43"/>
      <c r="AG2302" s="43"/>
      <c r="AH2302" s="43"/>
      <c r="AI2302" s="43"/>
      <c r="AJ2302" s="43"/>
      <c r="AK2302" s="43"/>
      <c r="AL2302" s="43"/>
      <c r="AM2302" s="43"/>
      <c r="AN2302" s="43"/>
      <c r="AO2302" s="43"/>
      <c r="AP2302" s="43"/>
      <c r="AQ2302" s="43"/>
      <c r="AR2302" s="43"/>
      <c r="AS2302" s="43"/>
      <c r="AT2302" s="43"/>
      <c r="AU2302" s="43"/>
      <c r="AV2302" s="43"/>
    </row>
    <row r="2303" ht="15.75" spans="1:48">
      <c r="A2303" s="12">
        <v>2299</v>
      </c>
      <c r="B2303" s="44">
        <v>3919</v>
      </c>
      <c r="C2303" s="45" t="s">
        <v>137</v>
      </c>
      <c r="D2303" s="46"/>
      <c r="E2303" s="47" t="s">
        <v>50</v>
      </c>
      <c r="F2303" s="48">
        <v>10.83</v>
      </c>
      <c r="G2303" s="38">
        <v>1.17</v>
      </c>
      <c r="H2303" s="39"/>
      <c r="I2303" s="39"/>
      <c r="J2303" s="39"/>
      <c r="K2303" s="39"/>
      <c r="L2303" s="39"/>
      <c r="M2303" s="39"/>
      <c r="N2303" s="39"/>
      <c r="O2303" s="39"/>
      <c r="P2303" s="39"/>
      <c r="Q2303" s="39">
        <v>1.17</v>
      </c>
      <c r="R2303" s="39"/>
      <c r="S2303" s="39"/>
      <c r="T2303" s="39"/>
      <c r="U2303" s="39"/>
      <c r="V2303" s="39"/>
      <c r="W2303" s="39"/>
      <c r="X2303" s="49" t="s">
        <v>442</v>
      </c>
      <c r="Y2303" s="50">
        <v>0</v>
      </c>
      <c r="Z2303" s="51"/>
      <c r="AA2303" s="52">
        <f t="shared" si="63"/>
        <v>0</v>
      </c>
      <c r="AB2303" s="12">
        <v>0</v>
      </c>
      <c r="AC2303" s="12">
        <v>0</v>
      </c>
      <c r="AD2303" s="43"/>
      <c r="AE2303" s="43"/>
      <c r="AF2303" s="43"/>
      <c r="AG2303" s="43"/>
      <c r="AH2303" s="43"/>
      <c r="AI2303" s="43"/>
      <c r="AJ2303" s="43"/>
      <c r="AK2303" s="43"/>
      <c r="AL2303" s="43"/>
      <c r="AM2303" s="43"/>
      <c r="AN2303" s="43"/>
      <c r="AO2303" s="43"/>
      <c r="AP2303" s="43"/>
      <c r="AQ2303" s="43"/>
      <c r="AR2303" s="43"/>
      <c r="AS2303" s="43"/>
      <c r="AT2303" s="43"/>
      <c r="AU2303" s="43"/>
      <c r="AV2303" s="43"/>
    </row>
    <row r="2304" ht="15.75" spans="1:48">
      <c r="A2304" s="12">
        <v>2300</v>
      </c>
      <c r="B2304" s="44">
        <v>4496</v>
      </c>
      <c r="C2304" s="45" t="s">
        <v>133</v>
      </c>
      <c r="D2304" s="46" t="s">
        <v>138</v>
      </c>
      <c r="E2304" s="47" t="s">
        <v>50</v>
      </c>
      <c r="F2304" s="48">
        <v>8.5</v>
      </c>
      <c r="G2304" s="38">
        <v>1.67</v>
      </c>
      <c r="H2304" s="39"/>
      <c r="I2304" s="39"/>
      <c r="J2304" s="39"/>
      <c r="K2304" s="39">
        <v>0.33</v>
      </c>
      <c r="L2304" s="39"/>
      <c r="M2304" s="39"/>
      <c r="N2304" s="39"/>
      <c r="O2304" s="39"/>
      <c r="P2304" s="39"/>
      <c r="Q2304" s="39">
        <v>1.17</v>
      </c>
      <c r="R2304" s="39"/>
      <c r="S2304" s="39"/>
      <c r="T2304" s="39"/>
      <c r="U2304" s="39">
        <v>0.17</v>
      </c>
      <c r="V2304" s="39"/>
      <c r="W2304" s="39"/>
      <c r="X2304" s="49" t="s">
        <v>440</v>
      </c>
      <c r="Y2304" s="50">
        <v>34000</v>
      </c>
      <c r="Z2304" s="51">
        <v>27120</v>
      </c>
      <c r="AA2304" s="52">
        <f t="shared" si="63"/>
        <v>0.797647058823529</v>
      </c>
      <c r="AB2304" s="12">
        <v>27120</v>
      </c>
      <c r="AC2304" s="12">
        <v>0</v>
      </c>
      <c r="AD2304" s="43"/>
      <c r="AE2304" s="43"/>
      <c r="AF2304" s="43"/>
      <c r="AG2304" s="43"/>
      <c r="AH2304" s="43"/>
      <c r="AI2304" s="43"/>
      <c r="AJ2304" s="43"/>
      <c r="AK2304" s="43"/>
      <c r="AL2304" s="43"/>
      <c r="AM2304" s="43"/>
      <c r="AN2304" s="43"/>
      <c r="AO2304" s="43"/>
      <c r="AP2304" s="43"/>
      <c r="AQ2304" s="43"/>
      <c r="AR2304" s="43"/>
      <c r="AS2304" s="43"/>
      <c r="AT2304" s="43"/>
      <c r="AU2304" s="43"/>
      <c r="AV2304" s="43"/>
    </row>
    <row r="2305" ht="15.75" spans="1:48">
      <c r="A2305" s="12">
        <v>2301</v>
      </c>
      <c r="B2305" s="44">
        <v>4496</v>
      </c>
      <c r="C2305" s="45" t="s">
        <v>133</v>
      </c>
      <c r="D2305" s="46" t="s">
        <v>138</v>
      </c>
      <c r="E2305" s="47" t="s">
        <v>50</v>
      </c>
      <c r="F2305" s="48">
        <v>1.67</v>
      </c>
      <c r="G2305" s="38">
        <v>0.17</v>
      </c>
      <c r="H2305" s="39"/>
      <c r="I2305" s="39"/>
      <c r="J2305" s="39"/>
      <c r="K2305" s="39"/>
      <c r="L2305" s="39"/>
      <c r="M2305" s="39"/>
      <c r="N2305" s="39"/>
      <c r="O2305" s="39"/>
      <c r="P2305" s="39"/>
      <c r="Q2305" s="39"/>
      <c r="R2305" s="39"/>
      <c r="S2305" s="39"/>
      <c r="T2305" s="39"/>
      <c r="U2305" s="39">
        <v>0.17</v>
      </c>
      <c r="V2305" s="39"/>
      <c r="W2305" s="39"/>
      <c r="X2305" s="49" t="s">
        <v>201</v>
      </c>
      <c r="Y2305" s="50">
        <v>2713.75</v>
      </c>
      <c r="Z2305" s="51">
        <v>2720</v>
      </c>
      <c r="AA2305" s="52">
        <f t="shared" si="63"/>
        <v>1.00230308613542</v>
      </c>
      <c r="AB2305" s="12">
        <v>2720</v>
      </c>
      <c r="AC2305" s="12">
        <v>0</v>
      </c>
      <c r="AD2305" s="43"/>
      <c r="AE2305" s="43"/>
      <c r="AF2305" s="43"/>
      <c r="AG2305" s="43"/>
      <c r="AH2305" s="43"/>
      <c r="AI2305" s="43"/>
      <c r="AJ2305" s="43"/>
      <c r="AK2305" s="43"/>
      <c r="AL2305" s="43"/>
      <c r="AM2305" s="43"/>
      <c r="AN2305" s="43"/>
      <c r="AO2305" s="43"/>
      <c r="AP2305" s="43"/>
      <c r="AQ2305" s="43"/>
      <c r="AR2305" s="43"/>
      <c r="AS2305" s="43"/>
      <c r="AT2305" s="43"/>
      <c r="AU2305" s="43"/>
      <c r="AV2305" s="43"/>
    </row>
    <row r="2306" ht="15.75" spans="1:48">
      <c r="A2306" s="12">
        <v>2302</v>
      </c>
      <c r="B2306" s="44">
        <v>4110</v>
      </c>
      <c r="C2306" s="45" t="s">
        <v>135</v>
      </c>
      <c r="D2306" s="46" t="s">
        <v>73</v>
      </c>
      <c r="E2306" s="47" t="s">
        <v>50</v>
      </c>
      <c r="F2306" s="48">
        <v>6</v>
      </c>
      <c r="G2306" s="38">
        <v>1.34</v>
      </c>
      <c r="H2306" s="39"/>
      <c r="I2306" s="39"/>
      <c r="J2306" s="39"/>
      <c r="K2306" s="39"/>
      <c r="L2306" s="39"/>
      <c r="M2306" s="39"/>
      <c r="N2306" s="39"/>
      <c r="O2306" s="39"/>
      <c r="P2306" s="39"/>
      <c r="Q2306" s="39">
        <v>1.17</v>
      </c>
      <c r="R2306" s="39"/>
      <c r="S2306" s="39"/>
      <c r="T2306" s="39"/>
      <c r="U2306" s="39">
        <v>0.17</v>
      </c>
      <c r="V2306" s="39"/>
      <c r="W2306" s="39"/>
      <c r="X2306" s="49" t="s">
        <v>139</v>
      </c>
      <c r="Y2306" s="50">
        <v>9150</v>
      </c>
      <c r="Z2306" s="51">
        <v>8928</v>
      </c>
      <c r="AA2306" s="52">
        <f t="shared" si="63"/>
        <v>0.975737704918033</v>
      </c>
      <c r="AB2306" s="12">
        <v>8922</v>
      </c>
      <c r="AC2306" s="12">
        <v>6</v>
      </c>
      <c r="AD2306" s="43"/>
      <c r="AE2306" s="43"/>
      <c r="AF2306" s="43"/>
      <c r="AG2306" s="19">
        <v>6</v>
      </c>
      <c r="AH2306" s="43"/>
      <c r="AI2306" s="43"/>
      <c r="AJ2306" s="43"/>
      <c r="AK2306" s="43"/>
      <c r="AL2306" s="43"/>
      <c r="AM2306" s="43"/>
      <c r="AN2306" s="43"/>
      <c r="AO2306" s="43"/>
      <c r="AP2306" s="43"/>
      <c r="AQ2306" s="43"/>
      <c r="AR2306" s="43"/>
      <c r="AS2306" s="43"/>
      <c r="AT2306" s="43"/>
      <c r="AU2306" s="43"/>
      <c r="AV2306" s="43"/>
    </row>
    <row r="2307" ht="15.75" spans="1:48">
      <c r="A2307" s="12">
        <v>2303</v>
      </c>
      <c r="B2307" s="44">
        <v>4110</v>
      </c>
      <c r="C2307" s="45" t="s">
        <v>135</v>
      </c>
      <c r="D2307" s="46" t="s">
        <v>81</v>
      </c>
      <c r="E2307" s="47" t="s">
        <v>50</v>
      </c>
      <c r="F2307" s="48">
        <v>0.83</v>
      </c>
      <c r="G2307" s="38">
        <v>0</v>
      </c>
      <c r="H2307" s="39"/>
      <c r="I2307" s="39"/>
      <c r="J2307" s="39"/>
      <c r="K2307" s="39"/>
      <c r="L2307" s="39"/>
      <c r="M2307" s="39"/>
      <c r="N2307" s="39"/>
      <c r="O2307" s="39"/>
      <c r="P2307" s="39"/>
      <c r="Q2307" s="39"/>
      <c r="R2307" s="39"/>
      <c r="S2307" s="39"/>
      <c r="T2307" s="39"/>
      <c r="U2307" s="39"/>
      <c r="V2307" s="39"/>
      <c r="W2307" s="39"/>
      <c r="X2307" s="49" t="s">
        <v>208</v>
      </c>
      <c r="Y2307" s="50">
        <v>1265.75</v>
      </c>
      <c r="Z2307" s="51">
        <v>1408</v>
      </c>
      <c r="AA2307" s="52">
        <f t="shared" si="63"/>
        <v>1.11238396207782</v>
      </c>
      <c r="AB2307" s="12">
        <v>1404</v>
      </c>
      <c r="AC2307" s="12">
        <v>4</v>
      </c>
      <c r="AD2307" s="43"/>
      <c r="AE2307" s="43"/>
      <c r="AF2307" s="43"/>
      <c r="AG2307" s="19">
        <v>4</v>
      </c>
      <c r="AH2307" s="43"/>
      <c r="AI2307" s="43"/>
      <c r="AJ2307" s="43"/>
      <c r="AK2307" s="43"/>
      <c r="AL2307" s="43"/>
      <c r="AM2307" s="43"/>
      <c r="AN2307" s="43"/>
      <c r="AO2307" s="43"/>
      <c r="AP2307" s="43"/>
      <c r="AQ2307" s="43"/>
      <c r="AR2307" s="43"/>
      <c r="AS2307" s="43"/>
      <c r="AT2307" s="43"/>
      <c r="AU2307" s="43"/>
      <c r="AV2307" s="43"/>
    </row>
    <row r="2308" ht="15.75" spans="1:48">
      <c r="A2308" s="12">
        <v>2304</v>
      </c>
      <c r="B2308" s="44">
        <v>4110</v>
      </c>
      <c r="C2308" s="45" t="s">
        <v>135</v>
      </c>
      <c r="D2308" s="46">
        <v>5</v>
      </c>
      <c r="E2308" s="47" t="s">
        <v>50</v>
      </c>
      <c r="F2308" s="48">
        <v>2.5</v>
      </c>
      <c r="G2308" s="38">
        <v>0.84</v>
      </c>
      <c r="H2308" s="39"/>
      <c r="I2308" s="39"/>
      <c r="J2308" s="39"/>
      <c r="K2308" s="39"/>
      <c r="L2308" s="39"/>
      <c r="M2308" s="39"/>
      <c r="N2308" s="39"/>
      <c r="O2308" s="39"/>
      <c r="P2308" s="39"/>
      <c r="Q2308" s="39"/>
      <c r="R2308" s="39"/>
      <c r="S2308" s="39">
        <v>0.67</v>
      </c>
      <c r="T2308" s="39"/>
      <c r="U2308" s="39">
        <v>0.17</v>
      </c>
      <c r="V2308" s="39"/>
      <c r="W2308" s="39"/>
      <c r="X2308" s="49">
        <v>5770</v>
      </c>
      <c r="Y2308" s="50">
        <v>1512.5</v>
      </c>
      <c r="Z2308" s="51">
        <v>1527</v>
      </c>
      <c r="AA2308" s="52">
        <f t="shared" si="63"/>
        <v>1.0095867768595</v>
      </c>
      <c r="AB2308" s="12">
        <v>1523</v>
      </c>
      <c r="AC2308" s="12">
        <v>4</v>
      </c>
      <c r="AD2308" s="19">
        <v>4</v>
      </c>
      <c r="AE2308" s="43"/>
      <c r="AF2308" s="43"/>
      <c r="AG2308" s="43"/>
      <c r="AH2308" s="43"/>
      <c r="AI2308" s="43"/>
      <c r="AJ2308" s="43"/>
      <c r="AK2308" s="43"/>
      <c r="AL2308" s="43"/>
      <c r="AM2308" s="43"/>
      <c r="AN2308" s="43"/>
      <c r="AO2308" s="43"/>
      <c r="AP2308" s="43"/>
      <c r="AQ2308" s="43"/>
      <c r="AR2308" s="43"/>
      <c r="AS2308" s="43"/>
      <c r="AT2308" s="43"/>
      <c r="AU2308" s="43"/>
      <c r="AV2308" s="43"/>
    </row>
    <row r="2309" ht="15.75" spans="1:48">
      <c r="A2309" s="12">
        <v>2305</v>
      </c>
      <c r="B2309" s="44">
        <v>947</v>
      </c>
      <c r="C2309" s="45" t="s">
        <v>143</v>
      </c>
      <c r="D2309" s="46">
        <v>8</v>
      </c>
      <c r="E2309" s="47" t="s">
        <v>50</v>
      </c>
      <c r="F2309" s="48">
        <v>10</v>
      </c>
      <c r="G2309" s="38">
        <v>2.01</v>
      </c>
      <c r="H2309" s="39"/>
      <c r="I2309" s="39"/>
      <c r="J2309" s="39">
        <v>0.17</v>
      </c>
      <c r="K2309" s="39"/>
      <c r="L2309" s="39"/>
      <c r="M2309" s="39"/>
      <c r="N2309" s="39"/>
      <c r="O2309" s="39"/>
      <c r="P2309" s="39"/>
      <c r="Q2309" s="39">
        <v>1.17</v>
      </c>
      <c r="R2309" s="39"/>
      <c r="S2309" s="39"/>
      <c r="T2309" s="39">
        <v>0.5</v>
      </c>
      <c r="U2309" s="39">
        <v>0.17</v>
      </c>
      <c r="V2309" s="39"/>
      <c r="W2309" s="39"/>
      <c r="X2309" s="49">
        <v>6270</v>
      </c>
      <c r="Y2309" s="50">
        <v>6050</v>
      </c>
      <c r="Z2309" s="51">
        <v>6096</v>
      </c>
      <c r="AA2309" s="52">
        <f t="shared" si="63"/>
        <v>1.00760330578512</v>
      </c>
      <c r="AB2309" s="12">
        <v>5995</v>
      </c>
      <c r="AC2309" s="12">
        <v>101</v>
      </c>
      <c r="AD2309" s="19">
        <v>101</v>
      </c>
      <c r="AE2309" s="43"/>
      <c r="AF2309" s="43"/>
      <c r="AG2309" s="43"/>
      <c r="AH2309" s="43"/>
      <c r="AI2309" s="43"/>
      <c r="AJ2309" s="43"/>
      <c r="AK2309" s="43"/>
      <c r="AL2309" s="43"/>
      <c r="AM2309" s="43"/>
      <c r="AN2309" s="43"/>
      <c r="AO2309" s="43"/>
      <c r="AP2309" s="43"/>
      <c r="AQ2309" s="43"/>
      <c r="AR2309" s="43"/>
      <c r="AS2309" s="43"/>
      <c r="AT2309" s="43"/>
      <c r="AU2309" s="43"/>
      <c r="AV2309" s="43"/>
    </row>
    <row r="2310" ht="15.75" spans="1:48">
      <c r="A2310" s="12">
        <v>2306</v>
      </c>
      <c r="B2310" s="44">
        <v>2865</v>
      </c>
      <c r="C2310" s="45" t="s">
        <v>149</v>
      </c>
      <c r="D2310" s="46">
        <v>15</v>
      </c>
      <c r="E2310" s="47" t="s">
        <v>50</v>
      </c>
      <c r="F2310" s="48">
        <v>10.5</v>
      </c>
      <c r="G2310" s="38">
        <v>1.01</v>
      </c>
      <c r="H2310" s="39"/>
      <c r="I2310" s="39"/>
      <c r="J2310" s="39"/>
      <c r="K2310" s="39">
        <v>0.17</v>
      </c>
      <c r="L2310" s="39"/>
      <c r="M2310" s="39"/>
      <c r="N2310" s="39"/>
      <c r="O2310" s="39"/>
      <c r="P2310" s="39"/>
      <c r="Q2310" s="39">
        <v>0.17</v>
      </c>
      <c r="R2310" s="39"/>
      <c r="S2310" s="39"/>
      <c r="T2310" s="39">
        <v>0.5</v>
      </c>
      <c r="U2310" s="39">
        <v>0.17</v>
      </c>
      <c r="V2310" s="39"/>
      <c r="W2310" s="39"/>
      <c r="X2310" s="49">
        <v>3880</v>
      </c>
      <c r="Y2310" s="50">
        <v>4200</v>
      </c>
      <c r="Z2310" s="51">
        <v>4062</v>
      </c>
      <c r="AA2310" s="52">
        <f t="shared" si="63"/>
        <v>0.967142857142857</v>
      </c>
      <c r="AB2310" s="12">
        <v>3924</v>
      </c>
      <c r="AC2310" s="12">
        <v>138</v>
      </c>
      <c r="AD2310" s="19">
        <v>138</v>
      </c>
      <c r="AE2310" s="43"/>
      <c r="AF2310" s="43"/>
      <c r="AG2310" s="43"/>
      <c r="AH2310" s="43"/>
      <c r="AI2310" s="43"/>
      <c r="AJ2310" s="43"/>
      <c r="AK2310" s="43"/>
      <c r="AL2310" s="43"/>
      <c r="AM2310" s="43"/>
      <c r="AN2310" s="43"/>
      <c r="AO2310" s="43"/>
      <c r="AP2310" s="43"/>
      <c r="AQ2310" s="43"/>
      <c r="AR2310" s="43"/>
      <c r="AS2310" s="43"/>
      <c r="AT2310" s="43"/>
      <c r="AU2310" s="43"/>
      <c r="AV2310" s="43"/>
    </row>
    <row r="2311" ht="15.75" spans="1:48">
      <c r="A2311" s="12">
        <v>2307</v>
      </c>
      <c r="B2311" s="44">
        <v>4412</v>
      </c>
      <c r="C2311" s="45" t="s">
        <v>177</v>
      </c>
      <c r="D2311" s="46">
        <v>16</v>
      </c>
      <c r="E2311" s="47" t="s">
        <v>50</v>
      </c>
      <c r="F2311" s="48">
        <v>5</v>
      </c>
      <c r="G2311" s="38">
        <v>1.33</v>
      </c>
      <c r="H2311" s="39"/>
      <c r="I2311" s="39"/>
      <c r="J2311" s="39"/>
      <c r="K2311" s="39"/>
      <c r="L2311" s="39"/>
      <c r="M2311" s="39"/>
      <c r="N2311" s="39"/>
      <c r="O2311" s="39"/>
      <c r="P2311" s="39"/>
      <c r="Q2311" s="39">
        <v>0.83</v>
      </c>
      <c r="R2311" s="39"/>
      <c r="S2311" s="39"/>
      <c r="T2311" s="39">
        <v>0.33</v>
      </c>
      <c r="U2311" s="39">
        <v>0.17</v>
      </c>
      <c r="V2311" s="39"/>
      <c r="W2311" s="39"/>
      <c r="X2311" s="49">
        <v>6773</v>
      </c>
      <c r="Y2311" s="50">
        <v>600</v>
      </c>
      <c r="Z2311" s="51">
        <v>565</v>
      </c>
      <c r="AA2311" s="52">
        <f t="shared" si="63"/>
        <v>0.941666666666667</v>
      </c>
      <c r="AB2311" s="12">
        <v>533</v>
      </c>
      <c r="AC2311" s="12">
        <v>32</v>
      </c>
      <c r="AD2311" s="19">
        <v>32</v>
      </c>
      <c r="AE2311" s="43"/>
      <c r="AF2311" s="43"/>
      <c r="AG2311" s="43"/>
      <c r="AH2311" s="43"/>
      <c r="AI2311" s="43"/>
      <c r="AJ2311" s="43"/>
      <c r="AK2311" s="43"/>
      <c r="AL2311" s="43"/>
      <c r="AM2311" s="43"/>
      <c r="AN2311" s="43"/>
      <c r="AO2311" s="43"/>
      <c r="AP2311" s="43"/>
      <c r="AQ2311" s="43"/>
      <c r="AR2311" s="43"/>
      <c r="AS2311" s="43"/>
      <c r="AT2311" s="43"/>
      <c r="AU2311" s="43"/>
      <c r="AV2311" s="43"/>
    </row>
    <row r="2312" ht="15.75" spans="1:48">
      <c r="A2312" s="12">
        <v>2308</v>
      </c>
      <c r="B2312" s="44">
        <v>4017</v>
      </c>
      <c r="C2312" s="45" t="s">
        <v>148</v>
      </c>
      <c r="D2312" s="46">
        <v>3</v>
      </c>
      <c r="E2312" s="47" t="s">
        <v>50</v>
      </c>
      <c r="F2312" s="48">
        <v>7.33</v>
      </c>
      <c r="G2312" s="38">
        <v>3.01</v>
      </c>
      <c r="H2312" s="39"/>
      <c r="I2312" s="39"/>
      <c r="J2312" s="39"/>
      <c r="K2312" s="39"/>
      <c r="L2312" s="39"/>
      <c r="M2312" s="39"/>
      <c r="N2312" s="39"/>
      <c r="O2312" s="39"/>
      <c r="P2312" s="39"/>
      <c r="Q2312" s="39">
        <v>1.17</v>
      </c>
      <c r="R2312" s="39"/>
      <c r="S2312" s="39">
        <v>1</v>
      </c>
      <c r="T2312" s="39">
        <v>0.67</v>
      </c>
      <c r="U2312" s="39">
        <v>0.17</v>
      </c>
      <c r="V2312" s="39"/>
      <c r="W2312" s="39"/>
      <c r="X2312" s="49" t="s">
        <v>439</v>
      </c>
      <c r="Y2312" s="50">
        <v>3811.6</v>
      </c>
      <c r="Z2312" s="51">
        <v>3600</v>
      </c>
      <c r="AA2312" s="52">
        <f t="shared" si="63"/>
        <v>0.944485255535733</v>
      </c>
      <c r="AB2312" s="12">
        <v>3333</v>
      </c>
      <c r="AC2312" s="12">
        <v>267</v>
      </c>
      <c r="AD2312" s="19">
        <v>267</v>
      </c>
      <c r="AE2312" s="43"/>
      <c r="AF2312" s="43"/>
      <c r="AG2312" s="43"/>
      <c r="AH2312" s="43"/>
      <c r="AI2312" s="43"/>
      <c r="AJ2312" s="43"/>
      <c r="AK2312" s="43"/>
      <c r="AL2312" s="43"/>
      <c r="AM2312" s="43"/>
      <c r="AN2312" s="43"/>
      <c r="AO2312" s="43"/>
      <c r="AP2312" s="43"/>
      <c r="AQ2312" s="43"/>
      <c r="AR2312" s="43"/>
      <c r="AS2312" s="43"/>
      <c r="AT2312" s="43"/>
      <c r="AU2312" s="43"/>
      <c r="AV2312" s="43"/>
    </row>
    <row r="2313" ht="15.75" spans="1:48">
      <c r="A2313" s="12">
        <v>2309</v>
      </c>
      <c r="B2313" s="44">
        <v>551</v>
      </c>
      <c r="C2313" s="45" t="s">
        <v>146</v>
      </c>
      <c r="D2313" s="46">
        <v>5</v>
      </c>
      <c r="E2313" s="47" t="s">
        <v>50</v>
      </c>
      <c r="F2313" s="48">
        <v>7</v>
      </c>
      <c r="G2313" s="38">
        <v>1.34</v>
      </c>
      <c r="H2313" s="39"/>
      <c r="I2313" s="39"/>
      <c r="J2313" s="39"/>
      <c r="K2313" s="39"/>
      <c r="L2313" s="39"/>
      <c r="M2313" s="39"/>
      <c r="N2313" s="39"/>
      <c r="O2313" s="39"/>
      <c r="P2313" s="39"/>
      <c r="Q2313" s="39">
        <v>1.17</v>
      </c>
      <c r="R2313" s="39"/>
      <c r="S2313" s="39"/>
      <c r="T2313" s="39"/>
      <c r="U2313" s="39">
        <v>0.17</v>
      </c>
      <c r="V2313" s="39"/>
      <c r="W2313" s="39"/>
      <c r="X2313" s="49" t="s">
        <v>228</v>
      </c>
      <c r="Y2313" s="50">
        <v>10150</v>
      </c>
      <c r="Z2313" s="51">
        <v>10350</v>
      </c>
      <c r="AA2313" s="52">
        <f t="shared" si="63"/>
        <v>1.01970443349754</v>
      </c>
      <c r="AB2313" s="12">
        <v>10350</v>
      </c>
      <c r="AC2313" s="12">
        <v>0</v>
      </c>
      <c r="AD2313" s="43"/>
      <c r="AE2313" s="43"/>
      <c r="AF2313" s="43"/>
      <c r="AG2313" s="43"/>
      <c r="AH2313" s="43"/>
      <c r="AI2313" s="43"/>
      <c r="AJ2313" s="43"/>
      <c r="AK2313" s="43"/>
      <c r="AL2313" s="43"/>
      <c r="AM2313" s="43"/>
      <c r="AN2313" s="43"/>
      <c r="AO2313" s="43"/>
      <c r="AP2313" s="43"/>
      <c r="AQ2313" s="43"/>
      <c r="AR2313" s="43"/>
      <c r="AS2313" s="43"/>
      <c r="AT2313" s="43"/>
      <c r="AU2313" s="43"/>
      <c r="AV2313" s="43"/>
    </row>
    <row r="2314" ht="15.75" spans="1:48">
      <c r="A2314" s="12">
        <v>2310</v>
      </c>
      <c r="B2314" s="44">
        <v>551</v>
      </c>
      <c r="C2314" s="45" t="s">
        <v>146</v>
      </c>
      <c r="D2314" s="46">
        <v>7</v>
      </c>
      <c r="E2314" s="47" t="s">
        <v>50</v>
      </c>
      <c r="F2314" s="48">
        <v>2.5</v>
      </c>
      <c r="G2314" s="38">
        <v>0.17</v>
      </c>
      <c r="H2314" s="39"/>
      <c r="I2314" s="39"/>
      <c r="J2314" s="39"/>
      <c r="K2314" s="39"/>
      <c r="L2314" s="39"/>
      <c r="M2314" s="39"/>
      <c r="N2314" s="39"/>
      <c r="O2314" s="39"/>
      <c r="P2314" s="39"/>
      <c r="Q2314" s="39"/>
      <c r="R2314" s="39"/>
      <c r="S2314" s="39"/>
      <c r="T2314" s="39"/>
      <c r="U2314" s="39">
        <v>0.17</v>
      </c>
      <c r="V2314" s="39"/>
      <c r="W2314" s="39"/>
      <c r="X2314" s="49" t="s">
        <v>95</v>
      </c>
      <c r="Y2314" s="50">
        <v>3500</v>
      </c>
      <c r="Z2314" s="51">
        <v>3500</v>
      </c>
      <c r="AA2314" s="52">
        <f t="shared" si="63"/>
        <v>1</v>
      </c>
      <c r="AB2314" s="12">
        <v>3500</v>
      </c>
      <c r="AC2314" s="12">
        <v>0</v>
      </c>
      <c r="AD2314" s="43"/>
      <c r="AE2314" s="43"/>
      <c r="AF2314" s="43"/>
      <c r="AG2314" s="43"/>
      <c r="AH2314" s="43"/>
      <c r="AI2314" s="43"/>
      <c r="AJ2314" s="43"/>
      <c r="AK2314" s="43"/>
      <c r="AL2314" s="43"/>
      <c r="AM2314" s="43"/>
      <c r="AN2314" s="43"/>
      <c r="AO2314" s="43"/>
      <c r="AP2314" s="43"/>
      <c r="AQ2314" s="43"/>
      <c r="AR2314" s="43"/>
      <c r="AS2314" s="43"/>
      <c r="AT2314" s="43"/>
      <c r="AU2314" s="43"/>
      <c r="AV2314" s="43"/>
    </row>
    <row r="2315" ht="15.75" spans="1:48">
      <c r="A2315" s="12">
        <v>2311</v>
      </c>
      <c r="B2315" s="44">
        <v>4384</v>
      </c>
      <c r="C2315" s="45" t="s">
        <v>145</v>
      </c>
      <c r="D2315" s="46">
        <v>18</v>
      </c>
      <c r="E2315" s="47" t="s">
        <v>50</v>
      </c>
      <c r="F2315" s="48">
        <v>9.67</v>
      </c>
      <c r="G2315" s="38">
        <v>1.84</v>
      </c>
      <c r="H2315" s="39"/>
      <c r="I2315" s="39"/>
      <c r="J2315" s="39"/>
      <c r="K2315" s="39"/>
      <c r="L2315" s="39"/>
      <c r="M2315" s="39"/>
      <c r="N2315" s="39"/>
      <c r="O2315" s="39"/>
      <c r="P2315" s="39"/>
      <c r="Q2315" s="39">
        <v>1.17</v>
      </c>
      <c r="R2315" s="39"/>
      <c r="S2315" s="39"/>
      <c r="T2315" s="39">
        <v>0.5</v>
      </c>
      <c r="U2315" s="39">
        <v>0.17</v>
      </c>
      <c r="V2315" s="39"/>
      <c r="W2315" s="39"/>
      <c r="X2315" s="49">
        <v>2801</v>
      </c>
      <c r="Y2315" s="50">
        <v>5850.35</v>
      </c>
      <c r="Z2315" s="51">
        <v>5760</v>
      </c>
      <c r="AA2315" s="52">
        <f t="shared" si="63"/>
        <v>0.984556479526866</v>
      </c>
      <c r="AB2315" s="12">
        <v>5590</v>
      </c>
      <c r="AC2315" s="12">
        <v>170</v>
      </c>
      <c r="AD2315" s="19">
        <v>170</v>
      </c>
      <c r="AE2315" s="43"/>
      <c r="AF2315" s="43"/>
      <c r="AG2315" s="43"/>
      <c r="AH2315" s="43"/>
      <c r="AI2315" s="43"/>
      <c r="AJ2315" s="43"/>
      <c r="AK2315" s="43"/>
      <c r="AL2315" s="43"/>
      <c r="AM2315" s="43"/>
      <c r="AN2315" s="43"/>
      <c r="AO2315" s="43"/>
      <c r="AP2315" s="43"/>
      <c r="AQ2315" s="43"/>
      <c r="AR2315" s="43"/>
      <c r="AS2315" s="43"/>
      <c r="AT2315" s="43"/>
      <c r="AU2315" s="43"/>
      <c r="AV2315" s="43"/>
    </row>
    <row r="2316" ht="15.75" spans="1:48">
      <c r="A2316" s="12">
        <v>2312</v>
      </c>
      <c r="B2316" s="44">
        <v>666</v>
      </c>
      <c r="C2316" s="45" t="s">
        <v>151</v>
      </c>
      <c r="D2316" s="46"/>
      <c r="E2316" s="47" t="s">
        <v>50</v>
      </c>
      <c r="F2316" s="48">
        <v>6.83</v>
      </c>
      <c r="G2316" s="38">
        <v>4.17</v>
      </c>
      <c r="H2316" s="39"/>
      <c r="I2316" s="39"/>
      <c r="J2316" s="39"/>
      <c r="K2316" s="39"/>
      <c r="L2316" s="39"/>
      <c r="M2316" s="39"/>
      <c r="N2316" s="39"/>
      <c r="O2316" s="39"/>
      <c r="P2316" s="39"/>
      <c r="Q2316" s="39">
        <v>1.17</v>
      </c>
      <c r="R2316" s="39"/>
      <c r="S2316" s="39">
        <v>2.33</v>
      </c>
      <c r="T2316" s="39">
        <v>0.5</v>
      </c>
      <c r="U2316" s="39">
        <v>0.17</v>
      </c>
      <c r="V2316" s="39"/>
      <c r="W2316" s="39"/>
      <c r="X2316" s="49" t="s">
        <v>90</v>
      </c>
      <c r="Y2316" s="50">
        <v>3210.1</v>
      </c>
      <c r="Z2316" s="51">
        <v>2520</v>
      </c>
      <c r="AA2316" s="52">
        <f t="shared" si="63"/>
        <v>0.785022273449425</v>
      </c>
      <c r="AB2316" s="12">
        <v>2520</v>
      </c>
      <c r="AC2316" s="12">
        <v>0</v>
      </c>
      <c r="AD2316" s="43"/>
      <c r="AE2316" s="43"/>
      <c r="AF2316" s="43"/>
      <c r="AG2316" s="43"/>
      <c r="AH2316" s="43"/>
      <c r="AI2316" s="43"/>
      <c r="AJ2316" s="43"/>
      <c r="AK2316" s="43"/>
      <c r="AL2316" s="43"/>
      <c r="AM2316" s="43"/>
      <c r="AN2316" s="43"/>
      <c r="AO2316" s="43"/>
      <c r="AP2316" s="43"/>
      <c r="AQ2316" s="43"/>
      <c r="AR2316" s="43"/>
      <c r="AS2316" s="43"/>
      <c r="AT2316" s="43"/>
      <c r="AU2316" s="43"/>
      <c r="AV2316" s="43"/>
    </row>
    <row r="2317" ht="15.75" spans="1:48">
      <c r="A2317" s="12">
        <v>2313</v>
      </c>
      <c r="B2317" s="44">
        <v>4342</v>
      </c>
      <c r="C2317" s="45" t="s">
        <v>147</v>
      </c>
      <c r="D2317" s="46"/>
      <c r="E2317" s="47" t="s">
        <v>50</v>
      </c>
      <c r="F2317" s="48">
        <v>1.67</v>
      </c>
      <c r="G2317" s="38">
        <v>0</v>
      </c>
      <c r="H2317" s="39"/>
      <c r="I2317" s="39"/>
      <c r="J2317" s="39"/>
      <c r="K2317" s="39"/>
      <c r="L2317" s="39"/>
      <c r="M2317" s="39"/>
      <c r="N2317" s="39"/>
      <c r="O2317" s="39"/>
      <c r="P2317" s="39"/>
      <c r="Q2317" s="39"/>
      <c r="R2317" s="39"/>
      <c r="S2317" s="39"/>
      <c r="T2317" s="39"/>
      <c r="U2317" s="39"/>
      <c r="V2317" s="39"/>
      <c r="W2317" s="39"/>
      <c r="X2317" s="49" t="s">
        <v>447</v>
      </c>
      <c r="Y2317" s="50">
        <v>784.9</v>
      </c>
      <c r="Z2317" s="51">
        <v>720</v>
      </c>
      <c r="AA2317" s="52">
        <f t="shared" si="63"/>
        <v>0.917314307555103</v>
      </c>
      <c r="AB2317" s="12">
        <v>720</v>
      </c>
      <c r="AC2317" s="12">
        <v>0</v>
      </c>
      <c r="AD2317" s="43"/>
      <c r="AE2317" s="43"/>
      <c r="AF2317" s="43"/>
      <c r="AG2317" s="43"/>
      <c r="AH2317" s="43"/>
      <c r="AI2317" s="43"/>
      <c r="AJ2317" s="43"/>
      <c r="AK2317" s="43"/>
      <c r="AL2317" s="43"/>
      <c r="AM2317" s="43"/>
      <c r="AN2317" s="43"/>
      <c r="AO2317" s="43"/>
      <c r="AP2317" s="43"/>
      <c r="AQ2317" s="43"/>
      <c r="AR2317" s="43"/>
      <c r="AS2317" s="43"/>
      <c r="AT2317" s="43"/>
      <c r="AU2317" s="43"/>
      <c r="AV2317" s="43"/>
    </row>
    <row r="2318" ht="15.75" spans="1:48">
      <c r="A2318" s="12">
        <v>2314</v>
      </c>
      <c r="B2318" s="44">
        <v>4342</v>
      </c>
      <c r="C2318" s="45" t="s">
        <v>147</v>
      </c>
      <c r="D2318" s="46"/>
      <c r="E2318" s="47" t="s">
        <v>50</v>
      </c>
      <c r="F2318" s="48">
        <v>5</v>
      </c>
      <c r="G2318" s="38">
        <v>2.01</v>
      </c>
      <c r="H2318" s="39"/>
      <c r="I2318" s="39"/>
      <c r="J2318" s="39"/>
      <c r="K2318" s="39"/>
      <c r="L2318" s="39"/>
      <c r="M2318" s="39"/>
      <c r="N2318" s="39"/>
      <c r="O2318" s="39"/>
      <c r="P2318" s="39"/>
      <c r="Q2318" s="39">
        <v>1.17</v>
      </c>
      <c r="R2318" s="39"/>
      <c r="S2318" s="39"/>
      <c r="T2318" s="39">
        <v>0.67</v>
      </c>
      <c r="U2318" s="39">
        <v>0.17</v>
      </c>
      <c r="V2318" s="39"/>
      <c r="W2318" s="39"/>
      <c r="X2318" s="49" t="s">
        <v>98</v>
      </c>
      <c r="Y2318" s="50">
        <v>2350</v>
      </c>
      <c r="Z2318" s="51">
        <v>2160</v>
      </c>
      <c r="AA2318" s="52">
        <f t="shared" si="63"/>
        <v>0.919148936170213</v>
      </c>
      <c r="AB2318" s="12">
        <v>2160</v>
      </c>
      <c r="AC2318" s="12">
        <v>0</v>
      </c>
      <c r="AD2318" s="43"/>
      <c r="AE2318" s="43"/>
      <c r="AF2318" s="43"/>
      <c r="AG2318" s="43"/>
      <c r="AH2318" s="43"/>
      <c r="AI2318" s="43"/>
      <c r="AJ2318" s="43"/>
      <c r="AK2318" s="43"/>
      <c r="AL2318" s="43"/>
      <c r="AM2318" s="43"/>
      <c r="AN2318" s="43"/>
      <c r="AO2318" s="43"/>
      <c r="AP2318" s="43"/>
      <c r="AQ2318" s="43"/>
      <c r="AR2318" s="43"/>
      <c r="AS2318" s="43"/>
      <c r="AT2318" s="43"/>
      <c r="AU2318" s="43"/>
      <c r="AV2318" s="43"/>
    </row>
    <row r="2319" ht="15.75" spans="1:48">
      <c r="A2319" s="12">
        <v>2315</v>
      </c>
      <c r="B2319" s="44">
        <v>4342</v>
      </c>
      <c r="C2319" s="45" t="s">
        <v>147</v>
      </c>
      <c r="D2319" s="46"/>
      <c r="E2319" s="47" t="s">
        <v>50</v>
      </c>
      <c r="F2319" s="48">
        <v>3.33</v>
      </c>
      <c r="G2319" s="38">
        <v>0</v>
      </c>
      <c r="H2319" s="39"/>
      <c r="I2319" s="39"/>
      <c r="J2319" s="39"/>
      <c r="K2319" s="39"/>
      <c r="L2319" s="39"/>
      <c r="M2319" s="39"/>
      <c r="N2319" s="39"/>
      <c r="O2319" s="39"/>
      <c r="P2319" s="39"/>
      <c r="Q2319" s="39"/>
      <c r="R2319" s="39"/>
      <c r="S2319" s="39"/>
      <c r="T2319" s="39"/>
      <c r="U2319" s="39"/>
      <c r="V2319" s="39"/>
      <c r="W2319" s="39"/>
      <c r="X2319" s="49" t="s">
        <v>90</v>
      </c>
      <c r="Y2319" s="50">
        <v>1565.1</v>
      </c>
      <c r="Z2319" s="51">
        <v>1440</v>
      </c>
      <c r="AA2319" s="52">
        <f t="shared" si="63"/>
        <v>0.920069005175388</v>
      </c>
      <c r="AB2319" s="12">
        <v>1440</v>
      </c>
      <c r="AC2319" s="12">
        <v>0</v>
      </c>
      <c r="AD2319" s="43"/>
      <c r="AE2319" s="43"/>
      <c r="AF2319" s="43"/>
      <c r="AG2319" s="43"/>
      <c r="AH2319" s="43"/>
      <c r="AI2319" s="43"/>
      <c r="AJ2319" s="43"/>
      <c r="AK2319" s="43"/>
      <c r="AL2319" s="43"/>
      <c r="AM2319" s="43"/>
      <c r="AN2319" s="43"/>
      <c r="AO2319" s="43"/>
      <c r="AP2319" s="43"/>
      <c r="AQ2319" s="43"/>
      <c r="AR2319" s="43"/>
      <c r="AS2319" s="43"/>
      <c r="AT2319" s="43"/>
      <c r="AU2319" s="43"/>
      <c r="AV2319" s="43"/>
    </row>
    <row r="2320" ht="15.75" spans="1:48">
      <c r="A2320" s="12">
        <v>2316</v>
      </c>
      <c r="B2320" s="44">
        <v>4110</v>
      </c>
      <c r="C2320" s="45" t="s">
        <v>135</v>
      </c>
      <c r="D2320" s="46"/>
      <c r="E2320" s="47" t="s">
        <v>50</v>
      </c>
      <c r="F2320" s="48">
        <v>0.67</v>
      </c>
      <c r="G2320" s="38">
        <v>0</v>
      </c>
      <c r="H2320" s="39"/>
      <c r="I2320" s="39"/>
      <c r="J2320" s="39"/>
      <c r="K2320" s="39"/>
      <c r="L2320" s="39"/>
      <c r="M2320" s="39"/>
      <c r="N2320" s="39"/>
      <c r="O2320" s="39"/>
      <c r="P2320" s="39"/>
      <c r="Q2320" s="39"/>
      <c r="R2320" s="39"/>
      <c r="S2320" s="39"/>
      <c r="T2320" s="39"/>
      <c r="U2320" s="39"/>
      <c r="V2320" s="39"/>
      <c r="W2320" s="39"/>
      <c r="X2320" s="49" t="s">
        <v>103</v>
      </c>
      <c r="Y2320" s="50">
        <v>562.8</v>
      </c>
      <c r="Z2320" s="51">
        <v>807</v>
      </c>
      <c r="AA2320" s="52">
        <f t="shared" si="63"/>
        <v>1.43390191897655</v>
      </c>
      <c r="AB2320" s="12">
        <v>807</v>
      </c>
      <c r="AC2320" s="12">
        <v>0</v>
      </c>
      <c r="AD2320" s="43"/>
      <c r="AE2320" s="43"/>
      <c r="AF2320" s="43"/>
      <c r="AG2320" s="43"/>
      <c r="AH2320" s="43"/>
      <c r="AI2320" s="43"/>
      <c r="AJ2320" s="43"/>
      <c r="AK2320" s="43"/>
      <c r="AL2320" s="43"/>
      <c r="AM2320" s="43"/>
      <c r="AN2320" s="43"/>
      <c r="AO2320" s="43"/>
      <c r="AP2320" s="43"/>
      <c r="AQ2320" s="43"/>
      <c r="AR2320" s="43"/>
      <c r="AS2320" s="43"/>
      <c r="AT2320" s="43"/>
      <c r="AU2320" s="43"/>
      <c r="AV2320" s="43"/>
    </row>
    <row r="2321" ht="15.75" spans="1:48">
      <c r="A2321" s="12">
        <v>2317</v>
      </c>
      <c r="B2321" s="44">
        <v>1448</v>
      </c>
      <c r="C2321" s="45" t="s">
        <v>296</v>
      </c>
      <c r="D2321" s="46"/>
      <c r="E2321" s="47" t="s">
        <v>50</v>
      </c>
      <c r="F2321" s="48">
        <v>2</v>
      </c>
      <c r="G2321" s="38">
        <v>1.17</v>
      </c>
      <c r="H2321" s="39"/>
      <c r="I2321" s="39"/>
      <c r="J2321" s="39"/>
      <c r="K2321" s="39"/>
      <c r="L2321" s="39"/>
      <c r="M2321" s="39"/>
      <c r="N2321" s="39"/>
      <c r="O2321" s="39"/>
      <c r="P2321" s="39"/>
      <c r="Q2321" s="39">
        <v>1.17</v>
      </c>
      <c r="R2321" s="39"/>
      <c r="S2321" s="39"/>
      <c r="T2321" s="39"/>
      <c r="U2321" s="39"/>
      <c r="V2321" s="39"/>
      <c r="W2321" s="39"/>
      <c r="X2321" s="49" t="s">
        <v>103</v>
      </c>
      <c r="Y2321" s="50">
        <v>1680</v>
      </c>
      <c r="Z2321" s="51">
        <v>1680</v>
      </c>
      <c r="AA2321" s="52">
        <f t="shared" si="63"/>
        <v>1</v>
      </c>
      <c r="AB2321" s="12">
        <v>1680</v>
      </c>
      <c r="AC2321" s="12">
        <v>0</v>
      </c>
      <c r="AD2321" s="43"/>
      <c r="AE2321" s="43"/>
      <c r="AF2321" s="43"/>
      <c r="AG2321" s="43"/>
      <c r="AH2321" s="43"/>
      <c r="AI2321" s="43"/>
      <c r="AJ2321" s="43"/>
      <c r="AK2321" s="43"/>
      <c r="AL2321" s="43"/>
      <c r="AM2321" s="43"/>
      <c r="AN2321" s="43"/>
      <c r="AO2321" s="43"/>
      <c r="AP2321" s="43"/>
      <c r="AQ2321" s="43"/>
      <c r="AR2321" s="43"/>
      <c r="AS2321" s="43"/>
      <c r="AT2321" s="43"/>
      <c r="AU2321" s="43"/>
      <c r="AV2321" s="43"/>
    </row>
    <row r="2322" ht="15.75" spans="1:48">
      <c r="A2322" s="12">
        <v>2318</v>
      </c>
      <c r="B2322" s="44">
        <v>1448</v>
      </c>
      <c r="C2322" s="45" t="s">
        <v>296</v>
      </c>
      <c r="D2322" s="46"/>
      <c r="E2322" s="47" t="s">
        <v>50</v>
      </c>
      <c r="F2322" s="48">
        <v>8.83</v>
      </c>
      <c r="G2322" s="38">
        <v>0</v>
      </c>
      <c r="H2322" s="39"/>
      <c r="I2322" s="39"/>
      <c r="J2322" s="39"/>
      <c r="K2322" s="39"/>
      <c r="L2322" s="39"/>
      <c r="M2322" s="39"/>
      <c r="N2322" s="39"/>
      <c r="O2322" s="39"/>
      <c r="P2322" s="39"/>
      <c r="Q2322" s="39"/>
      <c r="R2322" s="39"/>
      <c r="S2322" s="39"/>
      <c r="T2322" s="39"/>
      <c r="U2322" s="39"/>
      <c r="V2322" s="39"/>
      <c r="W2322" s="39"/>
      <c r="X2322" s="49" t="s">
        <v>448</v>
      </c>
      <c r="Y2322" s="50">
        <v>0</v>
      </c>
      <c r="Z2322" s="51"/>
      <c r="AA2322" s="52">
        <f t="shared" si="63"/>
        <v>0</v>
      </c>
      <c r="AB2322" s="12">
        <v>0</v>
      </c>
      <c r="AC2322" s="12">
        <v>0</v>
      </c>
      <c r="AD2322" s="43"/>
      <c r="AE2322" s="43"/>
      <c r="AF2322" s="43"/>
      <c r="AG2322" s="43"/>
      <c r="AH2322" s="43"/>
      <c r="AI2322" s="43"/>
      <c r="AJ2322" s="43"/>
      <c r="AK2322" s="43"/>
      <c r="AL2322" s="43"/>
      <c r="AM2322" s="43"/>
      <c r="AN2322" s="43"/>
      <c r="AO2322" s="43"/>
      <c r="AP2322" s="43"/>
      <c r="AQ2322" s="43"/>
      <c r="AR2322" s="43"/>
      <c r="AS2322" s="43"/>
      <c r="AT2322" s="43"/>
      <c r="AU2322" s="43"/>
      <c r="AV2322" s="43"/>
    </row>
    <row r="2323" ht="15.75" spans="1:48">
      <c r="A2323" s="12">
        <v>2319</v>
      </c>
      <c r="B2323" s="44" t="s">
        <v>339</v>
      </c>
      <c r="C2323" s="45" t="s">
        <v>340</v>
      </c>
      <c r="D2323" s="46"/>
      <c r="E2323" s="47" t="s">
        <v>50</v>
      </c>
      <c r="F2323" s="48">
        <v>10.83</v>
      </c>
      <c r="G2323" s="38">
        <v>1.17</v>
      </c>
      <c r="H2323" s="39"/>
      <c r="I2323" s="39"/>
      <c r="J2323" s="39"/>
      <c r="K2323" s="39"/>
      <c r="L2323" s="39"/>
      <c r="M2323" s="39"/>
      <c r="N2323" s="39"/>
      <c r="O2323" s="39"/>
      <c r="P2323" s="39"/>
      <c r="Q2323" s="39">
        <v>1.17</v>
      </c>
      <c r="R2323" s="39"/>
      <c r="S2323" s="39"/>
      <c r="T2323" s="39"/>
      <c r="U2323" s="39"/>
      <c r="V2323" s="39"/>
      <c r="W2323" s="39"/>
      <c r="X2323" s="49" t="s">
        <v>103</v>
      </c>
      <c r="Y2323" s="50">
        <v>9097.2</v>
      </c>
      <c r="Z2323" s="51">
        <v>8109</v>
      </c>
      <c r="AA2323" s="52">
        <f t="shared" si="63"/>
        <v>0.891373169766521</v>
      </c>
      <c r="AB2323" s="12">
        <v>8109</v>
      </c>
      <c r="AC2323" s="12">
        <v>0</v>
      </c>
      <c r="AD2323" s="43"/>
      <c r="AE2323" s="43"/>
      <c r="AF2323" s="43"/>
      <c r="AG2323" s="43"/>
      <c r="AH2323" s="43"/>
      <c r="AI2323" s="43"/>
      <c r="AJ2323" s="43"/>
      <c r="AK2323" s="43"/>
      <c r="AL2323" s="43"/>
      <c r="AM2323" s="43"/>
      <c r="AN2323" s="43"/>
      <c r="AO2323" s="43"/>
      <c r="AP2323" s="43"/>
      <c r="AQ2323" s="43"/>
      <c r="AR2323" s="43"/>
      <c r="AS2323" s="43"/>
      <c r="AT2323" s="43"/>
      <c r="AU2323" s="43"/>
      <c r="AV2323" s="43"/>
    </row>
    <row r="2324" ht="15.75" spans="1:48">
      <c r="A2324" s="12">
        <v>2320</v>
      </c>
      <c r="B2324" s="44">
        <v>2865</v>
      </c>
      <c r="C2324" s="45" t="s">
        <v>149</v>
      </c>
      <c r="D2324" s="46"/>
      <c r="E2324" s="47" t="s">
        <v>50</v>
      </c>
      <c r="F2324" s="48">
        <v>0.5</v>
      </c>
      <c r="G2324" s="38">
        <v>0</v>
      </c>
      <c r="H2324" s="39"/>
      <c r="I2324" s="39"/>
      <c r="J2324" s="39"/>
      <c r="K2324" s="39"/>
      <c r="L2324" s="39"/>
      <c r="M2324" s="39"/>
      <c r="N2324" s="39"/>
      <c r="O2324" s="39"/>
      <c r="P2324" s="39"/>
      <c r="Q2324" s="39"/>
      <c r="R2324" s="39"/>
      <c r="S2324" s="39"/>
      <c r="T2324" s="39"/>
      <c r="U2324" s="39"/>
      <c r="V2324" s="39"/>
      <c r="W2324" s="39"/>
      <c r="X2324" s="49" t="s">
        <v>103</v>
      </c>
      <c r="Y2324" s="50">
        <v>420</v>
      </c>
      <c r="Z2324" s="51">
        <v>462</v>
      </c>
      <c r="AA2324" s="52">
        <f t="shared" si="63"/>
        <v>1.1</v>
      </c>
      <c r="AB2324" s="12">
        <v>462</v>
      </c>
      <c r="AC2324" s="12">
        <v>0</v>
      </c>
      <c r="AD2324" s="43"/>
      <c r="AE2324" s="43"/>
      <c r="AF2324" s="43"/>
      <c r="AG2324" s="43"/>
      <c r="AH2324" s="43"/>
      <c r="AI2324" s="43"/>
      <c r="AJ2324" s="43"/>
      <c r="AK2324" s="43"/>
      <c r="AL2324" s="43"/>
      <c r="AM2324" s="43"/>
      <c r="AN2324" s="43"/>
      <c r="AO2324" s="43"/>
      <c r="AP2324" s="43"/>
      <c r="AQ2324" s="43"/>
      <c r="AR2324" s="43"/>
      <c r="AS2324" s="43"/>
      <c r="AT2324" s="43"/>
      <c r="AU2324" s="43"/>
      <c r="AV2324" s="43"/>
    </row>
    <row r="2325" ht="15.75" spans="1:48">
      <c r="A2325" s="12">
        <v>2321</v>
      </c>
      <c r="B2325" s="44">
        <v>4017</v>
      </c>
      <c r="C2325" s="45" t="s">
        <v>148</v>
      </c>
      <c r="D2325" s="46"/>
      <c r="E2325" s="47" t="s">
        <v>50</v>
      </c>
      <c r="F2325" s="48">
        <v>1.67</v>
      </c>
      <c r="G2325" s="38">
        <v>0</v>
      </c>
      <c r="H2325" s="39"/>
      <c r="I2325" s="39"/>
      <c r="J2325" s="39"/>
      <c r="K2325" s="39"/>
      <c r="L2325" s="39"/>
      <c r="M2325" s="39"/>
      <c r="N2325" s="39"/>
      <c r="O2325" s="39"/>
      <c r="P2325" s="39"/>
      <c r="Q2325" s="39"/>
      <c r="R2325" s="39"/>
      <c r="S2325" s="39"/>
      <c r="T2325" s="39"/>
      <c r="U2325" s="39"/>
      <c r="V2325" s="39"/>
      <c r="W2325" s="39"/>
      <c r="X2325" s="49" t="s">
        <v>103</v>
      </c>
      <c r="Y2325" s="50">
        <v>1402.8</v>
      </c>
      <c r="Z2325" s="51">
        <v>1320</v>
      </c>
      <c r="AA2325" s="52">
        <f t="shared" si="63"/>
        <v>0.940975192472199</v>
      </c>
      <c r="AB2325" s="12">
        <v>1320</v>
      </c>
      <c r="AC2325" s="12">
        <v>0</v>
      </c>
      <c r="AD2325" s="43"/>
      <c r="AE2325" s="43"/>
      <c r="AF2325" s="43"/>
      <c r="AG2325" s="43"/>
      <c r="AH2325" s="43"/>
      <c r="AI2325" s="43"/>
      <c r="AJ2325" s="43"/>
      <c r="AK2325" s="43"/>
      <c r="AL2325" s="43"/>
      <c r="AM2325" s="43"/>
      <c r="AN2325" s="43"/>
      <c r="AO2325" s="43"/>
      <c r="AP2325" s="43"/>
      <c r="AQ2325" s="43"/>
      <c r="AR2325" s="43"/>
      <c r="AS2325" s="43"/>
      <c r="AT2325" s="43"/>
      <c r="AU2325" s="43"/>
      <c r="AV2325" s="43"/>
    </row>
    <row r="2326" ht="15.75" spans="1:48">
      <c r="A2326" s="12">
        <v>2322</v>
      </c>
      <c r="B2326" s="44">
        <v>4412</v>
      </c>
      <c r="C2326" s="45" t="s">
        <v>177</v>
      </c>
      <c r="D2326" s="46"/>
      <c r="E2326" s="47" t="s">
        <v>50</v>
      </c>
      <c r="F2326" s="48">
        <v>1.67</v>
      </c>
      <c r="G2326" s="38">
        <v>0</v>
      </c>
      <c r="H2326" s="39"/>
      <c r="I2326" s="39"/>
      <c r="J2326" s="39"/>
      <c r="K2326" s="39"/>
      <c r="L2326" s="39"/>
      <c r="M2326" s="39"/>
      <c r="N2326" s="39"/>
      <c r="O2326" s="39"/>
      <c r="P2326" s="39"/>
      <c r="Q2326" s="39"/>
      <c r="R2326" s="39"/>
      <c r="S2326" s="39"/>
      <c r="T2326" s="39"/>
      <c r="U2326" s="39"/>
      <c r="V2326" s="39"/>
      <c r="W2326" s="39"/>
      <c r="X2326" s="49" t="s">
        <v>186</v>
      </c>
      <c r="Y2326" s="50">
        <v>501</v>
      </c>
      <c r="Z2326" s="51">
        <v>565</v>
      </c>
      <c r="AA2326" s="52">
        <f t="shared" si="63"/>
        <v>1.12774451097804</v>
      </c>
      <c r="AB2326" s="12">
        <v>565</v>
      </c>
      <c r="AC2326" s="12">
        <v>0</v>
      </c>
      <c r="AD2326" s="43"/>
      <c r="AE2326" s="43"/>
      <c r="AF2326" s="43"/>
      <c r="AG2326" s="43"/>
      <c r="AH2326" s="43"/>
      <c r="AI2326" s="43"/>
      <c r="AJ2326" s="43"/>
      <c r="AK2326" s="43"/>
      <c r="AL2326" s="43"/>
      <c r="AM2326" s="43"/>
      <c r="AN2326" s="43"/>
      <c r="AO2326" s="43"/>
      <c r="AP2326" s="43"/>
      <c r="AQ2326" s="43"/>
      <c r="AR2326" s="43"/>
      <c r="AS2326" s="43"/>
      <c r="AT2326" s="43"/>
      <c r="AU2326" s="43"/>
      <c r="AV2326" s="43"/>
    </row>
    <row r="2327" ht="15.75" spans="1:48">
      <c r="A2327" s="12">
        <v>2323</v>
      </c>
      <c r="B2327" s="44">
        <v>692</v>
      </c>
      <c r="C2327" s="45" t="s">
        <v>142</v>
      </c>
      <c r="D2327" s="46"/>
      <c r="E2327" s="47" t="s">
        <v>50</v>
      </c>
      <c r="F2327" s="48">
        <v>2.67</v>
      </c>
      <c r="G2327" s="38">
        <v>1.34</v>
      </c>
      <c r="H2327" s="39"/>
      <c r="I2327" s="39"/>
      <c r="J2327" s="39"/>
      <c r="K2327" s="39"/>
      <c r="L2327" s="39"/>
      <c r="M2327" s="39"/>
      <c r="N2327" s="39"/>
      <c r="O2327" s="39"/>
      <c r="P2327" s="39"/>
      <c r="Q2327" s="39">
        <v>1.17</v>
      </c>
      <c r="R2327" s="39"/>
      <c r="S2327" s="39"/>
      <c r="T2327" s="39"/>
      <c r="U2327" s="39">
        <v>0.17</v>
      </c>
      <c r="V2327" s="39"/>
      <c r="W2327" s="39"/>
      <c r="X2327" s="49" t="s">
        <v>229</v>
      </c>
      <c r="Y2327" s="50">
        <v>9932.4</v>
      </c>
      <c r="Z2327" s="51">
        <v>9000</v>
      </c>
      <c r="AA2327" s="52">
        <f t="shared" si="63"/>
        <v>0.906125407756434</v>
      </c>
      <c r="AB2327" s="12">
        <v>9000</v>
      </c>
      <c r="AC2327" s="12">
        <v>0</v>
      </c>
      <c r="AD2327" s="43"/>
      <c r="AE2327" s="43"/>
      <c r="AF2327" s="43"/>
      <c r="AG2327" s="43"/>
      <c r="AH2327" s="43"/>
      <c r="AI2327" s="43"/>
      <c r="AJ2327" s="43"/>
      <c r="AK2327" s="43"/>
      <c r="AL2327" s="43"/>
      <c r="AM2327" s="43"/>
      <c r="AN2327" s="43"/>
      <c r="AO2327" s="43"/>
      <c r="AP2327" s="43"/>
      <c r="AQ2327" s="43"/>
      <c r="AR2327" s="43"/>
      <c r="AS2327" s="43"/>
      <c r="AT2327" s="43"/>
      <c r="AU2327" s="43"/>
      <c r="AV2327" s="43"/>
    </row>
    <row r="2328" ht="15.75" spans="1:48">
      <c r="A2328" s="12">
        <v>2324</v>
      </c>
      <c r="B2328" s="44">
        <v>692</v>
      </c>
      <c r="C2328" s="45" t="s">
        <v>142</v>
      </c>
      <c r="D2328" s="46"/>
      <c r="E2328" s="47" t="s">
        <v>50</v>
      </c>
      <c r="F2328" s="48">
        <v>0.33</v>
      </c>
      <c r="G2328" s="38">
        <v>0</v>
      </c>
      <c r="H2328" s="39"/>
      <c r="I2328" s="39"/>
      <c r="J2328" s="39"/>
      <c r="K2328" s="39"/>
      <c r="L2328" s="39"/>
      <c r="M2328" s="39"/>
      <c r="N2328" s="39"/>
      <c r="O2328" s="39"/>
      <c r="P2328" s="39"/>
      <c r="Q2328" s="39"/>
      <c r="R2328" s="39"/>
      <c r="S2328" s="39"/>
      <c r="T2328" s="39"/>
      <c r="U2328" s="39"/>
      <c r="V2328" s="39"/>
      <c r="W2328" s="39"/>
      <c r="X2328" s="49" t="s">
        <v>443</v>
      </c>
      <c r="Y2328" s="50">
        <v>561</v>
      </c>
      <c r="Z2328" s="51">
        <v>480</v>
      </c>
      <c r="AA2328" s="52">
        <f t="shared" si="63"/>
        <v>0.855614973262032</v>
      </c>
      <c r="AB2328" s="12">
        <v>480</v>
      </c>
      <c r="AC2328" s="12">
        <v>0</v>
      </c>
      <c r="AD2328" s="43"/>
      <c r="AE2328" s="43"/>
      <c r="AF2328" s="43"/>
      <c r="AG2328" s="43"/>
      <c r="AH2328" s="43"/>
      <c r="AI2328" s="43"/>
      <c r="AJ2328" s="43"/>
      <c r="AK2328" s="43"/>
      <c r="AL2328" s="43"/>
      <c r="AM2328" s="43"/>
      <c r="AN2328" s="43"/>
      <c r="AO2328" s="43"/>
      <c r="AP2328" s="43"/>
      <c r="AQ2328" s="43"/>
      <c r="AR2328" s="43"/>
      <c r="AS2328" s="43"/>
      <c r="AT2328" s="43"/>
      <c r="AU2328" s="43"/>
      <c r="AV2328" s="43"/>
    </row>
    <row r="2329" ht="15.75" spans="1:48">
      <c r="A2329" s="12">
        <v>2325</v>
      </c>
      <c r="B2329" s="44">
        <v>692</v>
      </c>
      <c r="C2329" s="45" t="s">
        <v>142</v>
      </c>
      <c r="D2329" s="46"/>
      <c r="E2329" s="47" t="s">
        <v>50</v>
      </c>
      <c r="F2329" s="48">
        <v>1</v>
      </c>
      <c r="G2329" s="38">
        <v>0</v>
      </c>
      <c r="H2329" s="39"/>
      <c r="I2329" s="39"/>
      <c r="J2329" s="39"/>
      <c r="K2329" s="39"/>
      <c r="L2329" s="39"/>
      <c r="M2329" s="39"/>
      <c r="N2329" s="39"/>
      <c r="O2329" s="39"/>
      <c r="P2329" s="39"/>
      <c r="Q2329" s="39"/>
      <c r="R2329" s="39"/>
      <c r="S2329" s="39"/>
      <c r="T2329" s="39"/>
      <c r="U2329" s="39"/>
      <c r="V2329" s="39"/>
      <c r="W2329" s="39"/>
      <c r="X2329" s="49" t="s">
        <v>152</v>
      </c>
      <c r="Y2329" s="50">
        <v>4350</v>
      </c>
      <c r="Z2329" s="51">
        <v>3500</v>
      </c>
      <c r="AA2329" s="52">
        <f t="shared" ref="AA2329:AA2360" si="64">IFERROR(Z2329/Y2329,0)</f>
        <v>0.804597701149425</v>
      </c>
      <c r="AB2329" s="12">
        <v>3500</v>
      </c>
      <c r="AC2329" s="12">
        <v>0</v>
      </c>
      <c r="AD2329" s="43"/>
      <c r="AE2329" s="43"/>
      <c r="AF2329" s="43"/>
      <c r="AG2329" s="43"/>
      <c r="AH2329" s="43"/>
      <c r="AI2329" s="43"/>
      <c r="AJ2329" s="43"/>
      <c r="AK2329" s="43"/>
      <c r="AL2329" s="43"/>
      <c r="AM2329" s="43"/>
      <c r="AN2329" s="43"/>
      <c r="AO2329" s="43"/>
      <c r="AP2329" s="43"/>
      <c r="AQ2329" s="43"/>
      <c r="AR2329" s="43"/>
      <c r="AS2329" s="43"/>
      <c r="AT2329" s="43"/>
      <c r="AU2329" s="43"/>
      <c r="AV2329" s="43"/>
    </row>
    <row r="2330" ht="15.75" spans="1:48">
      <c r="A2330" s="12">
        <v>2326</v>
      </c>
      <c r="B2330" s="44">
        <v>692</v>
      </c>
      <c r="C2330" s="45" t="s">
        <v>142</v>
      </c>
      <c r="D2330" s="46"/>
      <c r="E2330" s="47" t="s">
        <v>50</v>
      </c>
      <c r="F2330" s="48">
        <v>1.17</v>
      </c>
      <c r="G2330" s="38">
        <v>0</v>
      </c>
      <c r="H2330" s="39"/>
      <c r="I2330" s="39"/>
      <c r="J2330" s="39"/>
      <c r="K2330" s="39"/>
      <c r="L2330" s="39"/>
      <c r="M2330" s="39"/>
      <c r="N2330" s="39"/>
      <c r="O2330" s="39"/>
      <c r="P2330" s="39"/>
      <c r="Q2330" s="39"/>
      <c r="R2330" s="39"/>
      <c r="S2330" s="39"/>
      <c r="T2330" s="39"/>
      <c r="U2330" s="39"/>
      <c r="V2330" s="39"/>
      <c r="W2330" s="39"/>
      <c r="X2330" s="49" t="s">
        <v>234</v>
      </c>
      <c r="Y2330" s="50">
        <v>4352.4</v>
      </c>
      <c r="Z2330" s="51">
        <v>4050</v>
      </c>
      <c r="AA2330" s="52">
        <f t="shared" si="64"/>
        <v>0.930521091811415</v>
      </c>
      <c r="AB2330" s="12">
        <v>4050</v>
      </c>
      <c r="AC2330" s="12">
        <v>0</v>
      </c>
      <c r="AD2330" s="43"/>
      <c r="AE2330" s="43"/>
      <c r="AF2330" s="43"/>
      <c r="AG2330" s="43"/>
      <c r="AH2330" s="43"/>
      <c r="AI2330" s="43"/>
      <c r="AJ2330" s="43"/>
      <c r="AK2330" s="43"/>
      <c r="AL2330" s="43"/>
      <c r="AM2330" s="43"/>
      <c r="AN2330" s="43"/>
      <c r="AO2330" s="43"/>
      <c r="AP2330" s="43"/>
      <c r="AQ2330" s="43"/>
      <c r="AR2330" s="43"/>
      <c r="AS2330" s="43"/>
      <c r="AT2330" s="43"/>
      <c r="AU2330" s="43"/>
      <c r="AV2330" s="43"/>
    </row>
    <row r="2331" ht="15.75" spans="1:48">
      <c r="A2331" s="12">
        <v>2327</v>
      </c>
      <c r="B2331" s="44">
        <v>692</v>
      </c>
      <c r="C2331" s="45" t="s">
        <v>142</v>
      </c>
      <c r="D2331" s="46"/>
      <c r="E2331" s="47" t="s">
        <v>50</v>
      </c>
      <c r="F2331" s="48">
        <v>2.5</v>
      </c>
      <c r="G2331" s="38">
        <v>0</v>
      </c>
      <c r="H2331" s="39"/>
      <c r="I2331" s="39"/>
      <c r="J2331" s="39"/>
      <c r="K2331" s="39"/>
      <c r="L2331" s="39"/>
      <c r="M2331" s="39"/>
      <c r="N2331" s="39"/>
      <c r="O2331" s="39"/>
      <c r="P2331" s="39"/>
      <c r="Q2331" s="39"/>
      <c r="R2331" s="39"/>
      <c r="S2331" s="39"/>
      <c r="T2331" s="39"/>
      <c r="U2331" s="39"/>
      <c r="V2331" s="39"/>
      <c r="W2331" s="39"/>
      <c r="X2331" s="49" t="s">
        <v>101</v>
      </c>
      <c r="Y2331" s="50">
        <v>4800</v>
      </c>
      <c r="Z2331" s="51">
        <v>4140</v>
      </c>
      <c r="AA2331" s="52">
        <f t="shared" si="64"/>
        <v>0.8625</v>
      </c>
      <c r="AB2331" s="12">
        <v>4140</v>
      </c>
      <c r="AC2331" s="12">
        <v>0</v>
      </c>
      <c r="AD2331" s="43"/>
      <c r="AE2331" s="43"/>
      <c r="AF2331" s="43"/>
      <c r="AG2331" s="43"/>
      <c r="AH2331" s="43"/>
      <c r="AI2331" s="43"/>
      <c r="AJ2331" s="43"/>
      <c r="AK2331" s="43"/>
      <c r="AL2331" s="43"/>
      <c r="AM2331" s="43"/>
      <c r="AN2331" s="43"/>
      <c r="AO2331" s="43"/>
      <c r="AP2331" s="43"/>
      <c r="AQ2331" s="43"/>
      <c r="AR2331" s="43"/>
      <c r="AS2331" s="43"/>
      <c r="AT2331" s="43"/>
      <c r="AU2331" s="43"/>
      <c r="AV2331" s="43"/>
    </row>
    <row r="2332" ht="15.75" spans="1:48">
      <c r="A2332" s="12">
        <v>2328</v>
      </c>
      <c r="B2332" s="44">
        <v>692</v>
      </c>
      <c r="C2332" s="45" t="s">
        <v>142</v>
      </c>
      <c r="D2332" s="46"/>
      <c r="E2332" s="47" t="s">
        <v>50</v>
      </c>
      <c r="F2332" s="48">
        <v>1.5</v>
      </c>
      <c r="G2332" s="38">
        <v>0</v>
      </c>
      <c r="H2332" s="39"/>
      <c r="I2332" s="39"/>
      <c r="J2332" s="39"/>
      <c r="K2332" s="39"/>
      <c r="L2332" s="39"/>
      <c r="M2332" s="39"/>
      <c r="N2332" s="39"/>
      <c r="O2332" s="39"/>
      <c r="P2332" s="39"/>
      <c r="Q2332" s="39"/>
      <c r="R2332" s="39"/>
      <c r="S2332" s="39"/>
      <c r="T2332" s="39"/>
      <c r="U2332" s="39"/>
      <c r="V2332" s="39"/>
      <c r="W2332" s="39"/>
      <c r="X2332" s="49" t="s">
        <v>102</v>
      </c>
      <c r="Y2332" s="50">
        <v>6750</v>
      </c>
      <c r="Z2332" s="51">
        <v>6500</v>
      </c>
      <c r="AA2332" s="52">
        <f t="shared" si="64"/>
        <v>0.962962962962963</v>
      </c>
      <c r="AB2332" s="12">
        <v>6500</v>
      </c>
      <c r="AC2332" s="12">
        <v>0</v>
      </c>
      <c r="AD2332" s="43"/>
      <c r="AE2332" s="43"/>
      <c r="AF2332" s="43"/>
      <c r="AG2332" s="43"/>
      <c r="AH2332" s="43"/>
      <c r="AI2332" s="43"/>
      <c r="AJ2332" s="43"/>
      <c r="AK2332" s="43"/>
      <c r="AL2332" s="43"/>
      <c r="AM2332" s="43"/>
      <c r="AN2332" s="43"/>
      <c r="AO2332" s="43"/>
      <c r="AP2332" s="43"/>
      <c r="AQ2332" s="43"/>
      <c r="AR2332" s="43"/>
      <c r="AS2332" s="43"/>
      <c r="AT2332" s="43"/>
      <c r="AU2332" s="43"/>
      <c r="AV2332" s="43"/>
    </row>
    <row r="2333" ht="15.75" spans="1:48">
      <c r="A2333" s="12">
        <v>2329</v>
      </c>
      <c r="B2333" s="44">
        <v>692</v>
      </c>
      <c r="C2333" s="45" t="s">
        <v>142</v>
      </c>
      <c r="D2333" s="46"/>
      <c r="E2333" s="47" t="s">
        <v>50</v>
      </c>
      <c r="F2333" s="48">
        <v>1.5</v>
      </c>
      <c r="G2333" s="38">
        <v>0</v>
      </c>
      <c r="H2333" s="39"/>
      <c r="I2333" s="39"/>
      <c r="J2333" s="39"/>
      <c r="K2333" s="39"/>
      <c r="L2333" s="39"/>
      <c r="M2333" s="39"/>
      <c r="N2333" s="39"/>
      <c r="O2333" s="39"/>
      <c r="P2333" s="39"/>
      <c r="Q2333" s="39"/>
      <c r="R2333" s="39"/>
      <c r="S2333" s="39"/>
      <c r="T2333" s="39"/>
      <c r="U2333" s="39"/>
      <c r="V2333" s="39"/>
      <c r="W2333" s="39"/>
      <c r="X2333" s="49" t="s">
        <v>100</v>
      </c>
      <c r="Y2333" s="50">
        <v>2880</v>
      </c>
      <c r="Z2333" s="51">
        <v>3240</v>
      </c>
      <c r="AA2333" s="52">
        <f t="shared" si="64"/>
        <v>1.125</v>
      </c>
      <c r="AB2333" s="12">
        <v>3240</v>
      </c>
      <c r="AC2333" s="12">
        <v>0</v>
      </c>
      <c r="AD2333" s="43"/>
      <c r="AE2333" s="43"/>
      <c r="AF2333" s="43"/>
      <c r="AG2333" s="43"/>
      <c r="AH2333" s="43"/>
      <c r="AI2333" s="43"/>
      <c r="AJ2333" s="43"/>
      <c r="AK2333" s="43"/>
      <c r="AL2333" s="43"/>
      <c r="AM2333" s="43"/>
      <c r="AN2333" s="43"/>
      <c r="AO2333" s="43"/>
      <c r="AP2333" s="43"/>
      <c r="AQ2333" s="43"/>
      <c r="AR2333" s="43"/>
      <c r="AS2333" s="43"/>
      <c r="AT2333" s="43"/>
      <c r="AU2333" s="43"/>
      <c r="AV2333" s="43"/>
    </row>
    <row r="2334" ht="15.75" spans="1:48">
      <c r="A2334" s="12">
        <v>2330</v>
      </c>
      <c r="B2334" s="44">
        <v>551</v>
      </c>
      <c r="C2334" s="45" t="s">
        <v>146</v>
      </c>
      <c r="D2334" s="46"/>
      <c r="E2334" s="47" t="s">
        <v>50</v>
      </c>
      <c r="F2334" s="48">
        <v>1</v>
      </c>
      <c r="G2334" s="38">
        <v>0</v>
      </c>
      <c r="H2334" s="39"/>
      <c r="I2334" s="39"/>
      <c r="J2334" s="39"/>
      <c r="K2334" s="39"/>
      <c r="L2334" s="39"/>
      <c r="M2334" s="39"/>
      <c r="N2334" s="39"/>
      <c r="O2334" s="39"/>
      <c r="P2334" s="39"/>
      <c r="Q2334" s="39"/>
      <c r="R2334" s="39"/>
      <c r="S2334" s="39"/>
      <c r="T2334" s="39"/>
      <c r="U2334" s="39"/>
      <c r="V2334" s="39"/>
      <c r="W2334" s="39"/>
      <c r="X2334" s="49" t="s">
        <v>103</v>
      </c>
      <c r="Y2334" s="50">
        <v>840</v>
      </c>
      <c r="Z2334" s="51">
        <v>720</v>
      </c>
      <c r="AA2334" s="52">
        <f t="shared" si="64"/>
        <v>0.857142857142857</v>
      </c>
      <c r="AB2334" s="12">
        <v>720</v>
      </c>
      <c r="AC2334" s="12">
        <v>0</v>
      </c>
      <c r="AD2334" s="43"/>
      <c r="AE2334" s="43"/>
      <c r="AF2334" s="43"/>
      <c r="AG2334" s="43"/>
      <c r="AH2334" s="43"/>
      <c r="AI2334" s="43"/>
      <c r="AJ2334" s="43"/>
      <c r="AK2334" s="43"/>
      <c r="AL2334" s="43"/>
      <c r="AM2334" s="43"/>
      <c r="AN2334" s="43"/>
      <c r="AO2334" s="43"/>
      <c r="AP2334" s="43"/>
      <c r="AQ2334" s="43"/>
      <c r="AR2334" s="43"/>
      <c r="AS2334" s="43"/>
      <c r="AT2334" s="43"/>
      <c r="AU2334" s="43"/>
      <c r="AV2334" s="43"/>
    </row>
    <row r="2335" ht="15.75" spans="1:48">
      <c r="A2335" s="12">
        <v>2331</v>
      </c>
      <c r="B2335" s="44">
        <v>4384</v>
      </c>
      <c r="C2335" s="45" t="s">
        <v>145</v>
      </c>
      <c r="D2335" s="46"/>
      <c r="E2335" s="47" t="s">
        <v>50</v>
      </c>
      <c r="F2335" s="48">
        <v>0.33</v>
      </c>
      <c r="G2335" s="38">
        <v>0.25</v>
      </c>
      <c r="H2335" s="39"/>
      <c r="I2335" s="39"/>
      <c r="J2335" s="39"/>
      <c r="K2335" s="39"/>
      <c r="L2335" s="39"/>
      <c r="M2335" s="39"/>
      <c r="N2335" s="39"/>
      <c r="O2335" s="39"/>
      <c r="P2335" s="39"/>
      <c r="Q2335" s="39"/>
      <c r="R2335" s="39"/>
      <c r="S2335" s="39">
        <v>0.25</v>
      </c>
      <c r="T2335" s="39"/>
      <c r="U2335" s="39"/>
      <c r="V2335" s="39"/>
      <c r="W2335" s="39"/>
      <c r="X2335" s="49" t="s">
        <v>103</v>
      </c>
      <c r="Y2335" s="50">
        <v>277.2</v>
      </c>
      <c r="Z2335" s="51">
        <v>240</v>
      </c>
      <c r="AA2335" s="52">
        <f t="shared" si="64"/>
        <v>0.865800865800866</v>
      </c>
      <c r="AB2335" s="12">
        <v>240</v>
      </c>
      <c r="AC2335" s="12">
        <v>0</v>
      </c>
      <c r="AD2335" s="43"/>
      <c r="AE2335" s="43"/>
      <c r="AF2335" s="43"/>
      <c r="AG2335" s="43"/>
      <c r="AH2335" s="43"/>
      <c r="AI2335" s="43"/>
      <c r="AJ2335" s="43"/>
      <c r="AK2335" s="43"/>
      <c r="AL2335" s="43"/>
      <c r="AM2335" s="43"/>
      <c r="AN2335" s="43"/>
      <c r="AO2335" s="43"/>
      <c r="AP2335" s="43"/>
      <c r="AQ2335" s="43"/>
      <c r="AR2335" s="43"/>
      <c r="AS2335" s="43"/>
      <c r="AT2335" s="43"/>
      <c r="AU2335" s="43"/>
      <c r="AV2335" s="43"/>
    </row>
    <row r="2336" ht="15.75" spans="1:48">
      <c r="A2336" s="12">
        <v>2332</v>
      </c>
      <c r="B2336" s="44">
        <v>666</v>
      </c>
      <c r="C2336" s="45" t="s">
        <v>151</v>
      </c>
      <c r="D2336" s="46"/>
      <c r="E2336" s="47" t="s">
        <v>50</v>
      </c>
      <c r="F2336" s="48">
        <v>1</v>
      </c>
      <c r="G2336" s="38">
        <v>0</v>
      </c>
      <c r="H2336" s="39"/>
      <c r="I2336" s="39"/>
      <c r="J2336" s="39"/>
      <c r="K2336" s="39"/>
      <c r="L2336" s="39"/>
      <c r="M2336" s="39"/>
      <c r="N2336" s="39"/>
      <c r="O2336" s="39"/>
      <c r="P2336" s="39"/>
      <c r="Q2336" s="39"/>
      <c r="R2336" s="39"/>
      <c r="S2336" s="39"/>
      <c r="T2336" s="39"/>
      <c r="U2336" s="39"/>
      <c r="V2336" s="39"/>
      <c r="W2336" s="39"/>
      <c r="X2336" s="49" t="s">
        <v>103</v>
      </c>
      <c r="Y2336" s="50">
        <v>840</v>
      </c>
      <c r="Z2336" s="51">
        <v>840</v>
      </c>
      <c r="AA2336" s="52">
        <f t="shared" si="64"/>
        <v>1</v>
      </c>
      <c r="AB2336" s="12">
        <v>840</v>
      </c>
      <c r="AC2336" s="12">
        <v>0</v>
      </c>
      <c r="AD2336" s="43"/>
      <c r="AE2336" s="43"/>
      <c r="AF2336" s="43"/>
      <c r="AG2336" s="43"/>
      <c r="AH2336" s="43"/>
      <c r="AI2336" s="43"/>
      <c r="AJ2336" s="43"/>
      <c r="AK2336" s="43"/>
      <c r="AL2336" s="43"/>
      <c r="AM2336" s="43"/>
      <c r="AN2336" s="43"/>
      <c r="AO2336" s="43"/>
      <c r="AP2336" s="43"/>
      <c r="AQ2336" s="43"/>
      <c r="AR2336" s="43"/>
      <c r="AS2336" s="43"/>
      <c r="AT2336" s="43"/>
      <c r="AU2336" s="43"/>
      <c r="AV2336" s="43"/>
    </row>
    <row r="2337" ht="15.75" spans="1:48">
      <c r="A2337" s="12">
        <v>2333</v>
      </c>
      <c r="B2337" s="44">
        <v>4185</v>
      </c>
      <c r="C2337" s="45" t="s">
        <v>72</v>
      </c>
      <c r="D2337" s="46" t="s">
        <v>207</v>
      </c>
      <c r="E2337" s="47" t="s">
        <v>113</v>
      </c>
      <c r="F2337" s="48">
        <v>10.17</v>
      </c>
      <c r="G2337" s="38">
        <v>1.83</v>
      </c>
      <c r="H2337" s="39"/>
      <c r="I2337" s="39"/>
      <c r="J2337" s="39"/>
      <c r="K2337" s="39">
        <v>0.17</v>
      </c>
      <c r="L2337" s="39"/>
      <c r="M2337" s="39"/>
      <c r="N2337" s="39"/>
      <c r="O2337" s="39"/>
      <c r="P2337" s="39"/>
      <c r="Q2337" s="39">
        <v>1.33</v>
      </c>
      <c r="R2337" s="39"/>
      <c r="S2337" s="39"/>
      <c r="T2337" s="39"/>
      <c r="U2337" s="39">
        <v>0.33</v>
      </c>
      <c r="V2337" s="39"/>
      <c r="W2337" s="39"/>
      <c r="X2337" s="49" t="s">
        <v>79</v>
      </c>
      <c r="Y2337" s="50">
        <v>67732.2</v>
      </c>
      <c r="Z2337" s="51">
        <v>58552</v>
      </c>
      <c r="AA2337" s="52">
        <f t="shared" si="64"/>
        <v>0.864463283342339</v>
      </c>
      <c r="AB2337" s="12">
        <v>58464</v>
      </c>
      <c r="AC2337" s="12">
        <v>88</v>
      </c>
      <c r="AD2337" s="43"/>
      <c r="AE2337" s="43"/>
      <c r="AF2337" s="43"/>
      <c r="AG2337" s="19">
        <v>88</v>
      </c>
      <c r="AH2337" s="43"/>
      <c r="AI2337" s="43"/>
      <c r="AJ2337" s="43"/>
      <c r="AK2337" s="43"/>
      <c r="AL2337" s="43"/>
      <c r="AM2337" s="43"/>
      <c r="AN2337" s="43"/>
      <c r="AO2337" s="43"/>
      <c r="AP2337" s="43"/>
      <c r="AQ2337" s="43"/>
      <c r="AR2337" s="43"/>
      <c r="AS2337" s="43"/>
      <c r="AT2337" s="43"/>
      <c r="AU2337" s="43"/>
      <c r="AV2337" s="43"/>
    </row>
    <row r="2338" ht="15.75" spans="1:48">
      <c r="A2338" s="12">
        <v>2334</v>
      </c>
      <c r="B2338" s="44">
        <v>4185</v>
      </c>
      <c r="C2338" s="45" t="s">
        <v>72</v>
      </c>
      <c r="D2338" s="46" t="s">
        <v>78</v>
      </c>
      <c r="E2338" s="47" t="s">
        <v>113</v>
      </c>
      <c r="F2338" s="48">
        <v>9</v>
      </c>
      <c r="G2338" s="38">
        <v>2.99</v>
      </c>
      <c r="H2338" s="39"/>
      <c r="I2338" s="39"/>
      <c r="J2338" s="39"/>
      <c r="K2338" s="39">
        <v>1.33</v>
      </c>
      <c r="L2338" s="39"/>
      <c r="M2338" s="39"/>
      <c r="N2338" s="39"/>
      <c r="O2338" s="39"/>
      <c r="P2338" s="39"/>
      <c r="Q2338" s="39">
        <v>1.33</v>
      </c>
      <c r="R2338" s="39"/>
      <c r="S2338" s="39"/>
      <c r="T2338" s="39"/>
      <c r="U2338" s="39">
        <v>0.33</v>
      </c>
      <c r="V2338" s="39"/>
      <c r="W2338" s="39"/>
      <c r="X2338" s="49" t="s">
        <v>79</v>
      </c>
      <c r="Y2338" s="50">
        <v>59940</v>
      </c>
      <c r="Z2338" s="51">
        <v>52208</v>
      </c>
      <c r="AA2338" s="52">
        <f t="shared" si="64"/>
        <v>0.871004337671004</v>
      </c>
      <c r="AB2338" s="12">
        <v>52128</v>
      </c>
      <c r="AC2338" s="12">
        <v>80</v>
      </c>
      <c r="AD2338" s="43"/>
      <c r="AE2338" s="43"/>
      <c r="AF2338" s="43"/>
      <c r="AG2338" s="19">
        <v>80</v>
      </c>
      <c r="AH2338" s="43"/>
      <c r="AI2338" s="43"/>
      <c r="AJ2338" s="43"/>
      <c r="AK2338" s="43"/>
      <c r="AL2338" s="43"/>
      <c r="AM2338" s="43"/>
      <c r="AN2338" s="43"/>
      <c r="AO2338" s="43"/>
      <c r="AP2338" s="43"/>
      <c r="AQ2338" s="43"/>
      <c r="AR2338" s="43"/>
      <c r="AS2338" s="43"/>
      <c r="AT2338" s="43"/>
      <c r="AU2338" s="43"/>
      <c r="AV2338" s="43"/>
    </row>
    <row r="2339" ht="15.75" spans="1:48">
      <c r="A2339" s="12">
        <v>2335</v>
      </c>
      <c r="B2339" s="44">
        <v>4185</v>
      </c>
      <c r="C2339" s="45" t="s">
        <v>72</v>
      </c>
      <c r="D2339" s="46" t="s">
        <v>83</v>
      </c>
      <c r="E2339" s="47" t="s">
        <v>113</v>
      </c>
      <c r="F2339" s="48">
        <v>9.83</v>
      </c>
      <c r="G2339" s="38">
        <v>2.16</v>
      </c>
      <c r="H2339" s="39"/>
      <c r="I2339" s="39"/>
      <c r="J2339" s="39"/>
      <c r="K2339" s="39">
        <v>0.5</v>
      </c>
      <c r="L2339" s="39"/>
      <c r="M2339" s="39"/>
      <c r="N2339" s="39"/>
      <c r="O2339" s="39"/>
      <c r="P2339" s="39"/>
      <c r="Q2339" s="39">
        <v>1.33</v>
      </c>
      <c r="R2339" s="39"/>
      <c r="S2339" s="39"/>
      <c r="T2339" s="39"/>
      <c r="U2339" s="39">
        <v>0.33</v>
      </c>
      <c r="V2339" s="39"/>
      <c r="W2339" s="39"/>
      <c r="X2339" s="49" t="s">
        <v>342</v>
      </c>
      <c r="Y2339" s="50">
        <v>44235</v>
      </c>
      <c r="Z2339" s="51">
        <v>42276</v>
      </c>
      <c r="AA2339" s="52">
        <f t="shared" si="64"/>
        <v>0.955713801288572</v>
      </c>
      <c r="AB2339" s="12">
        <v>42192</v>
      </c>
      <c r="AC2339" s="12">
        <v>84</v>
      </c>
      <c r="AD2339" s="43"/>
      <c r="AE2339" s="43"/>
      <c r="AF2339" s="43"/>
      <c r="AG2339" s="19">
        <v>84</v>
      </c>
      <c r="AH2339" s="43"/>
      <c r="AI2339" s="43"/>
      <c r="AJ2339" s="43"/>
      <c r="AK2339" s="43"/>
      <c r="AL2339" s="43"/>
      <c r="AM2339" s="43"/>
      <c r="AN2339" s="43"/>
      <c r="AO2339" s="43"/>
      <c r="AP2339" s="43"/>
      <c r="AQ2339" s="43"/>
      <c r="AR2339" s="43"/>
      <c r="AS2339" s="43"/>
      <c r="AT2339" s="43"/>
      <c r="AU2339" s="43"/>
      <c r="AV2339" s="43"/>
    </row>
    <row r="2340" ht="15.75" spans="1:48">
      <c r="A2340" s="12">
        <v>2336</v>
      </c>
      <c r="B2340" s="44">
        <v>2959</v>
      </c>
      <c r="C2340" s="45" t="s">
        <v>86</v>
      </c>
      <c r="D2340" s="46" t="s">
        <v>73</v>
      </c>
      <c r="E2340" s="47" t="s">
        <v>113</v>
      </c>
      <c r="F2340" s="48">
        <v>2.5</v>
      </c>
      <c r="G2340" s="38">
        <v>1.5</v>
      </c>
      <c r="H2340" s="39"/>
      <c r="I2340" s="39"/>
      <c r="J2340" s="39"/>
      <c r="K2340" s="39"/>
      <c r="L2340" s="39"/>
      <c r="M2340" s="39"/>
      <c r="N2340" s="39"/>
      <c r="O2340" s="39"/>
      <c r="P2340" s="39"/>
      <c r="Q2340" s="39">
        <v>1.33</v>
      </c>
      <c r="R2340" s="39"/>
      <c r="S2340" s="39"/>
      <c r="T2340" s="39"/>
      <c r="U2340" s="39">
        <v>0.17</v>
      </c>
      <c r="V2340" s="39"/>
      <c r="W2340" s="39"/>
      <c r="X2340" s="49" t="s">
        <v>139</v>
      </c>
      <c r="Y2340" s="50">
        <v>3812.5</v>
      </c>
      <c r="Z2340" s="51">
        <v>3892</v>
      </c>
      <c r="AA2340" s="52">
        <f t="shared" si="64"/>
        <v>1.02085245901639</v>
      </c>
      <c r="AB2340" s="12">
        <v>3880</v>
      </c>
      <c r="AC2340" s="12">
        <v>12</v>
      </c>
      <c r="AD2340" s="43"/>
      <c r="AE2340" s="43"/>
      <c r="AF2340" s="43"/>
      <c r="AG2340" s="19">
        <v>12</v>
      </c>
      <c r="AH2340" s="43"/>
      <c r="AI2340" s="43"/>
      <c r="AJ2340" s="43"/>
      <c r="AK2340" s="43"/>
      <c r="AL2340" s="43"/>
      <c r="AM2340" s="43"/>
      <c r="AN2340" s="43"/>
      <c r="AO2340" s="43"/>
      <c r="AP2340" s="43"/>
      <c r="AQ2340" s="43"/>
      <c r="AR2340" s="43"/>
      <c r="AS2340" s="43"/>
      <c r="AT2340" s="43"/>
      <c r="AU2340" s="43"/>
      <c r="AV2340" s="43"/>
    </row>
    <row r="2341" ht="15.75" spans="1:48">
      <c r="A2341" s="12">
        <v>2337</v>
      </c>
      <c r="B2341" s="44">
        <v>4478</v>
      </c>
      <c r="C2341" s="45" t="s">
        <v>128</v>
      </c>
      <c r="D2341" s="46" t="s">
        <v>83</v>
      </c>
      <c r="E2341" s="47" t="s">
        <v>113</v>
      </c>
      <c r="F2341" s="48">
        <v>10.33</v>
      </c>
      <c r="G2341" s="38">
        <v>1.67</v>
      </c>
      <c r="H2341" s="39"/>
      <c r="I2341" s="39"/>
      <c r="J2341" s="39"/>
      <c r="K2341" s="39">
        <v>0.17</v>
      </c>
      <c r="L2341" s="39"/>
      <c r="M2341" s="39"/>
      <c r="N2341" s="39"/>
      <c r="O2341" s="39"/>
      <c r="P2341" s="39"/>
      <c r="Q2341" s="39">
        <v>1.33</v>
      </c>
      <c r="R2341" s="39"/>
      <c r="S2341" s="39"/>
      <c r="T2341" s="39"/>
      <c r="U2341" s="39">
        <v>0.17</v>
      </c>
      <c r="V2341" s="39"/>
      <c r="W2341" s="39"/>
      <c r="X2341" s="49" t="s">
        <v>136</v>
      </c>
      <c r="Y2341" s="50">
        <v>24792</v>
      </c>
      <c r="Z2341" s="51">
        <v>20816</v>
      </c>
      <c r="AA2341" s="52">
        <f t="shared" si="64"/>
        <v>0.839625685705066</v>
      </c>
      <c r="AB2341" s="12">
        <v>20816</v>
      </c>
      <c r="AC2341" s="12">
        <v>0</v>
      </c>
      <c r="AD2341" s="43"/>
      <c r="AE2341" s="43"/>
      <c r="AF2341" s="43"/>
      <c r="AG2341" s="43"/>
      <c r="AH2341" s="43"/>
      <c r="AI2341" s="43"/>
      <c r="AJ2341" s="43"/>
      <c r="AK2341" s="43"/>
      <c r="AL2341" s="43"/>
      <c r="AM2341" s="43"/>
      <c r="AN2341" s="43"/>
      <c r="AO2341" s="43"/>
      <c r="AP2341" s="43"/>
      <c r="AQ2341" s="43"/>
      <c r="AR2341" s="43"/>
      <c r="AS2341" s="43"/>
      <c r="AT2341" s="43"/>
      <c r="AU2341" s="43"/>
      <c r="AV2341" s="43"/>
    </row>
    <row r="2342" ht="15.75" spans="1:48">
      <c r="A2342" s="12">
        <v>2338</v>
      </c>
      <c r="B2342" s="44">
        <v>4344</v>
      </c>
      <c r="C2342" s="45" t="s">
        <v>85</v>
      </c>
      <c r="D2342" s="46" t="s">
        <v>138</v>
      </c>
      <c r="E2342" s="47" t="s">
        <v>113</v>
      </c>
      <c r="F2342" s="48">
        <v>7.67</v>
      </c>
      <c r="G2342" s="38">
        <v>1.5</v>
      </c>
      <c r="H2342" s="39"/>
      <c r="I2342" s="39"/>
      <c r="J2342" s="39"/>
      <c r="K2342" s="39"/>
      <c r="L2342" s="39"/>
      <c r="M2342" s="39"/>
      <c r="N2342" s="39"/>
      <c r="O2342" s="39"/>
      <c r="P2342" s="39"/>
      <c r="Q2342" s="39">
        <v>1.33</v>
      </c>
      <c r="R2342" s="39"/>
      <c r="S2342" s="39"/>
      <c r="T2342" s="39"/>
      <c r="U2342" s="39">
        <v>0.17</v>
      </c>
      <c r="V2342" s="39"/>
      <c r="W2342" s="39"/>
      <c r="X2342" s="49" t="s">
        <v>201</v>
      </c>
      <c r="Y2342" s="50">
        <v>12463.75</v>
      </c>
      <c r="Z2342" s="51">
        <v>11384</v>
      </c>
      <c r="AA2342" s="52">
        <f t="shared" si="64"/>
        <v>0.913368769431351</v>
      </c>
      <c r="AB2342" s="12">
        <v>11384</v>
      </c>
      <c r="AC2342" s="12">
        <v>0</v>
      </c>
      <c r="AD2342" s="43"/>
      <c r="AE2342" s="43"/>
      <c r="AF2342" s="43"/>
      <c r="AG2342" s="43"/>
      <c r="AH2342" s="43"/>
      <c r="AI2342" s="43"/>
      <c r="AJ2342" s="43"/>
      <c r="AK2342" s="43"/>
      <c r="AL2342" s="43"/>
      <c r="AM2342" s="43"/>
      <c r="AN2342" s="43"/>
      <c r="AO2342" s="43"/>
      <c r="AP2342" s="43"/>
      <c r="AQ2342" s="43"/>
      <c r="AR2342" s="43"/>
      <c r="AS2342" s="43"/>
      <c r="AT2342" s="43"/>
      <c r="AU2342" s="43"/>
      <c r="AV2342" s="43"/>
    </row>
    <row r="2343" ht="15.75" spans="1:48">
      <c r="A2343" s="12">
        <v>2339</v>
      </c>
      <c r="B2343" s="44">
        <v>4344</v>
      </c>
      <c r="C2343" s="45" t="s">
        <v>85</v>
      </c>
      <c r="D2343" s="46" t="s">
        <v>138</v>
      </c>
      <c r="E2343" s="47" t="s">
        <v>113</v>
      </c>
      <c r="F2343" s="48">
        <v>2.5</v>
      </c>
      <c r="G2343" s="38">
        <v>0.33</v>
      </c>
      <c r="H2343" s="39"/>
      <c r="I2343" s="39"/>
      <c r="J2343" s="39">
        <v>0.33</v>
      </c>
      <c r="K2343" s="39"/>
      <c r="L2343" s="39"/>
      <c r="M2343" s="39"/>
      <c r="N2343" s="39"/>
      <c r="O2343" s="39"/>
      <c r="P2343" s="39"/>
      <c r="Q2343" s="39"/>
      <c r="R2343" s="39"/>
      <c r="S2343" s="39"/>
      <c r="T2343" s="39"/>
      <c r="U2343" s="39"/>
      <c r="V2343" s="39"/>
      <c r="W2343" s="39"/>
      <c r="X2343" s="49" t="s">
        <v>449</v>
      </c>
      <c r="Y2343" s="50">
        <v>6500</v>
      </c>
      <c r="Z2343" s="51">
        <v>6048</v>
      </c>
      <c r="AA2343" s="52">
        <f t="shared" si="64"/>
        <v>0.930461538461538</v>
      </c>
      <c r="AB2343" s="12">
        <v>6048</v>
      </c>
      <c r="AC2343" s="12">
        <v>0</v>
      </c>
      <c r="AD2343" s="43"/>
      <c r="AE2343" s="43"/>
      <c r="AF2343" s="43"/>
      <c r="AG2343" s="43"/>
      <c r="AH2343" s="43"/>
      <c r="AI2343" s="43"/>
      <c r="AJ2343" s="43"/>
      <c r="AK2343" s="43"/>
      <c r="AL2343" s="43"/>
      <c r="AM2343" s="43"/>
      <c r="AN2343" s="43"/>
      <c r="AO2343" s="43"/>
      <c r="AP2343" s="43"/>
      <c r="AQ2343" s="43"/>
      <c r="AR2343" s="43"/>
      <c r="AS2343" s="43"/>
      <c r="AT2343" s="43"/>
      <c r="AU2343" s="43"/>
      <c r="AV2343" s="43"/>
    </row>
    <row r="2344" ht="15.75" spans="1:48">
      <c r="A2344" s="12">
        <v>2340</v>
      </c>
      <c r="B2344" s="44">
        <v>676</v>
      </c>
      <c r="C2344" s="45" t="s">
        <v>171</v>
      </c>
      <c r="D2344" s="46"/>
      <c r="E2344" s="47" t="s">
        <v>113</v>
      </c>
      <c r="F2344" s="48">
        <v>2</v>
      </c>
      <c r="G2344" s="38">
        <v>0</v>
      </c>
      <c r="H2344" s="39"/>
      <c r="I2344" s="39"/>
      <c r="J2344" s="39"/>
      <c r="K2344" s="39"/>
      <c r="L2344" s="39"/>
      <c r="M2344" s="39"/>
      <c r="N2344" s="39"/>
      <c r="O2344" s="39"/>
      <c r="P2344" s="39"/>
      <c r="Q2344" s="39"/>
      <c r="R2344" s="39"/>
      <c r="S2344" s="39"/>
      <c r="T2344" s="39"/>
      <c r="U2344" s="39"/>
      <c r="V2344" s="39"/>
      <c r="W2344" s="39"/>
      <c r="X2344" s="49" t="s">
        <v>90</v>
      </c>
      <c r="Y2344" s="50">
        <v>940</v>
      </c>
      <c r="Z2344" s="51">
        <v>900</v>
      </c>
      <c r="AA2344" s="52">
        <f t="shared" si="64"/>
        <v>0.957446808510638</v>
      </c>
      <c r="AB2344" s="12">
        <v>900</v>
      </c>
      <c r="AC2344" s="12">
        <v>0</v>
      </c>
      <c r="AD2344" s="43"/>
      <c r="AE2344" s="43"/>
      <c r="AF2344" s="43"/>
      <c r="AG2344" s="43"/>
      <c r="AH2344" s="43"/>
      <c r="AI2344" s="43"/>
      <c r="AJ2344" s="43"/>
      <c r="AK2344" s="43"/>
      <c r="AL2344" s="43"/>
      <c r="AM2344" s="43"/>
      <c r="AN2344" s="43"/>
      <c r="AO2344" s="43"/>
      <c r="AP2344" s="43"/>
      <c r="AQ2344" s="43"/>
      <c r="AR2344" s="43"/>
      <c r="AS2344" s="43"/>
      <c r="AT2344" s="43"/>
      <c r="AU2344" s="43"/>
      <c r="AV2344" s="43"/>
    </row>
    <row r="2345" ht="15.75" spans="1:48">
      <c r="A2345" s="12">
        <v>2341</v>
      </c>
      <c r="B2345" s="44">
        <v>4173</v>
      </c>
      <c r="C2345" s="45" t="s">
        <v>75</v>
      </c>
      <c r="D2345" s="46"/>
      <c r="E2345" s="47" t="s">
        <v>113</v>
      </c>
      <c r="F2345" s="48">
        <v>7</v>
      </c>
      <c r="G2345" s="38">
        <v>1</v>
      </c>
      <c r="H2345" s="39"/>
      <c r="I2345" s="39"/>
      <c r="J2345" s="39"/>
      <c r="K2345" s="39"/>
      <c r="L2345" s="39"/>
      <c r="M2345" s="39"/>
      <c r="N2345" s="39"/>
      <c r="O2345" s="39"/>
      <c r="P2345" s="39"/>
      <c r="Q2345" s="39">
        <v>1</v>
      </c>
      <c r="R2345" s="39"/>
      <c r="S2345" s="39"/>
      <c r="T2345" s="39"/>
      <c r="U2345" s="39"/>
      <c r="V2345" s="39"/>
      <c r="W2345" s="39"/>
      <c r="X2345" s="49" t="s">
        <v>90</v>
      </c>
      <c r="Y2345" s="50">
        <v>3290</v>
      </c>
      <c r="Z2345" s="51">
        <v>3060</v>
      </c>
      <c r="AA2345" s="52">
        <f t="shared" si="64"/>
        <v>0.930091185410334</v>
      </c>
      <c r="AB2345" s="12">
        <v>3060</v>
      </c>
      <c r="AC2345" s="12">
        <v>0</v>
      </c>
      <c r="AD2345" s="43"/>
      <c r="AE2345" s="43"/>
      <c r="AF2345" s="43"/>
      <c r="AG2345" s="43"/>
      <c r="AH2345" s="43"/>
      <c r="AI2345" s="43"/>
      <c r="AJ2345" s="43"/>
      <c r="AK2345" s="43"/>
      <c r="AL2345" s="43"/>
      <c r="AM2345" s="43"/>
      <c r="AN2345" s="43"/>
      <c r="AO2345" s="43"/>
      <c r="AP2345" s="43"/>
      <c r="AQ2345" s="43"/>
      <c r="AR2345" s="43"/>
      <c r="AS2345" s="43"/>
      <c r="AT2345" s="43"/>
      <c r="AU2345" s="43"/>
      <c r="AV2345" s="43"/>
    </row>
    <row r="2346" ht="15.75" spans="1:48">
      <c r="A2346" s="12">
        <v>2342</v>
      </c>
      <c r="B2346" s="44" t="s">
        <v>275</v>
      </c>
      <c r="C2346" s="45" t="s">
        <v>253</v>
      </c>
      <c r="D2346" s="46">
        <v>2</v>
      </c>
      <c r="E2346" s="47" t="s">
        <v>113</v>
      </c>
      <c r="F2346" s="48">
        <v>5.17</v>
      </c>
      <c r="G2346" s="38">
        <v>1.83</v>
      </c>
      <c r="H2346" s="39"/>
      <c r="I2346" s="39"/>
      <c r="J2346" s="39"/>
      <c r="K2346" s="39"/>
      <c r="L2346" s="39"/>
      <c r="M2346" s="39"/>
      <c r="N2346" s="39"/>
      <c r="O2346" s="39"/>
      <c r="P2346" s="39"/>
      <c r="Q2346" s="39">
        <v>1.33</v>
      </c>
      <c r="R2346" s="39"/>
      <c r="S2346" s="39"/>
      <c r="T2346" s="39">
        <v>0.33</v>
      </c>
      <c r="U2346" s="39">
        <v>0.17</v>
      </c>
      <c r="V2346" s="39"/>
      <c r="W2346" s="39"/>
      <c r="X2346" s="49">
        <v>1080</v>
      </c>
      <c r="Y2346" s="50">
        <v>3412.2</v>
      </c>
      <c r="Z2346" s="51">
        <v>3353</v>
      </c>
      <c r="AA2346" s="52">
        <f t="shared" si="64"/>
        <v>0.982650489420315</v>
      </c>
      <c r="AB2346" s="12">
        <v>3296</v>
      </c>
      <c r="AC2346" s="12">
        <v>57</v>
      </c>
      <c r="AD2346" s="19">
        <v>57</v>
      </c>
      <c r="AE2346" s="43"/>
      <c r="AF2346" s="43"/>
      <c r="AG2346" s="43"/>
      <c r="AH2346" s="43"/>
      <c r="AI2346" s="43"/>
      <c r="AJ2346" s="43"/>
      <c r="AK2346" s="43"/>
      <c r="AL2346" s="43"/>
      <c r="AM2346" s="43"/>
      <c r="AN2346" s="43"/>
      <c r="AO2346" s="43"/>
      <c r="AP2346" s="43"/>
      <c r="AQ2346" s="43"/>
      <c r="AR2346" s="43"/>
      <c r="AS2346" s="43"/>
      <c r="AT2346" s="43"/>
      <c r="AU2346" s="43"/>
      <c r="AV2346" s="43"/>
    </row>
    <row r="2347" ht="15.75" spans="1:48">
      <c r="A2347" s="12">
        <v>2343</v>
      </c>
      <c r="B2347" s="44">
        <v>4310</v>
      </c>
      <c r="C2347" s="45" t="s">
        <v>99</v>
      </c>
      <c r="D2347" s="46">
        <v>18</v>
      </c>
      <c r="E2347" s="47" t="s">
        <v>113</v>
      </c>
      <c r="F2347" s="48">
        <v>6.33</v>
      </c>
      <c r="G2347" s="38">
        <v>3.67</v>
      </c>
      <c r="H2347" s="39"/>
      <c r="I2347" s="39"/>
      <c r="J2347" s="39"/>
      <c r="K2347" s="39">
        <v>1.33</v>
      </c>
      <c r="L2347" s="39"/>
      <c r="M2347" s="39"/>
      <c r="N2347" s="39"/>
      <c r="O2347" s="39"/>
      <c r="P2347" s="39"/>
      <c r="Q2347" s="39">
        <v>1.17</v>
      </c>
      <c r="R2347" s="39"/>
      <c r="S2347" s="39"/>
      <c r="T2347" s="39">
        <v>1</v>
      </c>
      <c r="U2347" s="39">
        <v>0.17</v>
      </c>
      <c r="V2347" s="39"/>
      <c r="W2347" s="39"/>
      <c r="X2347" s="49">
        <v>2801</v>
      </c>
      <c r="Y2347" s="50">
        <v>3829.65</v>
      </c>
      <c r="Z2347" s="51">
        <v>3867</v>
      </c>
      <c r="AA2347" s="52">
        <f t="shared" si="64"/>
        <v>1.00975284947711</v>
      </c>
      <c r="AB2347" s="12">
        <v>3547</v>
      </c>
      <c r="AC2347" s="12">
        <v>320</v>
      </c>
      <c r="AD2347" s="19">
        <v>320</v>
      </c>
      <c r="AE2347" s="43"/>
      <c r="AF2347" s="43"/>
      <c r="AG2347" s="43"/>
      <c r="AH2347" s="43"/>
      <c r="AI2347" s="43"/>
      <c r="AJ2347" s="43"/>
      <c r="AK2347" s="43"/>
      <c r="AL2347" s="43"/>
      <c r="AM2347" s="43"/>
      <c r="AN2347" s="43"/>
      <c r="AO2347" s="43"/>
      <c r="AP2347" s="43"/>
      <c r="AQ2347" s="43"/>
      <c r="AR2347" s="43"/>
      <c r="AS2347" s="43"/>
      <c r="AT2347" s="43"/>
      <c r="AU2347" s="43"/>
      <c r="AV2347" s="43"/>
    </row>
    <row r="2348" ht="15.75" spans="1:48">
      <c r="A2348" s="12">
        <v>2344</v>
      </c>
      <c r="B2348" s="44">
        <v>3268</v>
      </c>
      <c r="C2348" s="45" t="s">
        <v>80</v>
      </c>
      <c r="D2348" s="46"/>
      <c r="E2348" s="47" t="s">
        <v>113</v>
      </c>
      <c r="F2348" s="48">
        <v>10.5</v>
      </c>
      <c r="G2348" s="38">
        <v>1.5</v>
      </c>
      <c r="H2348" s="39"/>
      <c r="I2348" s="39"/>
      <c r="J2348" s="39"/>
      <c r="K2348" s="39"/>
      <c r="L2348" s="39"/>
      <c r="M2348" s="39"/>
      <c r="N2348" s="39"/>
      <c r="O2348" s="39"/>
      <c r="P2348" s="39"/>
      <c r="Q2348" s="39">
        <v>1.33</v>
      </c>
      <c r="R2348" s="39"/>
      <c r="S2348" s="39"/>
      <c r="T2348" s="39"/>
      <c r="U2348" s="39">
        <v>0.17</v>
      </c>
      <c r="V2348" s="39"/>
      <c r="W2348" s="39"/>
      <c r="X2348" s="49">
        <v>5092</v>
      </c>
      <c r="Y2348" s="50">
        <v>378</v>
      </c>
      <c r="Z2348" s="51">
        <v>320</v>
      </c>
      <c r="AA2348" s="52">
        <f t="shared" si="64"/>
        <v>0.846560846560847</v>
      </c>
      <c r="AB2348" s="12">
        <v>320</v>
      </c>
      <c r="AC2348" s="12">
        <v>0</v>
      </c>
      <c r="AD2348" s="43"/>
      <c r="AE2348" s="43"/>
      <c r="AF2348" s="43"/>
      <c r="AG2348" s="43"/>
      <c r="AH2348" s="43"/>
      <c r="AI2348" s="43"/>
      <c r="AJ2348" s="43"/>
      <c r="AK2348" s="43"/>
      <c r="AL2348" s="43"/>
      <c r="AM2348" s="43"/>
      <c r="AN2348" s="43"/>
      <c r="AO2348" s="43"/>
      <c r="AP2348" s="43"/>
      <c r="AQ2348" s="43"/>
      <c r="AR2348" s="43"/>
      <c r="AS2348" s="43"/>
      <c r="AT2348" s="43"/>
      <c r="AU2348" s="43"/>
      <c r="AV2348" s="43"/>
    </row>
    <row r="2349" ht="15.75" spans="1:48">
      <c r="A2349" s="12">
        <v>2345</v>
      </c>
      <c r="B2349" s="44" t="s">
        <v>185</v>
      </c>
      <c r="C2349" s="45" t="s">
        <v>179</v>
      </c>
      <c r="D2349" s="46">
        <v>17</v>
      </c>
      <c r="E2349" s="47" t="s">
        <v>113</v>
      </c>
      <c r="F2349" s="48">
        <v>10.5</v>
      </c>
      <c r="G2349" s="38">
        <v>1.5</v>
      </c>
      <c r="H2349" s="39"/>
      <c r="I2349" s="39"/>
      <c r="J2349" s="39"/>
      <c r="K2349" s="39"/>
      <c r="L2349" s="39"/>
      <c r="M2349" s="39"/>
      <c r="N2349" s="39"/>
      <c r="O2349" s="39"/>
      <c r="P2349" s="39"/>
      <c r="Q2349" s="39">
        <v>1.33</v>
      </c>
      <c r="R2349" s="39"/>
      <c r="S2349" s="39"/>
      <c r="T2349" s="39"/>
      <c r="U2349" s="39">
        <v>0.17</v>
      </c>
      <c r="V2349" s="39"/>
      <c r="W2349" s="39"/>
      <c r="X2349" s="49" t="s">
        <v>228</v>
      </c>
      <c r="Y2349" s="50">
        <v>15225</v>
      </c>
      <c r="Z2349" s="51">
        <v>13500</v>
      </c>
      <c r="AA2349" s="52">
        <f t="shared" si="64"/>
        <v>0.886699507389163</v>
      </c>
      <c r="AB2349" s="12">
        <v>13500</v>
      </c>
      <c r="AC2349" s="12">
        <v>0</v>
      </c>
      <c r="AD2349" s="43"/>
      <c r="AE2349" s="43"/>
      <c r="AF2349" s="43"/>
      <c r="AG2349" s="43"/>
      <c r="AH2349" s="43"/>
      <c r="AI2349" s="43"/>
      <c r="AJ2349" s="43"/>
      <c r="AK2349" s="43"/>
      <c r="AL2349" s="43"/>
      <c r="AM2349" s="43"/>
      <c r="AN2349" s="43"/>
      <c r="AO2349" s="43"/>
      <c r="AP2349" s="43"/>
      <c r="AQ2349" s="43"/>
      <c r="AR2349" s="43"/>
      <c r="AS2349" s="43"/>
      <c r="AT2349" s="43"/>
      <c r="AU2349" s="43"/>
      <c r="AV2349" s="43"/>
    </row>
    <row r="2350" ht="15.75" spans="1:48">
      <c r="A2350" s="12">
        <v>2346</v>
      </c>
      <c r="B2350" s="44">
        <v>669</v>
      </c>
      <c r="C2350" s="45" t="s">
        <v>94</v>
      </c>
      <c r="D2350" s="46">
        <v>6</v>
      </c>
      <c r="E2350" s="47" t="s">
        <v>113</v>
      </c>
      <c r="F2350" s="48">
        <v>5.67</v>
      </c>
      <c r="G2350" s="38">
        <v>1.33</v>
      </c>
      <c r="H2350" s="39"/>
      <c r="I2350" s="39"/>
      <c r="J2350" s="39"/>
      <c r="K2350" s="39"/>
      <c r="L2350" s="39"/>
      <c r="M2350" s="39"/>
      <c r="N2350" s="39"/>
      <c r="O2350" s="39"/>
      <c r="P2350" s="39"/>
      <c r="Q2350" s="39">
        <v>0.66</v>
      </c>
      <c r="R2350" s="39"/>
      <c r="S2350" s="39"/>
      <c r="T2350" s="39">
        <v>0.5</v>
      </c>
      <c r="U2350" s="39">
        <v>0.17</v>
      </c>
      <c r="V2350" s="39"/>
      <c r="W2350" s="39"/>
      <c r="X2350" s="49">
        <v>8235</v>
      </c>
      <c r="Y2350" s="50">
        <v>3742.2</v>
      </c>
      <c r="Z2350" s="51">
        <v>3445</v>
      </c>
      <c r="AA2350" s="52">
        <f t="shared" si="64"/>
        <v>0.920581476137032</v>
      </c>
      <c r="AB2350" s="12">
        <v>3343</v>
      </c>
      <c r="AC2350" s="12">
        <v>102</v>
      </c>
      <c r="AD2350" s="19">
        <v>102</v>
      </c>
      <c r="AE2350" s="43"/>
      <c r="AF2350" s="43"/>
      <c r="AG2350" s="43"/>
      <c r="AH2350" s="43"/>
      <c r="AI2350" s="43"/>
      <c r="AJ2350" s="43"/>
      <c r="AK2350" s="43"/>
      <c r="AL2350" s="43"/>
      <c r="AM2350" s="43"/>
      <c r="AN2350" s="43"/>
      <c r="AO2350" s="43"/>
      <c r="AP2350" s="43"/>
      <c r="AQ2350" s="43"/>
      <c r="AR2350" s="43"/>
      <c r="AS2350" s="43"/>
      <c r="AT2350" s="43"/>
      <c r="AU2350" s="43"/>
      <c r="AV2350" s="43"/>
    </row>
    <row r="2351" ht="15.75" spans="1:48">
      <c r="A2351" s="12">
        <v>2347</v>
      </c>
      <c r="B2351" s="44">
        <v>4360</v>
      </c>
      <c r="C2351" s="45" t="s">
        <v>97</v>
      </c>
      <c r="D2351" s="46">
        <v>15</v>
      </c>
      <c r="E2351" s="47" t="s">
        <v>113</v>
      </c>
      <c r="F2351" s="48">
        <v>11.33</v>
      </c>
      <c r="G2351" s="38">
        <v>0.67</v>
      </c>
      <c r="H2351" s="39"/>
      <c r="I2351" s="39"/>
      <c r="J2351" s="39"/>
      <c r="K2351" s="39"/>
      <c r="L2351" s="39"/>
      <c r="M2351" s="39"/>
      <c r="N2351" s="39"/>
      <c r="O2351" s="39"/>
      <c r="P2351" s="39"/>
      <c r="Q2351" s="39">
        <v>0.33</v>
      </c>
      <c r="R2351" s="39"/>
      <c r="S2351" s="39"/>
      <c r="T2351" s="39">
        <v>0.17</v>
      </c>
      <c r="U2351" s="39">
        <v>0.17</v>
      </c>
      <c r="V2351" s="39"/>
      <c r="W2351" s="39"/>
      <c r="X2351" s="49">
        <v>3880</v>
      </c>
      <c r="Y2351" s="50">
        <v>4532</v>
      </c>
      <c r="Z2351" s="51">
        <v>4228</v>
      </c>
      <c r="AA2351" s="52">
        <f t="shared" si="64"/>
        <v>0.932921447484554</v>
      </c>
      <c r="AB2351" s="12">
        <v>4183</v>
      </c>
      <c r="AC2351" s="12">
        <v>45</v>
      </c>
      <c r="AD2351" s="19">
        <v>45</v>
      </c>
      <c r="AE2351" s="43"/>
      <c r="AF2351" s="43"/>
      <c r="AG2351" s="43"/>
      <c r="AH2351" s="43"/>
      <c r="AI2351" s="43"/>
      <c r="AJ2351" s="43"/>
      <c r="AK2351" s="43"/>
      <c r="AL2351" s="43"/>
      <c r="AM2351" s="43"/>
      <c r="AN2351" s="43"/>
      <c r="AO2351" s="43"/>
      <c r="AP2351" s="43"/>
      <c r="AQ2351" s="43"/>
      <c r="AR2351" s="43"/>
      <c r="AS2351" s="43"/>
      <c r="AT2351" s="43"/>
      <c r="AU2351" s="43"/>
      <c r="AV2351" s="43"/>
    </row>
    <row r="2352" ht="15.75" spans="1:48">
      <c r="A2352" s="12">
        <v>2348</v>
      </c>
      <c r="B2352" s="44">
        <v>4490</v>
      </c>
      <c r="C2352" s="45" t="s">
        <v>91</v>
      </c>
      <c r="D2352" s="46">
        <v>3</v>
      </c>
      <c r="E2352" s="47" t="s">
        <v>113</v>
      </c>
      <c r="F2352" s="48">
        <v>2.83</v>
      </c>
      <c r="G2352" s="38">
        <v>2</v>
      </c>
      <c r="H2352" s="39"/>
      <c r="I2352" s="39"/>
      <c r="J2352" s="39"/>
      <c r="K2352" s="39"/>
      <c r="L2352" s="39"/>
      <c r="M2352" s="39"/>
      <c r="N2352" s="39"/>
      <c r="O2352" s="39"/>
      <c r="P2352" s="39"/>
      <c r="Q2352" s="39">
        <v>1.33</v>
      </c>
      <c r="R2352" s="39"/>
      <c r="S2352" s="39"/>
      <c r="T2352" s="39">
        <v>0.5</v>
      </c>
      <c r="U2352" s="39">
        <v>0.17</v>
      </c>
      <c r="V2352" s="39"/>
      <c r="W2352" s="39"/>
      <c r="X2352" s="49" t="s">
        <v>439</v>
      </c>
      <c r="Y2352" s="50">
        <v>1471.6</v>
      </c>
      <c r="Z2352" s="51">
        <v>1380</v>
      </c>
      <c r="AA2352" s="52">
        <f t="shared" si="64"/>
        <v>0.93775482468062</v>
      </c>
      <c r="AB2352" s="12">
        <v>1278</v>
      </c>
      <c r="AC2352" s="12">
        <v>102</v>
      </c>
      <c r="AD2352" s="19">
        <v>102</v>
      </c>
      <c r="AE2352" s="43"/>
      <c r="AF2352" s="43"/>
      <c r="AG2352" s="43"/>
      <c r="AH2352" s="43"/>
      <c r="AI2352" s="43"/>
      <c r="AJ2352" s="43"/>
      <c r="AK2352" s="43"/>
      <c r="AL2352" s="43"/>
      <c r="AM2352" s="43"/>
      <c r="AN2352" s="43"/>
      <c r="AO2352" s="43"/>
      <c r="AP2352" s="43"/>
      <c r="AQ2352" s="43"/>
      <c r="AR2352" s="43"/>
      <c r="AS2352" s="43"/>
      <c r="AT2352" s="43"/>
      <c r="AU2352" s="43"/>
      <c r="AV2352" s="43"/>
    </row>
    <row r="2353" ht="15.75" spans="1:48">
      <c r="A2353" s="12">
        <v>2349</v>
      </c>
      <c r="B2353" s="44">
        <v>4490</v>
      </c>
      <c r="C2353" s="45" t="s">
        <v>91</v>
      </c>
      <c r="D2353" s="46">
        <v>8</v>
      </c>
      <c r="E2353" s="47" t="s">
        <v>113</v>
      </c>
      <c r="F2353" s="48">
        <v>5.67</v>
      </c>
      <c r="G2353" s="38">
        <v>1.51</v>
      </c>
      <c r="H2353" s="39"/>
      <c r="I2353" s="39"/>
      <c r="J2353" s="39"/>
      <c r="K2353" s="39">
        <v>0.5</v>
      </c>
      <c r="L2353" s="39"/>
      <c r="M2353" s="39"/>
      <c r="N2353" s="39"/>
      <c r="O2353" s="39"/>
      <c r="P2353" s="39"/>
      <c r="Q2353" s="39"/>
      <c r="R2353" s="39"/>
      <c r="S2353" s="39">
        <v>0.67</v>
      </c>
      <c r="T2353" s="39">
        <v>0.17</v>
      </c>
      <c r="U2353" s="39">
        <v>0.17</v>
      </c>
      <c r="V2353" s="39"/>
      <c r="W2353" s="39"/>
      <c r="X2353" s="49">
        <v>9477</v>
      </c>
      <c r="Y2353" s="50">
        <v>3430.35</v>
      </c>
      <c r="Z2353" s="51">
        <v>3392</v>
      </c>
      <c r="AA2353" s="52">
        <f t="shared" si="64"/>
        <v>0.988820382759777</v>
      </c>
      <c r="AB2353" s="12">
        <v>3319</v>
      </c>
      <c r="AC2353" s="12">
        <v>73</v>
      </c>
      <c r="AD2353" s="19">
        <v>73</v>
      </c>
      <c r="AE2353" s="43"/>
      <c r="AF2353" s="43"/>
      <c r="AG2353" s="43"/>
      <c r="AH2353" s="43"/>
      <c r="AI2353" s="43"/>
      <c r="AJ2353" s="43"/>
      <c r="AK2353" s="43"/>
      <c r="AL2353" s="43"/>
      <c r="AM2353" s="43"/>
      <c r="AN2353" s="43"/>
      <c r="AO2353" s="43"/>
      <c r="AP2353" s="43"/>
      <c r="AQ2353" s="43"/>
      <c r="AR2353" s="43"/>
      <c r="AS2353" s="43"/>
      <c r="AT2353" s="43"/>
      <c r="AU2353" s="43"/>
      <c r="AV2353" s="43"/>
    </row>
    <row r="2354" ht="15.75" spans="1:48">
      <c r="A2354" s="12">
        <v>2350</v>
      </c>
      <c r="B2354" s="44">
        <v>4489</v>
      </c>
      <c r="C2354" s="45" t="s">
        <v>88</v>
      </c>
      <c r="D2354" s="46">
        <v>5</v>
      </c>
      <c r="E2354" s="47" t="s">
        <v>113</v>
      </c>
      <c r="F2354" s="48">
        <v>10.5</v>
      </c>
      <c r="G2354" s="38">
        <v>1.5</v>
      </c>
      <c r="H2354" s="39"/>
      <c r="I2354" s="39"/>
      <c r="J2354" s="39"/>
      <c r="K2354" s="39">
        <v>0.17</v>
      </c>
      <c r="L2354" s="39"/>
      <c r="M2354" s="39"/>
      <c r="N2354" s="39"/>
      <c r="O2354" s="39"/>
      <c r="P2354" s="39"/>
      <c r="Q2354" s="39">
        <v>1.33</v>
      </c>
      <c r="R2354" s="39"/>
      <c r="S2354" s="39"/>
      <c r="T2354" s="39"/>
      <c r="U2354" s="39"/>
      <c r="V2354" s="39"/>
      <c r="W2354" s="39"/>
      <c r="X2354" s="49">
        <v>5770</v>
      </c>
      <c r="Y2354" s="50">
        <v>6352.5</v>
      </c>
      <c r="Z2354" s="51">
        <v>6189</v>
      </c>
      <c r="AA2354" s="52">
        <f t="shared" si="64"/>
        <v>0.974262101534829</v>
      </c>
      <c r="AB2354" s="12">
        <v>6122</v>
      </c>
      <c r="AC2354" s="12">
        <v>67</v>
      </c>
      <c r="AD2354" s="19">
        <v>67</v>
      </c>
      <c r="AE2354" s="43"/>
      <c r="AF2354" s="43"/>
      <c r="AG2354" s="43"/>
      <c r="AH2354" s="43"/>
      <c r="AI2354" s="43"/>
      <c r="AJ2354" s="43"/>
      <c r="AK2354" s="43"/>
      <c r="AL2354" s="43"/>
      <c r="AM2354" s="43"/>
      <c r="AN2354" s="43"/>
      <c r="AO2354" s="43"/>
      <c r="AP2354" s="43"/>
      <c r="AQ2354" s="43"/>
      <c r="AR2354" s="43"/>
      <c r="AS2354" s="43"/>
      <c r="AT2354" s="43"/>
      <c r="AU2354" s="43"/>
      <c r="AV2354" s="43"/>
    </row>
    <row r="2355" ht="15.75" spans="1:48">
      <c r="A2355" s="12">
        <v>2351</v>
      </c>
      <c r="B2355" s="44">
        <v>676</v>
      </c>
      <c r="C2355" s="45" t="s">
        <v>171</v>
      </c>
      <c r="D2355" s="46"/>
      <c r="E2355" s="47" t="s">
        <v>113</v>
      </c>
      <c r="F2355" s="48">
        <v>3</v>
      </c>
      <c r="G2355" s="38">
        <v>2.5</v>
      </c>
      <c r="H2355" s="39"/>
      <c r="I2355" s="39"/>
      <c r="J2355" s="39"/>
      <c r="K2355" s="39"/>
      <c r="L2355" s="39"/>
      <c r="M2355" s="39"/>
      <c r="N2355" s="39"/>
      <c r="O2355" s="39"/>
      <c r="P2355" s="39"/>
      <c r="Q2355" s="39">
        <v>1.33</v>
      </c>
      <c r="R2355" s="39"/>
      <c r="S2355" s="39">
        <v>1</v>
      </c>
      <c r="T2355" s="39"/>
      <c r="U2355" s="39">
        <v>0.17</v>
      </c>
      <c r="V2355" s="39"/>
      <c r="W2355" s="39"/>
      <c r="X2355" s="49" t="s">
        <v>234</v>
      </c>
      <c r="Y2355" s="50">
        <v>11160</v>
      </c>
      <c r="Z2355" s="51">
        <v>11700</v>
      </c>
      <c r="AA2355" s="52">
        <f t="shared" si="64"/>
        <v>1.04838709677419</v>
      </c>
      <c r="AB2355" s="12">
        <v>11700</v>
      </c>
      <c r="AC2355" s="12">
        <v>0</v>
      </c>
      <c r="AD2355" s="43"/>
      <c r="AE2355" s="43"/>
      <c r="AF2355" s="43"/>
      <c r="AG2355" s="43"/>
      <c r="AH2355" s="43"/>
      <c r="AI2355" s="43"/>
      <c r="AJ2355" s="43"/>
      <c r="AK2355" s="43"/>
      <c r="AL2355" s="43"/>
      <c r="AM2355" s="43"/>
      <c r="AN2355" s="43"/>
      <c r="AO2355" s="43"/>
      <c r="AP2355" s="43"/>
      <c r="AQ2355" s="43"/>
      <c r="AR2355" s="43"/>
      <c r="AS2355" s="43"/>
      <c r="AT2355" s="43"/>
      <c r="AU2355" s="43"/>
      <c r="AV2355" s="43"/>
    </row>
    <row r="2356" ht="15.75" spans="1:48">
      <c r="A2356" s="12">
        <v>2352</v>
      </c>
      <c r="B2356" s="44">
        <v>676</v>
      </c>
      <c r="C2356" s="45" t="s">
        <v>171</v>
      </c>
      <c r="D2356" s="46"/>
      <c r="E2356" s="47" t="s">
        <v>113</v>
      </c>
      <c r="F2356" s="48">
        <v>2</v>
      </c>
      <c r="G2356" s="38">
        <v>0</v>
      </c>
      <c r="H2356" s="39"/>
      <c r="I2356" s="39"/>
      <c r="J2356" s="39"/>
      <c r="K2356" s="39"/>
      <c r="L2356" s="39"/>
      <c r="M2356" s="39"/>
      <c r="N2356" s="39"/>
      <c r="O2356" s="39"/>
      <c r="P2356" s="39"/>
      <c r="Q2356" s="39"/>
      <c r="R2356" s="39"/>
      <c r="S2356" s="39"/>
      <c r="T2356" s="39"/>
      <c r="U2356" s="39"/>
      <c r="V2356" s="39"/>
      <c r="W2356" s="39"/>
      <c r="X2356" s="49" t="s">
        <v>100</v>
      </c>
      <c r="Y2356" s="50">
        <v>3840</v>
      </c>
      <c r="Z2356" s="51">
        <v>4320</v>
      </c>
      <c r="AA2356" s="52">
        <f t="shared" si="64"/>
        <v>1.125</v>
      </c>
      <c r="AB2356" s="12">
        <v>4320</v>
      </c>
      <c r="AC2356" s="12">
        <v>0</v>
      </c>
      <c r="AD2356" s="43"/>
      <c r="AE2356" s="43"/>
      <c r="AF2356" s="43"/>
      <c r="AG2356" s="43"/>
      <c r="AH2356" s="43"/>
      <c r="AI2356" s="43"/>
      <c r="AJ2356" s="43"/>
      <c r="AK2356" s="43"/>
      <c r="AL2356" s="43"/>
      <c r="AM2356" s="43"/>
      <c r="AN2356" s="43"/>
      <c r="AO2356" s="43"/>
      <c r="AP2356" s="43"/>
      <c r="AQ2356" s="43"/>
      <c r="AR2356" s="43"/>
      <c r="AS2356" s="43"/>
      <c r="AT2356" s="43"/>
      <c r="AU2356" s="43"/>
      <c r="AV2356" s="43"/>
    </row>
    <row r="2357" ht="15.75" spans="1:48">
      <c r="A2357" s="12">
        <v>2353</v>
      </c>
      <c r="B2357" s="44">
        <v>676</v>
      </c>
      <c r="C2357" s="45" t="s">
        <v>171</v>
      </c>
      <c r="D2357" s="46"/>
      <c r="E2357" s="47" t="s">
        <v>113</v>
      </c>
      <c r="F2357" s="48">
        <v>1.4</v>
      </c>
      <c r="G2357" s="38">
        <v>0</v>
      </c>
      <c r="H2357" s="39"/>
      <c r="I2357" s="39"/>
      <c r="J2357" s="39"/>
      <c r="K2357" s="39"/>
      <c r="L2357" s="39"/>
      <c r="M2357" s="39"/>
      <c r="N2357" s="39"/>
      <c r="O2357" s="39"/>
      <c r="P2357" s="39"/>
      <c r="Q2357" s="39"/>
      <c r="R2357" s="39"/>
      <c r="S2357" s="39"/>
      <c r="T2357" s="39"/>
      <c r="U2357" s="39"/>
      <c r="V2357" s="39"/>
      <c r="W2357" s="39"/>
      <c r="X2357" s="49" t="s">
        <v>152</v>
      </c>
      <c r="Y2357" s="50">
        <v>6090</v>
      </c>
      <c r="Z2357" s="51">
        <v>7000</v>
      </c>
      <c r="AA2357" s="52">
        <f t="shared" si="64"/>
        <v>1.14942528735632</v>
      </c>
      <c r="AB2357" s="12">
        <v>7000</v>
      </c>
      <c r="AC2357" s="12">
        <v>0</v>
      </c>
      <c r="AD2357" s="43"/>
      <c r="AE2357" s="43"/>
      <c r="AF2357" s="43"/>
      <c r="AG2357" s="43"/>
      <c r="AH2357" s="43"/>
      <c r="AI2357" s="43"/>
      <c r="AJ2357" s="43"/>
      <c r="AK2357" s="43"/>
      <c r="AL2357" s="43"/>
      <c r="AM2357" s="43"/>
      <c r="AN2357" s="43"/>
      <c r="AO2357" s="43"/>
      <c r="AP2357" s="43"/>
      <c r="AQ2357" s="43"/>
      <c r="AR2357" s="43"/>
      <c r="AS2357" s="43"/>
      <c r="AT2357" s="43"/>
      <c r="AU2357" s="43"/>
      <c r="AV2357" s="43"/>
    </row>
    <row r="2358" ht="15.75" spans="1:48">
      <c r="A2358" s="12">
        <v>2354</v>
      </c>
      <c r="B2358" s="44">
        <v>676</v>
      </c>
      <c r="C2358" s="45" t="s">
        <v>171</v>
      </c>
      <c r="D2358" s="46"/>
      <c r="E2358" s="47" t="s">
        <v>113</v>
      </c>
      <c r="F2358" s="48">
        <v>1</v>
      </c>
      <c r="G2358" s="38">
        <v>0</v>
      </c>
      <c r="H2358" s="39"/>
      <c r="I2358" s="39"/>
      <c r="J2358" s="39"/>
      <c r="K2358" s="39"/>
      <c r="L2358" s="39"/>
      <c r="M2358" s="39"/>
      <c r="N2358" s="39"/>
      <c r="O2358" s="39"/>
      <c r="P2358" s="39"/>
      <c r="Q2358" s="39"/>
      <c r="R2358" s="39"/>
      <c r="S2358" s="39"/>
      <c r="T2358" s="39"/>
      <c r="U2358" s="39"/>
      <c r="V2358" s="39"/>
      <c r="W2358" s="39"/>
      <c r="X2358" s="49" t="s">
        <v>102</v>
      </c>
      <c r="Y2358" s="50">
        <v>4500</v>
      </c>
      <c r="Z2358" s="51">
        <v>4680</v>
      </c>
      <c r="AA2358" s="52">
        <f t="shared" si="64"/>
        <v>1.04</v>
      </c>
      <c r="AB2358" s="12">
        <v>4680</v>
      </c>
      <c r="AC2358" s="12">
        <v>0</v>
      </c>
      <c r="AD2358" s="43"/>
      <c r="AE2358" s="43"/>
      <c r="AF2358" s="43"/>
      <c r="AG2358" s="43"/>
      <c r="AH2358" s="43"/>
      <c r="AI2358" s="43"/>
      <c r="AJ2358" s="43"/>
      <c r="AK2358" s="43"/>
      <c r="AL2358" s="43"/>
      <c r="AM2358" s="43"/>
      <c r="AN2358" s="43"/>
      <c r="AO2358" s="43"/>
      <c r="AP2358" s="43"/>
      <c r="AQ2358" s="43"/>
      <c r="AR2358" s="43"/>
      <c r="AS2358" s="43"/>
      <c r="AT2358" s="43"/>
      <c r="AU2358" s="43"/>
      <c r="AV2358" s="43"/>
    </row>
    <row r="2359" ht="15.75" spans="1:48">
      <c r="A2359" s="12">
        <v>2355</v>
      </c>
      <c r="B2359" s="44">
        <v>676</v>
      </c>
      <c r="C2359" s="55" t="s">
        <v>171</v>
      </c>
      <c r="D2359" s="56"/>
      <c r="E2359" s="47" t="s">
        <v>113</v>
      </c>
      <c r="F2359" s="48">
        <v>0.1</v>
      </c>
      <c r="G2359" s="38">
        <v>0</v>
      </c>
      <c r="H2359" s="39"/>
      <c r="I2359" s="39"/>
      <c r="J2359" s="39"/>
      <c r="K2359" s="39"/>
      <c r="L2359" s="39"/>
      <c r="M2359" s="39"/>
      <c r="N2359" s="39"/>
      <c r="O2359" s="39"/>
      <c r="P2359" s="39"/>
      <c r="Q2359" s="39"/>
      <c r="R2359" s="39"/>
      <c r="S2359" s="39"/>
      <c r="T2359" s="39"/>
      <c r="U2359" s="39"/>
      <c r="V2359" s="39"/>
      <c r="W2359" s="39"/>
      <c r="X2359" s="49" t="s">
        <v>229</v>
      </c>
      <c r="Y2359" s="50">
        <v>372</v>
      </c>
      <c r="Z2359" s="51">
        <v>450</v>
      </c>
      <c r="AA2359" s="52">
        <f t="shared" si="64"/>
        <v>1.20967741935484</v>
      </c>
      <c r="AB2359" s="12">
        <v>450</v>
      </c>
      <c r="AC2359" s="12">
        <v>0</v>
      </c>
      <c r="AD2359" s="43"/>
      <c r="AE2359" s="43"/>
      <c r="AF2359" s="43"/>
      <c r="AG2359" s="43"/>
      <c r="AH2359" s="43"/>
      <c r="AI2359" s="43"/>
      <c r="AJ2359" s="43"/>
      <c r="AK2359" s="43"/>
      <c r="AL2359" s="43"/>
      <c r="AM2359" s="43"/>
      <c r="AN2359" s="43"/>
      <c r="AO2359" s="43"/>
      <c r="AP2359" s="43"/>
      <c r="AQ2359" s="43"/>
      <c r="AR2359" s="43"/>
      <c r="AS2359" s="43"/>
      <c r="AT2359" s="43"/>
      <c r="AU2359" s="43"/>
      <c r="AV2359" s="43"/>
    </row>
    <row r="2360" ht="15.75" spans="1:48">
      <c r="A2360" s="12">
        <v>2356</v>
      </c>
      <c r="B2360" s="44" t="s">
        <v>275</v>
      </c>
      <c r="C2360" s="45" t="s">
        <v>253</v>
      </c>
      <c r="D2360" s="46"/>
      <c r="E2360" s="47" t="s">
        <v>113</v>
      </c>
      <c r="F2360" s="48">
        <v>5</v>
      </c>
      <c r="G2360" s="38">
        <v>0</v>
      </c>
      <c r="H2360" s="39"/>
      <c r="I2360" s="39"/>
      <c r="J2360" s="39"/>
      <c r="K2360" s="39"/>
      <c r="L2360" s="39"/>
      <c r="M2360" s="39"/>
      <c r="N2360" s="39"/>
      <c r="O2360" s="39"/>
      <c r="P2360" s="39"/>
      <c r="Q2360" s="39"/>
      <c r="R2360" s="39"/>
      <c r="S2360" s="39"/>
      <c r="T2360" s="39"/>
      <c r="U2360" s="39"/>
      <c r="V2360" s="39"/>
      <c r="W2360" s="39"/>
      <c r="X2360" s="49" t="s">
        <v>105</v>
      </c>
      <c r="Y2360" s="50">
        <v>3300</v>
      </c>
      <c r="Z2360" s="51">
        <v>3353</v>
      </c>
      <c r="AA2360" s="52">
        <f t="shared" si="64"/>
        <v>1.01606060606061</v>
      </c>
      <c r="AB2360" s="12">
        <v>3353</v>
      </c>
      <c r="AC2360" s="12">
        <v>0</v>
      </c>
      <c r="AD2360" s="43"/>
      <c r="AE2360" s="43"/>
      <c r="AF2360" s="43"/>
      <c r="AG2360" s="43"/>
      <c r="AH2360" s="43"/>
      <c r="AI2360" s="43"/>
      <c r="AJ2360" s="43"/>
      <c r="AK2360" s="43"/>
      <c r="AL2360" s="43"/>
      <c r="AM2360" s="43"/>
      <c r="AN2360" s="43"/>
      <c r="AO2360" s="43"/>
      <c r="AP2360" s="43"/>
      <c r="AQ2360" s="43"/>
      <c r="AR2360" s="43"/>
      <c r="AS2360" s="43"/>
      <c r="AT2360" s="43"/>
      <c r="AU2360" s="43"/>
      <c r="AV2360" s="43"/>
    </row>
    <row r="2361" ht="15.75" spans="1:48">
      <c r="A2361" s="12">
        <v>2357</v>
      </c>
      <c r="B2361" s="44">
        <v>3277</v>
      </c>
      <c r="C2361" s="45" t="s">
        <v>106</v>
      </c>
      <c r="D2361" s="46"/>
      <c r="E2361" s="47" t="s">
        <v>113</v>
      </c>
      <c r="F2361" s="48">
        <v>7.33</v>
      </c>
      <c r="G2361" s="38">
        <v>2.33</v>
      </c>
      <c r="H2361" s="39"/>
      <c r="I2361" s="39"/>
      <c r="J2361" s="39"/>
      <c r="K2361" s="39"/>
      <c r="L2361" s="39"/>
      <c r="M2361" s="39"/>
      <c r="N2361" s="39"/>
      <c r="O2361" s="39"/>
      <c r="P2361" s="39"/>
      <c r="Q2361" s="39">
        <v>1.33</v>
      </c>
      <c r="R2361" s="39"/>
      <c r="S2361" s="39">
        <v>1</v>
      </c>
      <c r="T2361" s="39"/>
      <c r="U2361" s="39"/>
      <c r="V2361" s="39"/>
      <c r="W2361" s="39"/>
      <c r="X2361" s="49" t="s">
        <v>103</v>
      </c>
      <c r="Y2361" s="50">
        <v>6157.2</v>
      </c>
      <c r="Z2361" s="51">
        <v>6189</v>
      </c>
      <c r="AA2361" s="52">
        <f>IFERROR(Z2361/Y2361,0)</f>
        <v>1.00516468524654</v>
      </c>
      <c r="AB2361" s="12">
        <v>6189</v>
      </c>
      <c r="AC2361" s="12">
        <v>0</v>
      </c>
      <c r="AD2361" s="43"/>
      <c r="AE2361" s="43"/>
      <c r="AF2361" s="43"/>
      <c r="AG2361" s="43"/>
      <c r="AH2361" s="43"/>
      <c r="AI2361" s="43"/>
      <c r="AJ2361" s="43"/>
      <c r="AK2361" s="43"/>
      <c r="AL2361" s="43"/>
      <c r="AM2361" s="43"/>
      <c r="AN2361" s="43"/>
      <c r="AO2361" s="43"/>
      <c r="AP2361" s="43"/>
      <c r="AQ2361" s="43"/>
      <c r="AR2361" s="43"/>
      <c r="AS2361" s="43"/>
      <c r="AT2361" s="43"/>
      <c r="AU2361" s="43"/>
      <c r="AV2361" s="43"/>
    </row>
    <row r="2362" ht="15.75" spans="1:48">
      <c r="A2362" s="12">
        <v>2358</v>
      </c>
      <c r="B2362" s="44">
        <v>3277</v>
      </c>
      <c r="C2362" s="45" t="s">
        <v>106</v>
      </c>
      <c r="D2362" s="46"/>
      <c r="E2362" s="47" t="s">
        <v>113</v>
      </c>
      <c r="F2362" s="48">
        <v>2.33</v>
      </c>
      <c r="G2362" s="38">
        <v>0</v>
      </c>
      <c r="H2362" s="39"/>
      <c r="I2362" s="39"/>
      <c r="J2362" s="39"/>
      <c r="K2362" s="39"/>
      <c r="L2362" s="39"/>
      <c r="M2362" s="39"/>
      <c r="N2362" s="39"/>
      <c r="O2362" s="39"/>
      <c r="P2362" s="39"/>
      <c r="Q2362" s="39"/>
      <c r="R2362" s="39"/>
      <c r="S2362" s="39"/>
      <c r="T2362" s="39"/>
      <c r="U2362" s="39"/>
      <c r="V2362" s="39"/>
      <c r="W2362" s="39"/>
      <c r="X2362" s="49" t="s">
        <v>155</v>
      </c>
      <c r="Y2362" s="50">
        <v>0</v>
      </c>
      <c r="Z2362" s="51"/>
      <c r="AA2362" s="52">
        <f>IFERROR(Z2362/Y2362,0)</f>
        <v>0</v>
      </c>
      <c r="AB2362" s="12">
        <v>0</v>
      </c>
      <c r="AC2362" s="12">
        <v>0</v>
      </c>
      <c r="AD2362" s="43"/>
      <c r="AE2362" s="43"/>
      <c r="AF2362" s="43"/>
      <c r="AG2362" s="43"/>
      <c r="AH2362" s="43"/>
      <c r="AI2362" s="43"/>
      <c r="AJ2362" s="43"/>
      <c r="AK2362" s="43"/>
      <c r="AL2362" s="43"/>
      <c r="AM2362" s="43"/>
      <c r="AN2362" s="43"/>
      <c r="AO2362" s="43"/>
      <c r="AP2362" s="43"/>
      <c r="AQ2362" s="43"/>
      <c r="AR2362" s="43"/>
      <c r="AS2362" s="43"/>
      <c r="AT2362" s="43"/>
      <c r="AU2362" s="43"/>
      <c r="AV2362" s="43"/>
    </row>
    <row r="2363" ht="15.75" spans="1:48">
      <c r="A2363" s="12">
        <v>2359</v>
      </c>
      <c r="B2363" s="44">
        <v>669</v>
      </c>
      <c r="C2363" s="45" t="s">
        <v>94</v>
      </c>
      <c r="D2363" s="46"/>
      <c r="E2363" s="47" t="s">
        <v>113</v>
      </c>
      <c r="F2363" s="48">
        <v>5</v>
      </c>
      <c r="G2363" s="38">
        <v>0</v>
      </c>
      <c r="H2363" s="39"/>
      <c r="I2363" s="39"/>
      <c r="J2363" s="39"/>
      <c r="K2363" s="39"/>
      <c r="L2363" s="39"/>
      <c r="M2363" s="39"/>
      <c r="N2363" s="39"/>
      <c r="O2363" s="39"/>
      <c r="P2363" s="39"/>
      <c r="Q2363" s="39"/>
      <c r="R2363" s="39"/>
      <c r="S2363" s="39"/>
      <c r="T2363" s="39"/>
      <c r="U2363" s="39"/>
      <c r="V2363" s="39"/>
      <c r="W2363" s="39"/>
      <c r="X2363" s="49" t="s">
        <v>105</v>
      </c>
      <c r="Y2363" s="50">
        <v>3300</v>
      </c>
      <c r="Z2363" s="51">
        <v>3445</v>
      </c>
      <c r="AA2363" s="52">
        <f>IFERROR(Z2363/Y2363,0)</f>
        <v>1.04393939393939</v>
      </c>
      <c r="AB2363" s="12">
        <v>3445</v>
      </c>
      <c r="AC2363" s="12">
        <v>0</v>
      </c>
      <c r="AD2363" s="43"/>
      <c r="AE2363" s="43"/>
      <c r="AF2363" s="43"/>
      <c r="AG2363" s="43"/>
      <c r="AH2363" s="43"/>
      <c r="AI2363" s="43"/>
      <c r="AJ2363" s="43"/>
      <c r="AK2363" s="43"/>
      <c r="AL2363" s="43"/>
      <c r="AM2363" s="43"/>
      <c r="AN2363" s="43"/>
      <c r="AO2363" s="43"/>
      <c r="AP2363" s="43"/>
      <c r="AQ2363" s="43"/>
      <c r="AR2363" s="43"/>
      <c r="AS2363" s="43"/>
      <c r="AT2363" s="43"/>
      <c r="AU2363" s="43"/>
      <c r="AV2363" s="43"/>
    </row>
    <row r="2364" ht="15.75" spans="1:48">
      <c r="A2364" s="12">
        <v>2360</v>
      </c>
      <c r="B2364" s="44">
        <v>850</v>
      </c>
      <c r="C2364" s="45" t="s">
        <v>109</v>
      </c>
      <c r="D2364" s="46"/>
      <c r="E2364" s="47" t="s">
        <v>113</v>
      </c>
      <c r="F2364" s="48">
        <v>10.67</v>
      </c>
      <c r="G2364" s="38">
        <v>1.33</v>
      </c>
      <c r="H2364" s="39"/>
      <c r="I2364" s="39"/>
      <c r="J2364" s="39"/>
      <c r="K2364" s="39"/>
      <c r="L2364" s="39"/>
      <c r="M2364" s="39"/>
      <c r="N2364" s="39"/>
      <c r="O2364" s="39"/>
      <c r="P2364" s="39"/>
      <c r="Q2364" s="39">
        <v>1.33</v>
      </c>
      <c r="R2364" s="39"/>
      <c r="S2364" s="39"/>
      <c r="T2364" s="39"/>
      <c r="U2364" s="39"/>
      <c r="V2364" s="39"/>
      <c r="W2364" s="39"/>
      <c r="X2364" s="49" t="s">
        <v>103</v>
      </c>
      <c r="Y2364" s="50">
        <v>8962.8</v>
      </c>
      <c r="Z2364" s="51">
        <v>8008</v>
      </c>
      <c r="AA2364" s="52">
        <f>IFERROR(Z2364/Y2364,0)</f>
        <v>0.893470790378007</v>
      </c>
      <c r="AB2364" s="12">
        <v>8008</v>
      </c>
      <c r="AC2364" s="12">
        <v>0</v>
      </c>
      <c r="AD2364" s="43"/>
      <c r="AE2364" s="43"/>
      <c r="AF2364" s="43"/>
      <c r="AG2364" s="43"/>
      <c r="AH2364" s="43"/>
      <c r="AI2364" s="43"/>
      <c r="AJ2364" s="43"/>
      <c r="AK2364" s="43"/>
      <c r="AL2364" s="43"/>
      <c r="AM2364" s="43"/>
      <c r="AN2364" s="43"/>
      <c r="AO2364" s="43"/>
      <c r="AP2364" s="43"/>
      <c r="AQ2364" s="43"/>
      <c r="AR2364" s="43"/>
      <c r="AS2364" s="43"/>
      <c r="AT2364" s="43"/>
      <c r="AU2364" s="43"/>
      <c r="AV2364" s="43"/>
    </row>
    <row r="2365" ht="15.75" spans="1:48">
      <c r="A2365" s="12">
        <v>2361</v>
      </c>
      <c r="B2365" s="44">
        <v>849</v>
      </c>
      <c r="C2365" s="45" t="s">
        <v>108</v>
      </c>
      <c r="D2365" s="46"/>
      <c r="E2365" s="47" t="s">
        <v>113</v>
      </c>
      <c r="F2365" s="48">
        <v>10.67</v>
      </c>
      <c r="G2365" s="38">
        <v>1.33</v>
      </c>
      <c r="H2365" s="39"/>
      <c r="I2365" s="39"/>
      <c r="J2365" s="39"/>
      <c r="K2365" s="39"/>
      <c r="L2365" s="39"/>
      <c r="M2365" s="39"/>
      <c r="N2365" s="39"/>
      <c r="O2365" s="39"/>
      <c r="P2365" s="39"/>
      <c r="Q2365" s="39">
        <v>1.33</v>
      </c>
      <c r="R2365" s="39"/>
      <c r="S2365" s="39"/>
      <c r="T2365" s="39"/>
      <c r="U2365" s="39"/>
      <c r="V2365" s="39"/>
      <c r="W2365" s="39"/>
      <c r="X2365" s="49" t="s">
        <v>103</v>
      </c>
      <c r="Y2365" s="50">
        <v>8962.8</v>
      </c>
      <c r="Z2365" s="51">
        <v>4859</v>
      </c>
      <c r="AA2365" s="52">
        <f>IFERROR(Z2365/Y2365,0)</f>
        <v>0.542129691614228</v>
      </c>
      <c r="AB2365" s="12">
        <v>4859</v>
      </c>
      <c r="AC2365" s="12">
        <v>0</v>
      </c>
      <c r="AD2365" s="43"/>
      <c r="AE2365" s="43"/>
      <c r="AF2365" s="43"/>
      <c r="AG2365" s="43"/>
      <c r="AH2365" s="43"/>
      <c r="AI2365" s="43"/>
      <c r="AJ2365" s="43"/>
      <c r="AK2365" s="43"/>
      <c r="AL2365" s="43"/>
      <c r="AM2365" s="43"/>
      <c r="AN2365" s="43"/>
      <c r="AO2365" s="43"/>
      <c r="AP2365" s="43"/>
      <c r="AQ2365" s="43"/>
      <c r="AR2365" s="43"/>
      <c r="AS2365" s="43"/>
      <c r="AT2365" s="43"/>
      <c r="AU2365" s="43"/>
      <c r="AV2365" s="43"/>
    </row>
    <row r="2366" ht="15.75" spans="1:48">
      <c r="A2366" s="12">
        <v>2362</v>
      </c>
      <c r="B2366" s="44">
        <v>2959</v>
      </c>
      <c r="C2366" s="45" t="s">
        <v>86</v>
      </c>
      <c r="D2366" s="46"/>
      <c r="E2366" s="47" t="s">
        <v>113</v>
      </c>
      <c r="F2366" s="48">
        <v>8</v>
      </c>
      <c r="G2366" s="38">
        <v>0</v>
      </c>
      <c r="H2366" s="39"/>
      <c r="I2366" s="39"/>
      <c r="J2366" s="39"/>
      <c r="K2366" s="39"/>
      <c r="L2366" s="39"/>
      <c r="M2366" s="39"/>
      <c r="N2366" s="39"/>
      <c r="O2366" s="39"/>
      <c r="P2366" s="39"/>
      <c r="Q2366" s="39"/>
      <c r="R2366" s="39"/>
      <c r="S2366" s="39"/>
      <c r="T2366" s="39"/>
      <c r="U2366" s="39"/>
      <c r="V2366" s="39"/>
      <c r="W2366" s="39"/>
      <c r="X2366" s="49" t="s">
        <v>450</v>
      </c>
      <c r="Y2366" s="50">
        <v>0</v>
      </c>
      <c r="Z2366" s="51"/>
      <c r="AA2366" s="52">
        <f>IFERROR(Z2366/Y2366,0)</f>
        <v>0</v>
      </c>
      <c r="AB2366" s="12">
        <v>0</v>
      </c>
      <c r="AC2366" s="12">
        <v>0</v>
      </c>
      <c r="AD2366" s="43"/>
      <c r="AE2366" s="43"/>
      <c r="AF2366" s="43"/>
      <c r="AG2366" s="43"/>
      <c r="AH2366" s="43"/>
      <c r="AI2366" s="43"/>
      <c r="AJ2366" s="43"/>
      <c r="AK2366" s="43"/>
      <c r="AL2366" s="43"/>
      <c r="AM2366" s="43"/>
      <c r="AN2366" s="43"/>
      <c r="AO2366" s="43"/>
      <c r="AP2366" s="43"/>
      <c r="AQ2366" s="43"/>
      <c r="AR2366" s="43"/>
      <c r="AS2366" s="43"/>
      <c r="AT2366" s="43"/>
      <c r="AU2366" s="43"/>
      <c r="AV2366" s="43"/>
    </row>
  </sheetData>
  <autoFilter xmlns:etc="http://www.wps.cn/officeDocument/2017/etCustomData" ref="A3:AV2366" etc:filterBottomFollowUsedRange="0">
    <extLst/>
  </autoFilter>
  <conditionalFormatting sqref="AA6:AA63">
    <cfRule type="cellIs" dxfId="0" priority="1" operator="lessThan">
      <formula>0.8</formula>
    </cfRule>
    <cfRule type="cellIs" dxfId="1" priority="2" operator="between">
      <formula>0.8</formula>
      <formula>0.9</formula>
    </cfRule>
    <cfRule type="cellIs" dxfId="2" priority="3" operator="greaterThanOrEqual">
      <formula>0.9</formula>
    </cfRule>
  </conditionalFormatting>
  <conditionalFormatting sqref="AA68:AA450 AA452:AA752 AA754:AA2366">
    <cfRule type="cellIs" dxfId="0" priority="4" operator="lessThan">
      <formula>0.8</formula>
    </cfRule>
    <cfRule type="cellIs" dxfId="1" priority="5" operator="between">
      <formula>0.8</formula>
      <formula>0.9</formula>
    </cfRule>
    <cfRule type="cellIs" dxfId="2" priority="6" operator="greaterThanOrEqual">
      <formula>0.9</formula>
    </cfRule>
  </conditionalFormatting>
  <pageMargins left="0.75" right="0.75" top="1" bottom="1" header="0.5" footer="0.5"/>
  <pageSetup paperSize="1" fitToHeight="0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Báo cáo công nhân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 Nguyễn</cp:lastModifiedBy>
  <dcterms:created xsi:type="dcterms:W3CDTF">2026-10-04T13:22:00Z</dcterms:created>
  <dcterms:modified xsi:type="dcterms:W3CDTF">2026-10-05T04:49:12Z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1033-12.1.0.28485</vt:lpwstr>
  </property>
  <property fmtid="{D5CDD505-2E9C-101B-9397-08002B2CF9AE}" pid="3" name="CalculationRule">
    <vt:i4>0</vt:i4>
  </property>
  <property fmtid="{D5CDD505-2E9C-101B-9397-08002B2CF9AE}" pid="4" name="ICV">
    <vt:lpwstr>5EE4FB583E694EF88E4A52FD9C5FE7DF_12</vt:lpwstr>
  </property>
</Properties>
</file>