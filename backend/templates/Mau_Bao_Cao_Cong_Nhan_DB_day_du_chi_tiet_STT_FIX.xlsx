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/>
  </bookViews>
  <sheets>
    <sheet name="Báo cáo công nhân" sheetId="1" r:id="rId1"/>
  </sheets>
  <definedNames>
    <definedName name="_xlnm._FilterDatabase" localSheetId="0" hidden="1">'Báo cáo công nhân'!$A$3:$AV$2366</definedName>
    <definedName name="_xlnm._FilterDatabase">'Báo cáo công nhân'!$A$3:$A$2366,'Báo cáo công nhân'!$C$3:$D$2366,'Báo cáo công nhân'!$F$3:$AX$2366</definedName>
    <definedName name="_xlnm.Print_Area" localSheetId="0">'Báo cáo công nhân'!$A1:$AV2366</definedName>
    <definedName name="_xlnm.Print_Titles" localSheetId="0">'Báo cáo công nhân'!$1:$3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<sst xmlns="http://schemas.openxmlformats.org/spreadsheetml/2006/main" count="65" uniqueCount="62">
  <si>
    <t>STT</t>
  </si>
  <si>
    <t>Thời gian nộp báo cáo</t>
  </si>
  <si>
    <t>Mã NV</t>
  </si>
  <si>
    <t>Tên</t>
  </si>
  <si>
    <t>% Học việc</t>
  </si>
  <si>
    <t>Máy</t>
  </si>
  <si>
    <t>Ca</t>
  </si>
  <si>
    <t>Thời gian làm việc</t>
  </si>
  <si>
    <t>Tổng thời gian trừ giờ</t>
  </si>
  <si>
    <t>Thiếu sản lượng</t>
  </si>
  <si>
    <t>Bật máy, xét máy</t>
  </si>
  <si>
    <t>Chuyển mã</t>
  </si>
  <si>
    <t>Chỉnh máy</t>
  </si>
  <si>
    <t>Chờ chỉnh máy</t>
  </si>
  <si>
    <t>Mất điện</t>
  </si>
  <si>
    <t>Mất khí</t>
  </si>
  <si>
    <t>Chờ hàng</t>
  </si>
  <si>
    <t>Bảo dưỡng máy</t>
  </si>
  <si>
    <t>Nghỉ giải lao</t>
  </si>
  <si>
    <t>Giao ca</t>
  </si>
  <si>
    <t>Dừng máy đi hỗ trợ</t>
  </si>
  <si>
    <t>Giặt cs/cân cs, tuốt-tái pp, GL</t>
  </si>
  <si>
    <t>5s</t>
  </si>
  <si>
    <t>Học việc, đào tạo</t>
  </si>
  <si>
    <t>Đi muộn về sớm</t>
  </si>
  <si>
    <t>SP</t>
  </si>
  <si>
    <t>Định mức</t>
  </si>
  <si>
    <t>TT</t>
  </si>
  <si>
    <t>%TT</t>
  </si>
  <si>
    <t>OK</t>
  </si>
  <si>
    <t>Tổng NG</t>
  </si>
  <si>
    <t>KQD</t>
  </si>
  <si>
    <t>Vỡ cao su</t>
  </si>
  <si>
    <t>K xước cong gãy</t>
  </si>
  <si>
    <t>Cao su xoay</t>
  </si>
  <si>
    <t>Cắt không đứt</t>
  </si>
  <si>
    <t>bavia</t>
  </si>
  <si>
    <t>CSH</t>
  </si>
  <si>
    <t>ppcm</t>
  </si>
  <si>
    <t>KT lớn</t>
  </si>
  <si>
    <t>KT nhỏ</t>
  </si>
  <si>
    <t>LCS</t>
  </si>
  <si>
    <t>cắt lẹm</t>
  </si>
  <si>
    <t>rách nvl</t>
  </si>
  <si>
    <t>Chân ngắn dài</t>
  </si>
  <si>
    <t>sót via</t>
  </si>
  <si>
    <t>fure trục</t>
  </si>
  <si>
    <t>lẫn cs</t>
  </si>
  <si>
    <t>bavia cắt hụt</t>
  </si>
  <si>
    <t>thiếu cao su</t>
  </si>
  <si>
    <t>845</t>
  </si>
  <si>
    <t>Giàng A Váng</t>
  </si>
  <si>
    <t>ML4</t>
  </si>
  <si>
    <t>A</t>
  </si>
  <si>
    <t>15U-T</t>
  </si>
  <si>
    <t>49-002</t>
  </si>
  <si>
    <t>Vũ Mạnh Hoàng Anh</t>
  </si>
  <si>
    <t>ML12</t>
  </si>
  <si>
    <t>PK</t>
  </si>
  <si>
    <t>49-015</t>
  </si>
  <si>
    <t>Lê Minh Phúc</t>
  </si>
  <si>
    <t>9116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</si>
</sst>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??_-;_-@_-"/>
    <numFmt numFmtId="179" formatCode="mmm\-dd"/>
    <numFmt numFmtId="180" formatCode="dd/mm/yyyy\ hh:mm"/>
  </numFmts>
  <fonts count="25">
    <font>
      <sz val="11"/>
      <color theme="1"/>
      <name val="Calibri"/>
      <charset val="134"/>
      <scheme val="minor"/>
    </font>
    <font>
      <sz val="12"/>
      <name val="Times New Roman"/>
      <charset val="134"/>
    </font>
    <font>
      <sz val="12"/>
      <color theme="1"/>
      <name val="Times New Roman"/>
      <charset val="134"/>
    </font>
    <font>
      <sz val="12"/>
      <color theme="1"/>
      <name val="Calibri"/>
      <charset val="134"/>
      <scheme val="minor"/>
    </font>
    <font>
      <sz val="1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EA80EE"/>
        <bgColor indexed="64"/>
      </patternFill>
    </fill>
    <fill>
      <patternFill patternType="solid">
        <fgColor rgb="FFEA80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0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10" applyNumberFormat="0" applyAlignment="0" applyProtection="0">
      <alignment vertical="center"/>
    </xf>
    <xf numFmtId="0" fontId="15" fillId="12" borderId="11" applyNumberFormat="0" applyAlignment="0" applyProtection="0">
      <alignment vertical="center"/>
    </xf>
    <xf numFmtId="0" fontId="16" fillId="12" borderId="10" applyNumberFormat="0" applyAlignment="0" applyProtection="0">
      <alignment vertical="center"/>
    </xf>
    <xf numFmtId="0" fontId="17" fillId="13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0" borderId="0" xfId="0" applyBorder="1"/>
    <xf numFmtId="0" fontId="0" fillId="0" borderId="0" xfId="0" applyBorder="1"/>
    <xf numFmtId="0" fontId="1" fillId="0" borderId="1" xfId="0" applyFont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righ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8" fontId="1" fillId="3" borderId="1" xfId="0" applyNumberFormat="1" applyFont="1" applyFill="1" applyBorder="1" applyAlignment="1" applyProtection="1">
      <alignment horizontal="center" vertical="center"/>
      <protection locked="0"/>
    </xf>
    <xf numFmtId="3" fontId="2" fillId="0" borderId="1" xfId="0" applyNumberFormat="1" applyFont="1" applyBorder="1" applyAlignment="1" applyProtection="1">
      <alignment horizontal="center" vertical="center"/>
      <protection locked="0"/>
    </xf>
    <xf numFmtId="1" fontId="1" fillId="0" borderId="1" xfId="0" applyNumberFormat="1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1" fillId="7" borderId="1" xfId="0" applyFont="1" applyFill="1" applyBorder="1" applyAlignment="1" applyProtection="1">
      <alignment vertical="center"/>
      <protection locked="0"/>
    </xf>
    <xf numFmtId="1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vertical="center" wrapText="1"/>
      <protection locked="0"/>
    </xf>
    <xf numFmtId="179" fontId="1" fillId="8" borderId="1" xfId="0" applyNumberFormat="1" applyFont="1" applyFill="1" applyBorder="1" applyAlignment="1" applyProtection="1">
      <alignment vertical="center"/>
      <protection locked="0"/>
    </xf>
    <xf numFmtId="0" fontId="0" fillId="9" borderId="0" xfId="0" applyFill="1"/>
    <xf numFmtId="17" fontId="1" fillId="8" borderId="2" xfId="0" applyNumberFormat="1" applyFont="1" applyFill="1" applyBorder="1" applyAlignment="1" applyProtection="1">
      <alignment vertical="center"/>
      <protection locked="0"/>
    </xf>
    <xf numFmtId="17" fontId="1" fillId="8" borderId="0" xfId="0" applyNumberFormat="1" applyFont="1" applyFill="1" applyBorder="1" applyAlignment="1" applyProtection="1">
      <alignment vertical="center"/>
      <protection locked="0"/>
    </xf>
    <xf numFmtId="0" fontId="3" fillId="9" borderId="0" xfId="0" applyFont="1" applyFill="1" applyBorder="1"/>
    <xf numFmtId="0" fontId="1" fillId="8" borderId="0" xfId="0" applyFont="1" applyFill="1" applyBorder="1" applyAlignment="1" applyProtection="1">
      <alignment vertical="center" wrapText="1"/>
      <protection locked="0"/>
    </xf>
    <xf numFmtId="0" fontId="1" fillId="8" borderId="2" xfId="0" applyFont="1" applyFill="1" applyBorder="1" applyAlignment="1" applyProtection="1">
      <alignment horizontal="center" vertical="center" wrapText="1"/>
      <protection locked="0"/>
    </xf>
    <xf numFmtId="0" fontId="1" fillId="8" borderId="2" xfId="0" applyFont="1" applyFill="1" applyBorder="1" applyAlignment="1" applyProtection="1">
      <alignment vertical="center"/>
      <protection locked="0"/>
    </xf>
    <xf numFmtId="178" fontId="1" fillId="8" borderId="2" xfId="0" applyNumberFormat="1" applyFont="1" applyFill="1" applyBorder="1" applyAlignment="1" applyProtection="1">
      <alignment vertical="center"/>
      <protection locked="0"/>
    </xf>
    <xf numFmtId="3" fontId="2" fillId="8" borderId="2" xfId="0" applyNumberFormat="1" applyFont="1" applyFill="1" applyBorder="1" applyAlignment="1" applyProtection="1">
      <alignment vertical="center"/>
      <protection locked="0"/>
    </xf>
    <xf numFmtId="1" fontId="1" fillId="8" borderId="2" xfId="0" applyNumberFormat="1" applyFont="1" applyFill="1" applyBorder="1" applyAlignment="1" applyProtection="1">
      <alignment vertical="center"/>
      <protection locked="0"/>
    </xf>
    <xf numFmtId="0" fontId="4" fillId="8" borderId="2" xfId="0" applyFont="1" applyFill="1" applyBorder="1"/>
    <xf numFmtId="0" fontId="4" fillId="8" borderId="3" xfId="0" applyFont="1" applyFill="1" applyBorder="1"/>
    <xf numFmtId="0" fontId="5" fillId="0" borderId="0" xfId="0" applyFont="1"/>
    <xf numFmtId="180" fontId="0" fillId="0" borderId="0" xfId="0" applyNumberFormat="1"/>
    <xf numFmtId="0" fontId="1" fillId="0" borderId="4" xfId="0" applyFont="1" applyBorder="1" applyAlignment="1" applyProtection="1">
      <alignment horizontal="right" vertical="center"/>
      <protection locked="0"/>
    </xf>
    <xf numFmtId="0" fontId="1" fillId="0" borderId="1" xfId="0" applyFont="1" applyBorder="1" applyAlignment="1" applyProtection="1">
      <alignment vertical="center"/>
      <protection locked="0"/>
    </xf>
    <xf numFmtId="9" fontId="3" fillId="0" borderId="1" xfId="0" applyNumberFormat="1" applyFont="1" applyBorder="1"/>
    <xf numFmtId="0" fontId="1" fillId="0" borderId="3" xfId="0" applyFont="1" applyBorder="1" applyAlignment="1" applyProtection="1">
      <alignment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3" borderId="4" xfId="0" applyFont="1" applyFill="1" applyBorder="1" applyAlignment="1" applyProtection="1">
      <alignment vertical="center"/>
      <protection locked="0"/>
    </xf>
    <xf numFmtId="0" fontId="1" fillId="4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 applyProtection="1">
      <alignment horizontal="center" vertical="center" wrapText="1"/>
      <protection locked="0"/>
    </xf>
    <xf numFmtId="0" fontId="1" fillId="6" borderId="4" xfId="0" applyFont="1" applyFill="1" applyBorder="1" applyAlignment="1" applyProtection="1">
      <alignment vertical="center"/>
      <protection locked="0"/>
    </xf>
    <xf numFmtId="178" fontId="1" fillId="0" borderId="4" xfId="0" applyNumberFormat="1" applyFont="1" applyBorder="1" applyAlignment="1" applyProtection="1">
      <alignment vertical="center"/>
      <protection locked="0"/>
    </xf>
    <xf numFmtId="178" fontId="1" fillId="3" borderId="4" xfId="0" applyNumberFormat="1" applyFont="1" applyFill="1" applyBorder="1" applyAlignment="1" applyProtection="1">
      <alignment vertical="center"/>
      <protection locked="0"/>
    </xf>
    <xf numFmtId="9" fontId="2" fillId="0" borderId="1" xfId="0" applyNumberFormat="1" applyFont="1" applyBorder="1" applyAlignment="1" applyProtection="1">
      <alignment vertical="center"/>
      <protection locked="0"/>
    </xf>
    <xf numFmtId="0" fontId="4" fillId="0" borderId="1" xfId="0" applyFont="1" applyBorder="1"/>
    <xf numFmtId="0" fontId="1" fillId="0" borderId="1" xfId="0" applyFont="1" applyBorder="1" applyAlignment="1" applyProtection="1">
      <alignment vertical="center" wrapText="1"/>
      <protection locked="0"/>
    </xf>
    <xf numFmtId="17" fontId="1" fillId="8" borderId="5" xfId="0" applyNumberFormat="1" applyFont="1" applyFill="1" applyBorder="1" applyAlignment="1" applyProtection="1">
      <alignment vertical="center"/>
      <protection locked="0"/>
    </xf>
    <xf numFmtId="0" fontId="1" fillId="8" borderId="5" xfId="0" applyFont="1" applyFill="1" applyBorder="1" applyAlignment="1" applyProtection="1">
      <alignment horizontal="center" vertical="center" wrapText="1"/>
      <protection locked="0"/>
    </xf>
    <xf numFmtId="0" fontId="1" fillId="8" borderId="5" xfId="0" applyFont="1" applyFill="1" applyBorder="1" applyAlignment="1" applyProtection="1">
      <alignment vertical="center"/>
      <protection locked="0"/>
    </xf>
    <xf numFmtId="178" fontId="1" fillId="8" borderId="5" xfId="0" applyNumberFormat="1" applyFont="1" applyFill="1" applyBorder="1" applyAlignment="1" applyProtection="1">
      <alignment vertical="center"/>
      <protection locked="0"/>
    </xf>
    <xf numFmtId="3" fontId="2" fillId="8" borderId="5" xfId="0" applyNumberFormat="1" applyFont="1" applyFill="1" applyBorder="1" applyAlignment="1" applyProtection="1">
      <alignment vertical="center"/>
      <protection locked="0"/>
    </xf>
    <xf numFmtId="1" fontId="1" fillId="8" borderId="5" xfId="0" applyNumberFormat="1" applyFont="1" applyFill="1" applyBorder="1" applyAlignment="1" applyProtection="1">
      <alignment vertical="center"/>
      <protection locked="0"/>
    </xf>
    <xf numFmtId="0" fontId="4" fillId="8" borderId="5" xfId="0" applyFont="1" applyFill="1" applyBorder="1"/>
    <xf numFmtId="0" fontId="4" fillId="8" borderId="6" xfId="0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EA80E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Y8"/>
  <sheetViews>
    <sheetView tabSelected="1" zoomScale="58" zoomScaleNormal="58" workbookViewId="0">
      <pane ySplit="3" topLeftCell="A4" activePane="bottomLeft" state="frozen"/>
      <selection/>
      <selection pane="bottomLeft" activeCell="AE10" sqref="AE10"/>
    </sheetView>
  </sheetViews>
  <sheetFormatPr defaultColWidth="9" defaultRowHeight="15" outlineLevelRow="7"/>
  <cols>
    <col min="1" max="1" width="10.8571428571429" customWidth="1"/>
    <col min="2" max="2" width="18" hidden="1" customWidth="1"/>
    <col min="3" max="3" width="10.8571428571429" customWidth="1"/>
    <col min="4" max="4" width="24.2857142857143" customWidth="1"/>
    <col min="5" max="5" width="9.38095238095238" customWidth="1"/>
    <col min="6" max="6" width="11.9428571428571" customWidth="1"/>
    <col min="7" max="7" width="8.57142857142857" customWidth="1"/>
    <col min="8" max="9" width="8.71428571428571" customWidth="1"/>
    <col min="10" max="10" width="8.14285714285714" customWidth="1"/>
    <col min="11" max="11" width="9.38095238095238" customWidth="1"/>
    <col min="12" max="12" width="7.85714285714286" customWidth="1"/>
    <col min="13" max="13" width="8.71428571428571" customWidth="1"/>
    <col min="14" max="14" width="9.99047619047619" customWidth="1"/>
    <col min="15" max="15" width="6.28571428571429" customWidth="1"/>
    <col min="16" max="16" width="8.37142857142857" customWidth="1"/>
    <col min="17" max="17" width="9.39047619047619" customWidth="1"/>
    <col min="18" max="18" width="13.0571428571429" customWidth="1"/>
    <col min="19" max="19" width="8.71428571428571" customWidth="1"/>
    <col min="20" max="20" width="8.57142857142857" customWidth="1"/>
    <col min="21" max="21" width="8.71428571428571" customWidth="1"/>
    <col min="22" max="22" width="10.5714285714286" customWidth="1"/>
    <col min="23" max="23" width="8.71428571428571" customWidth="1"/>
    <col min="24" max="24" width="8.77142857142857" customWidth="1"/>
    <col min="25" max="25" width="9.79047619047619" customWidth="1"/>
    <col min="26" max="26" width="12.0380952380952" customWidth="1"/>
    <col min="27" max="27" width="11.0190476190476" customWidth="1"/>
    <col min="28" max="28" width="9.79047619047619" customWidth="1"/>
    <col min="29" max="29" width="8.77142857142857" customWidth="1"/>
    <col min="30" max="30" width="7.54285714285714" customWidth="1"/>
    <col min="31" max="31" width="10.1238095238095" customWidth="1"/>
    <col min="32" max="32" width="7" customWidth="1"/>
    <col min="33" max="33" width="7.14285714285714" customWidth="1"/>
    <col min="34" max="34" width="9.14285714285714" customWidth="1"/>
    <col min="35" max="50" width="8.56190476190476" customWidth="1"/>
  </cols>
  <sheetData>
    <row r="1" spans="1:5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ht="83.1" customHeight="1" spans="1:51">
      <c r="A3" s="3" t="s">
        <v>0</v>
      </c>
      <c r="B3" s="3" t="s">
        <v>1</v>
      </c>
      <c r="C3" s="4" t="s">
        <v>2</v>
      </c>
      <c r="D3" s="3" t="s">
        <v>3</v>
      </c>
      <c r="E3" s="3" t="s">
        <v>4</v>
      </c>
      <c r="F3" s="5" t="s">
        <v>5</v>
      </c>
      <c r="G3" s="5" t="s">
        <v>6</v>
      </c>
      <c r="H3" s="6" t="s">
        <v>7</v>
      </c>
      <c r="I3" s="7" t="s">
        <v>8</v>
      </c>
      <c r="J3" s="8" t="s">
        <v>9</v>
      </c>
      <c r="K3" s="8" t="s">
        <v>10</v>
      </c>
      <c r="L3" s="8" t="s">
        <v>11</v>
      </c>
      <c r="M3" s="8" t="s">
        <v>12</v>
      </c>
      <c r="N3" s="8" t="s">
        <v>13</v>
      </c>
      <c r="O3" s="8" t="s">
        <v>14</v>
      </c>
      <c r="P3" s="8" t="s">
        <v>15</v>
      </c>
      <c r="Q3" s="8" t="s">
        <v>16</v>
      </c>
      <c r="R3" s="8" t="s">
        <v>17</v>
      </c>
      <c r="S3" s="8" t="s">
        <v>18</v>
      </c>
      <c r="T3" s="8" t="s">
        <v>19</v>
      </c>
      <c r="U3" s="8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9" t="s">
        <v>25</v>
      </c>
      <c r="AA3" s="10" t="s">
        <v>26</v>
      </c>
      <c r="AB3" s="11" t="s">
        <v>27</v>
      </c>
      <c r="AC3" s="12" t="s">
        <v>28</v>
      </c>
      <c r="AD3" s="13" t="s">
        <v>29</v>
      </c>
      <c r="AE3" s="13" t="s">
        <v>30</v>
      </c>
      <c r="AF3" s="14" t="s">
        <v>31</v>
      </c>
      <c r="AG3" s="15" t="s">
        <v>32</v>
      </c>
      <c r="AH3" s="15" t="s">
        <v>33</v>
      </c>
      <c r="AI3" s="16" t="s">
        <v>34</v>
      </c>
      <c r="AJ3" s="16" t="s">
        <v>35</v>
      </c>
      <c r="AK3" s="17" t="s">
        <v>36</v>
      </c>
      <c r="AL3" s="16" t="s">
        <v>37</v>
      </c>
      <c r="AM3" s="17" t="s">
        <v>38</v>
      </c>
      <c r="AN3" s="17" t="s">
        <v>39</v>
      </c>
      <c r="AO3" s="17" t="s">
        <v>40</v>
      </c>
      <c r="AP3" s="17" t="s">
        <v>41</v>
      </c>
      <c r="AQ3" s="18" t="s">
        <v>42</v>
      </c>
      <c r="AR3" s="18" t="s">
        <v>43</v>
      </c>
      <c r="AS3" s="19" t="s">
        <v>44</v>
      </c>
      <c r="AT3" s="20" t="s">
        <v>45</v>
      </c>
      <c r="AU3" s="20" t="s">
        <v>46</v>
      </c>
      <c r="AV3" s="20" t="s">
        <v>47</v>
      </c>
      <c r="AW3" s="21" t="s">
        <v>48</v>
      </c>
      <c r="AX3" s="21" t="s">
        <v>49</v>
      </c>
    </row>
    <row r="4" ht="15.75" customHeight="1" spans="1:51">
      <c r="A4" s="22">
        <v>46296</v>
      </c>
      <c r="B4" s="23"/>
      <c r="C4" s="24"/>
      <c r="D4" s="25"/>
      <c r="E4" s="26"/>
      <c r="F4" s="27"/>
      <c r="G4" s="28"/>
      <c r="H4" s="29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9"/>
      <c r="AA4" s="30"/>
      <c r="AB4" s="30"/>
      <c r="AC4" s="31"/>
      <c r="AD4" s="32"/>
      <c r="AE4" s="32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4"/>
      <c r="AY4" s="35"/>
    </row>
    <row r="5" ht="15.75" customHeight="1" spans="1:51">
      <c r="A5" s="13">
        <v>1</v>
      </c>
      <c r="B5" s="36">
        <v>46300.3472106481</v>
      </c>
      <c r="C5" s="37" t="s">
        <v>50</v>
      </c>
      <c r="D5" s="38" t="s">
        <v>51</v>
      </c>
      <c r="E5" s="39">
        <v>1</v>
      </c>
      <c r="F5" s="40" t="s">
        <v>52</v>
      </c>
      <c r="G5" s="41" t="s">
        <v>53</v>
      </c>
      <c r="H5" s="42">
        <v>8</v>
      </c>
      <c r="I5" s="43">
        <v>0</v>
      </c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5" t="s">
        <v>54</v>
      </c>
      <c r="AA5" s="46">
        <v>1440</v>
      </c>
      <c r="AB5" s="47">
        <v>400</v>
      </c>
      <c r="AC5" s="48">
        <f>IFERROR(AB5/AA5,0)</f>
        <v>0.277777777777778</v>
      </c>
      <c r="AD5" s="13">
        <v>400</v>
      </c>
      <c r="AE5" s="13">
        <v>0</v>
      </c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</row>
    <row r="6" ht="15.75" customHeight="1" spans="1:51">
      <c r="A6" s="13">
        <v>2</v>
      </c>
      <c r="B6" s="36">
        <v>46301.0450115741</v>
      </c>
      <c r="C6" s="37" t="s">
        <v>55</v>
      </c>
      <c r="D6" s="38" t="s">
        <v>56</v>
      </c>
      <c r="E6" s="39">
        <v>1</v>
      </c>
      <c r="F6" s="50" t="s">
        <v>57</v>
      </c>
      <c r="G6" s="41" t="s">
        <v>53</v>
      </c>
      <c r="H6" s="42">
        <v>8</v>
      </c>
      <c r="I6" s="43">
        <v>1.1667</v>
      </c>
      <c r="J6" s="44"/>
      <c r="K6" s="44"/>
      <c r="L6" s="44"/>
      <c r="M6" s="44">
        <v>0.3333</v>
      </c>
      <c r="N6" s="44"/>
      <c r="O6" s="44"/>
      <c r="P6" s="44"/>
      <c r="Q6" s="44"/>
      <c r="R6" s="44"/>
      <c r="S6" s="44">
        <v>0.8333</v>
      </c>
      <c r="T6" s="44"/>
      <c r="U6" s="44"/>
      <c r="V6" s="44"/>
      <c r="W6" s="44"/>
      <c r="X6" s="44"/>
      <c r="Y6" s="44"/>
      <c r="Z6" s="45" t="s">
        <v>58</v>
      </c>
      <c r="AA6" s="46">
        <v>2289.16</v>
      </c>
      <c r="AB6" s="47">
        <v>1920</v>
      </c>
      <c r="AC6" s="48">
        <f>IFERROR(AB6/AA6,0)</f>
        <v>0.838735606073844</v>
      </c>
      <c r="AD6" s="13">
        <v>1920</v>
      </c>
      <c r="AE6" s="13">
        <v>0</v>
      </c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</row>
    <row r="7" ht="15.75" customHeight="1" spans="1:51">
      <c r="A7" s="22">
        <v>46301</v>
      </c>
      <c r="B7" s="23"/>
      <c r="C7" s="51"/>
      <c r="D7" s="25"/>
      <c r="E7" s="26"/>
      <c r="F7" s="27"/>
      <c r="G7" s="52"/>
      <c r="H7" s="53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3"/>
      <c r="AA7" s="54"/>
      <c r="AB7" s="54"/>
      <c r="AC7" s="55"/>
      <c r="AD7" s="56"/>
      <c r="AE7" s="56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8"/>
      <c r="AY7" s="35"/>
    </row>
    <row r="8" ht="15.75" customHeight="1" spans="1:51">
      <c r="A8" s="13">
        <v>1</v>
      </c>
      <c r="B8" s="36">
        <v>46301.0472106481</v>
      </c>
      <c r="C8" s="37" t="s">
        <v>59</v>
      </c>
      <c r="D8" s="38" t="s">
        <v>60</v>
      </c>
      <c r="E8" s="39">
        <v>1</v>
      </c>
      <c r="F8" s="50" t="s">
        <v>52</v>
      </c>
      <c r="G8" s="41" t="s">
        <v>53</v>
      </c>
      <c r="H8" s="42">
        <v>8</v>
      </c>
      <c r="I8" s="43">
        <v>1.1667</v>
      </c>
      <c r="J8" s="44"/>
      <c r="K8" s="44"/>
      <c r="L8" s="44"/>
      <c r="M8" s="44">
        <v>0.3333</v>
      </c>
      <c r="N8" s="44"/>
      <c r="O8" s="44"/>
      <c r="P8" s="44"/>
      <c r="Q8" s="44"/>
      <c r="R8" s="44"/>
      <c r="S8" s="44">
        <v>0.8333</v>
      </c>
      <c r="T8" s="44"/>
      <c r="U8" s="44"/>
      <c r="V8" s="44"/>
      <c r="W8" s="44"/>
      <c r="X8" s="44"/>
      <c r="Y8" s="44"/>
      <c r="Z8" s="45" t="s">
        <v>61</v>
      </c>
      <c r="AA8" s="46">
        <v>2049.99</v>
      </c>
      <c r="AB8" s="47">
        <v>1320</v>
      </c>
      <c r="AC8" s="48">
        <f>IFERROR(AB8/AA8,0)</f>
        <v>0.64390558002722</v>
      </c>
      <c r="AD8" s="13">
        <v>1320</v>
      </c>
      <c r="AE8" s="13">
        <v>0</v>
      </c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</row>
  </sheetData>
  <autoFilter xmlns:etc="http://www.wps.cn/officeDocument/2017/etCustomData" ref="A3:AV2366" etc:filterBottomFollowUsedRange="0">
    <extLst/>
  </autoFilter>
  <pageMargins left="0.75" right="0.75" top="1" bottom="1" header="0.5" footer="0.5"/>
  <pageSetup paperSize="1" fitToHeight="0" orientation="landscape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Báo cáo công nhân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Nguyễn</cp:lastModifiedBy>
  <dcterms:created xsi:type="dcterms:W3CDTF">2026-10-04T13:22:00Z</dcterms:created>
  <dcterms:modified xsi:type="dcterms:W3CDTF">2026-10-06T01:39:42Z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36C29E67F7934947AC63D7AB97AFF1E9_12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