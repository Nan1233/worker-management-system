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TCNAS\Public\3. SẢN XUẤT-製造\Linh tinh\"/>
    </mc:Choice>
  </mc:AlternateContent>
  <bookViews>
    <workbookView xWindow="0" yWindow="0" windowWidth="23040" windowHeight="8112"/>
  </bookViews>
  <sheets>
    <sheet name="Máy" sheetId="1" r:id="rId1"/>
  </sheets>
  <definedNames>
    <definedName name="_Fill" hidden="1">#REF!</definedName>
    <definedName name="_Order1" hidden="1">255</definedName>
    <definedName name="_Order2" hidden="1">255</definedName>
    <definedName name="_Sort" hidden="1">#REF!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TU">#REF!</definedName>
    <definedName name="wrn.chi._.tiÆt." hidden="1">{#N/A,#N/A,FALSE,"Chi tiÆt"}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7" i="1" l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Q58" i="1"/>
  <c r="R58" i="1" s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0" i="1"/>
</calcChain>
</file>

<file path=xl/sharedStrings.xml><?xml version="1.0" encoding="utf-8"?>
<sst xmlns="http://schemas.openxmlformats.org/spreadsheetml/2006/main" count="370" uniqueCount="234">
  <si>
    <t>Cắt lồng</t>
  </si>
  <si>
    <t>Mài</t>
  </si>
  <si>
    <t>Đo</t>
  </si>
  <si>
    <t>Cán</t>
  </si>
  <si>
    <t>Ép</t>
  </si>
  <si>
    <t>c1</t>
  </si>
  <si>
    <t>16''</t>
  </si>
  <si>
    <t>Press No 1</t>
  </si>
  <si>
    <t xml:space="preserve">MÃ SP </t>
  </si>
  <si>
    <t>QC7-MÃ SP</t>
  </si>
  <si>
    <t>c2</t>
  </si>
  <si>
    <t>14''</t>
  </si>
  <si>
    <t>Press No 2</t>
  </si>
  <si>
    <t>THỜI GIAN MÀI 
SẢN PHẨM</t>
  </si>
  <si>
    <t>c3</t>
  </si>
  <si>
    <t>10''</t>
  </si>
  <si>
    <t>Press No 3</t>
  </si>
  <si>
    <t>SỐ 
MÁY</t>
  </si>
  <si>
    <t>Tổng thời gian mài</t>
  </si>
  <si>
    <t>Năng suất/giờ</t>
  </si>
  <si>
    <t>c4</t>
  </si>
  <si>
    <t>Press No 4</t>
  </si>
  <si>
    <t>GIÂY (s)</t>
  </si>
  <si>
    <t>c8</t>
  </si>
  <si>
    <t>Press No 5</t>
  </si>
  <si>
    <t>QC5-1657-000</t>
  </si>
  <si>
    <t>QC5-1657</t>
  </si>
  <si>
    <t>540s-570s</t>
  </si>
  <si>
    <t>21-22</t>
  </si>
  <si>
    <t>c9</t>
  </si>
  <si>
    <t>Press No 6</t>
  </si>
  <si>
    <t>QC5-1660-000</t>
  </si>
  <si>
    <t>QC5-1660</t>
  </si>
  <si>
    <t>c11</t>
  </si>
  <si>
    <t>Press No 7</t>
  </si>
  <si>
    <t>Mài 2 khoảng
mỗi khoảng 2 lần
Lần 1:40s
Lần 2 :40s</t>
  </si>
  <si>
    <t>29-30</t>
  </si>
  <si>
    <t>c12</t>
  </si>
  <si>
    <t>Press No 8</t>
  </si>
  <si>
    <t>c13</t>
  </si>
  <si>
    <t>Press No 9</t>
  </si>
  <si>
    <t>QC6-6773</t>
  </si>
  <si>
    <t>210s-240s</t>
  </si>
  <si>
    <t>c5</t>
  </si>
  <si>
    <t>Press No 10</t>
  </si>
  <si>
    <t>QC4-7630-000</t>
  </si>
  <si>
    <t>QC4-7630</t>
  </si>
  <si>
    <t>45-46s</t>
  </si>
  <si>
    <t>19-23-24</t>
  </si>
  <si>
    <t>c6</t>
  </si>
  <si>
    <t>Press No 11</t>
  </si>
  <si>
    <t>QC3-2556-000</t>
  </si>
  <si>
    <t>QC3-2556</t>
  </si>
  <si>
    <t>13s-14s</t>
  </si>
  <si>
    <t>3-5</t>
  </si>
  <si>
    <t>c7</t>
  </si>
  <si>
    <t>Press No 12</t>
  </si>
  <si>
    <t>QC3-2801-000</t>
  </si>
  <si>
    <t>QC3-2801</t>
  </si>
  <si>
    <t>Press No 13</t>
  </si>
  <si>
    <t>QC4-6262-000</t>
  </si>
  <si>
    <t>QC4-6262</t>
  </si>
  <si>
    <t>Press No 14</t>
  </si>
  <si>
    <t>QC4-7133-000</t>
  </si>
  <si>
    <t>QC4-7133</t>
  </si>
  <si>
    <t>12-13 s</t>
  </si>
  <si>
    <t>1-2-3-4-5-6-8-9-10-11</t>
  </si>
  <si>
    <t>Press No 15</t>
  </si>
  <si>
    <t>QC4-7960-000</t>
  </si>
  <si>
    <t>QC4-7960</t>
  </si>
  <si>
    <t>12 -13s</t>
  </si>
  <si>
    <t>Press No 16</t>
  </si>
  <si>
    <t>QC5-3880-000</t>
  </si>
  <si>
    <t>QC5-3880</t>
  </si>
  <si>
    <t xml:space="preserve">12.5-13.0 s
</t>
  </si>
  <si>
    <t>Press No 17</t>
  </si>
  <si>
    <t>11-12s</t>
  </si>
  <si>
    <t>Press No 18</t>
  </si>
  <si>
    <t>QC5-3033-000</t>
  </si>
  <si>
    <t>QC5-3033</t>
  </si>
  <si>
    <t>Press No 19</t>
  </si>
  <si>
    <t>QC5-5861-000</t>
  </si>
  <si>
    <t>QC5-5861</t>
  </si>
  <si>
    <t>Press No 20</t>
  </si>
  <si>
    <t>QC5-5770-000</t>
  </si>
  <si>
    <t>QC5-5770</t>
  </si>
  <si>
    <t>Press No 21</t>
  </si>
  <si>
    <t>QC5-1030-000</t>
  </si>
  <si>
    <t>QC5-1030</t>
  </si>
  <si>
    <t>Press No 22</t>
  </si>
  <si>
    <t>QC5-9740-000</t>
  </si>
  <si>
    <t>QC5-9740</t>
  </si>
  <si>
    <t>QC</t>
  </si>
  <si>
    <t>INJ No 1</t>
  </si>
  <si>
    <t>QC6-4563-000</t>
  </si>
  <si>
    <t>QC6-4563</t>
  </si>
  <si>
    <t>INJ No 2</t>
  </si>
  <si>
    <t>QC7-0598-000</t>
  </si>
  <si>
    <t>QC7-0598</t>
  </si>
  <si>
    <t>INJ No 3</t>
  </si>
  <si>
    <t>QC7-9477-000</t>
  </si>
  <si>
    <t>QC7-9477</t>
  </si>
  <si>
    <t>INJ No 4</t>
  </si>
  <si>
    <t>QC7-6270-000</t>
  </si>
  <si>
    <t>QC7-6270</t>
  </si>
  <si>
    <t>INJ No 6</t>
  </si>
  <si>
    <t>QC8-9968-000</t>
  </si>
  <si>
    <t>QC8-9968</t>
  </si>
  <si>
    <t>INJ No 8</t>
  </si>
  <si>
    <t>QC8-9520-000</t>
  </si>
  <si>
    <t>QC8-9520</t>
  </si>
  <si>
    <t>INJ No 7</t>
  </si>
  <si>
    <t>QC8-6420-000</t>
  </si>
  <si>
    <t>QC8-6420</t>
  </si>
  <si>
    <t>QC8-6240-000</t>
  </si>
  <si>
    <t>QC8-6240</t>
  </si>
  <si>
    <t>QC8-6242-000</t>
  </si>
  <si>
    <t>QC8-6242</t>
  </si>
  <si>
    <t>14-15s</t>
  </si>
  <si>
    <t>19-23-24-25-26-27-28-29-30</t>
  </si>
  <si>
    <t>QC8-9503</t>
  </si>
  <si>
    <t>Lần 1 :20s
Lần 2 :20s</t>
  </si>
  <si>
    <t>19-27-28-29-30</t>
  </si>
  <si>
    <t>Fl4-5091</t>
  </si>
  <si>
    <t>40-45s</t>
  </si>
  <si>
    <t>Fl4-5092</t>
  </si>
  <si>
    <t>MA3-0575</t>
  </si>
  <si>
    <t>Lần 1:10-12s
Lần 2:20-22s</t>
  </si>
  <si>
    <t>6A3-0977</t>
  </si>
  <si>
    <t>40s</t>
  </si>
  <si>
    <t>QC5-9565-000</t>
  </si>
  <si>
    <t>QC5-9565</t>
  </si>
  <si>
    <t>Khoảng 1 :14-15s
Khoảng 1 :14-15s</t>
  </si>
  <si>
    <t>19-27-28-29-31</t>
  </si>
  <si>
    <t>QC8-1467-000</t>
  </si>
  <si>
    <t>QC8-1467</t>
  </si>
  <si>
    <t>Khoảng 1 :Lần 1 :44s
Lần 2:29s
Khoảng 2 :Lần 1:44s
Lần 2:29s</t>
  </si>
  <si>
    <t>QC8-1470-000</t>
  </si>
  <si>
    <t>QC8-1470</t>
  </si>
  <si>
    <t>QC5-3438-000</t>
  </si>
  <si>
    <t>QC5-3438</t>
  </si>
  <si>
    <t>9~10 s</t>
  </si>
  <si>
    <t>19
23-24</t>
  </si>
  <si>
    <t>QC2-9149-000</t>
  </si>
  <si>
    <t>QC2-9149</t>
  </si>
  <si>
    <t>QC5-1080-000</t>
  </si>
  <si>
    <t>QC5-1080</t>
  </si>
  <si>
    <t>12~15 s</t>
  </si>
  <si>
    <t>QC4-8484-000</t>
  </si>
  <si>
    <t>QC4-8484</t>
  </si>
  <si>
    <t>24~26 s</t>
  </si>
  <si>
    <t>13-14
17-18
21-22</t>
  </si>
  <si>
    <t>QC4-8485-000</t>
  </si>
  <si>
    <t>QC4-8485</t>
  </si>
  <si>
    <t>27~29 s</t>
  </si>
  <si>
    <t>QC4-2821-000</t>
  </si>
  <si>
    <t>QC4-2821</t>
  </si>
  <si>
    <t>QC4-2822-000</t>
  </si>
  <si>
    <t>QC4-2822</t>
  </si>
  <si>
    <t>QC5-1090-000</t>
  </si>
  <si>
    <t>QC5-1090</t>
  </si>
  <si>
    <t>28s</t>
  </si>
  <si>
    <t>QC6-8234-000</t>
  </si>
  <si>
    <t>QC6-8234</t>
  </si>
  <si>
    <t>QC6-8235-000</t>
  </si>
  <si>
    <t>QC6-8235</t>
  </si>
  <si>
    <t>LF5243</t>
  </si>
  <si>
    <t>55-60s</t>
  </si>
  <si>
    <t>13-14-15-16-17-18</t>
  </si>
  <si>
    <t>15U</t>
  </si>
  <si>
    <t>D0015U</t>
  </si>
  <si>
    <t>50-55s</t>
  </si>
  <si>
    <t>LEH123</t>
  </si>
  <si>
    <t>20-25s</t>
  </si>
  <si>
    <t>LEH125</t>
  </si>
  <si>
    <t>16M</t>
  </si>
  <si>
    <t>D0016M</t>
  </si>
  <si>
    <t>16D</t>
  </si>
  <si>
    <t>D0016D</t>
  </si>
  <si>
    <t>PK</t>
  </si>
  <si>
    <t>D000PK</t>
  </si>
  <si>
    <t>16H</t>
  </si>
  <si>
    <t>D0016H</t>
  </si>
  <si>
    <t>6E</t>
  </si>
  <si>
    <t>D0006E</t>
  </si>
  <si>
    <t>LY9276</t>
  </si>
  <si>
    <t>5-10s</t>
  </si>
  <si>
    <t>20-15-16-7-12-19</t>
  </si>
  <si>
    <t>DOO2SS</t>
  </si>
  <si>
    <t>8-16s</t>
  </si>
  <si>
    <t>20-7-12-19-23-24-25-26</t>
  </si>
  <si>
    <t>P28596001</t>
  </si>
  <si>
    <t>13-18</t>
  </si>
  <si>
    <t>P27678011</t>
  </si>
  <si>
    <t>P10255004</t>
  </si>
  <si>
    <t>P45840001</t>
  </si>
  <si>
    <t>P57692402</t>
  </si>
  <si>
    <t>P57049906</t>
  </si>
  <si>
    <t>P58966900</t>
  </si>
  <si>
    <t>P62830603</t>
  </si>
  <si>
    <t>P66869902</t>
  </si>
  <si>
    <t>P49746004</t>
  </si>
  <si>
    <t>P32679023</t>
  </si>
  <si>
    <t>QC7-6485</t>
  </si>
  <si>
    <t>18-20 s</t>
  </si>
  <si>
    <t>27-28-29-30</t>
  </si>
  <si>
    <t>QC7-6486</t>
  </si>
  <si>
    <t>QC7-6487</t>
  </si>
  <si>
    <t>QC7-6488</t>
  </si>
  <si>
    <t>24-28 s</t>
  </si>
  <si>
    <t>QC7-6489</t>
  </si>
  <si>
    <t>QC7-6490</t>
  </si>
  <si>
    <t>QC7-6491</t>
  </si>
  <si>
    <t>QC7-6492</t>
  </si>
  <si>
    <t>QC7-6493</t>
  </si>
  <si>
    <t>QC7-6494</t>
  </si>
  <si>
    <t>QC7-6495</t>
  </si>
  <si>
    <t>20-22 s</t>
  </si>
  <si>
    <t>14-17</t>
  </si>
  <si>
    <t>16-18 s</t>
  </si>
  <si>
    <t>QC8-6328</t>
  </si>
  <si>
    <t>80s</t>
  </si>
  <si>
    <t>QC8-6330</t>
  </si>
  <si>
    <t>13-14s</t>
  </si>
  <si>
    <t>12-14s</t>
  </si>
  <si>
    <t>10-11s</t>
  </si>
  <si>
    <t>24-26s</t>
  </si>
  <si>
    <t>14-16s</t>
  </si>
  <si>
    <t>12-13s</t>
  </si>
  <si>
    <t>11-13s</t>
  </si>
  <si>
    <t>Lần 1:30-31s
Lần 2:22-25s</t>
  </si>
  <si>
    <t>Lần 1:34-35s
Lần 2:22-25s</t>
  </si>
  <si>
    <t>Lần 1:31-32s
Lần 2:22-25s</t>
  </si>
  <si>
    <t>13-15s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</si>
</sst>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5" borderId="0" xfId="0" applyFill="1" applyAlignment="1">
      <alignment horizontal="center"/>
    </xf>
    <xf numFmtId="0" fontId="0" fillId="6" borderId="0" xfId="0" applyFill="1"/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19"/>
  <sheetViews>
    <sheetView tabSelected="1" topLeftCell="C101" workbookViewId="0">
      <selection activeCell="O107" sqref="O107:O111"/>
    </sheetView>
  </sheetViews>
  <sheetFormatPr defaultRowHeight="14.4" x14ac:dyDescent="0.3"/>
  <cols>
    <col min="2" max="2" width="8.88671875" style="1"/>
    <col min="4" max="4" width="8.88671875" style="1"/>
    <col min="8" max="8" width="17.44140625" customWidth="1"/>
    <col min="13" max="14" width="20" customWidth="1"/>
    <col min="15" max="15" width="16.21875" customWidth="1"/>
    <col min="16" max="16" width="14.77734375" customWidth="1"/>
    <col min="17" max="17" width="19.5546875" bestFit="1" customWidth="1"/>
  </cols>
  <sheetData>
    <row r="3" spans="2:18" x14ac:dyDescent="0.3">
      <c r="B3" s="1" t="s">
        <v>0</v>
      </c>
      <c r="D3" s="1" t="s">
        <v>1</v>
      </c>
      <c r="E3" t="s">
        <v>2</v>
      </c>
      <c r="G3" t="s">
        <v>3</v>
      </c>
      <c r="H3" t="s">
        <v>4</v>
      </c>
    </row>
    <row r="4" spans="2:18" x14ac:dyDescent="0.3">
      <c r="B4" s="2" t="s">
        <v>5</v>
      </c>
      <c r="D4" s="1">
        <v>1</v>
      </c>
      <c r="E4">
        <v>1</v>
      </c>
      <c r="G4" t="s">
        <v>6</v>
      </c>
      <c r="H4" s="3" t="s">
        <v>7</v>
      </c>
      <c r="M4" s="36" t="s">
        <v>8</v>
      </c>
      <c r="N4" s="4" t="s">
        <v>9</v>
      </c>
      <c r="Q4" s="1"/>
      <c r="R4" s="5"/>
    </row>
    <row r="5" spans="2:18" ht="15" customHeight="1" x14ac:dyDescent="0.3">
      <c r="B5" s="2" t="s">
        <v>10</v>
      </c>
      <c r="D5" s="1">
        <v>2</v>
      </c>
      <c r="E5">
        <v>2</v>
      </c>
      <c r="G5" t="s">
        <v>11</v>
      </c>
      <c r="H5" s="3" t="s">
        <v>12</v>
      </c>
      <c r="M5" s="36"/>
      <c r="N5" s="6"/>
      <c r="O5" s="37" t="s">
        <v>13</v>
      </c>
      <c r="Q5" s="1"/>
      <c r="R5" s="5"/>
    </row>
    <row r="6" spans="2:18" ht="28.8" x14ac:dyDescent="0.3">
      <c r="B6" s="2" t="s">
        <v>14</v>
      </c>
      <c r="D6" s="1">
        <v>3</v>
      </c>
      <c r="E6">
        <v>3</v>
      </c>
      <c r="G6" t="s">
        <v>15</v>
      </c>
      <c r="H6" s="3" t="s">
        <v>16</v>
      </c>
      <c r="M6" s="36"/>
      <c r="N6" s="6"/>
      <c r="O6" s="38"/>
      <c r="P6" s="7" t="s">
        <v>17</v>
      </c>
      <c r="Q6" s="8" t="s">
        <v>18</v>
      </c>
      <c r="R6" s="9" t="s">
        <v>19</v>
      </c>
    </row>
    <row r="7" spans="2:18" x14ac:dyDescent="0.3">
      <c r="B7" s="2" t="s">
        <v>20</v>
      </c>
      <c r="D7" s="1">
        <v>4</v>
      </c>
      <c r="E7">
        <v>4</v>
      </c>
      <c r="H7" s="3" t="s">
        <v>21</v>
      </c>
      <c r="M7" s="10"/>
      <c r="N7" s="10"/>
      <c r="O7" s="11" t="s">
        <v>22</v>
      </c>
      <c r="P7" s="12"/>
      <c r="Q7" s="8"/>
      <c r="R7" s="13"/>
    </row>
    <row r="8" spans="2:18" x14ac:dyDescent="0.3">
      <c r="B8" s="2" t="s">
        <v>23</v>
      </c>
      <c r="D8" s="1">
        <v>5</v>
      </c>
      <c r="E8">
        <v>5</v>
      </c>
      <c r="H8" s="3" t="s">
        <v>24</v>
      </c>
      <c r="M8" s="10" t="s">
        <v>25</v>
      </c>
      <c r="N8" s="10" t="s">
        <v>26</v>
      </c>
      <c r="O8" s="39" t="s">
        <v>27</v>
      </c>
      <c r="P8" s="24" t="s">
        <v>28</v>
      </c>
      <c r="Q8" s="40">
        <v>570</v>
      </c>
      <c r="R8" s="13"/>
    </row>
    <row r="9" spans="2:18" x14ac:dyDescent="0.3">
      <c r="B9" s="2" t="s">
        <v>29</v>
      </c>
      <c r="D9" s="1">
        <v>6</v>
      </c>
      <c r="E9">
        <v>6</v>
      </c>
      <c r="H9" s="3" t="s">
        <v>30</v>
      </c>
      <c r="M9" s="10" t="s">
        <v>31</v>
      </c>
      <c r="N9" s="10" t="s">
        <v>32</v>
      </c>
      <c r="O9" s="39"/>
      <c r="P9" s="24"/>
      <c r="Q9" s="41"/>
      <c r="R9" s="13"/>
    </row>
    <row r="10" spans="2:18" ht="15" customHeight="1" x14ac:dyDescent="0.3">
      <c r="B10" s="2" t="s">
        <v>33</v>
      </c>
      <c r="D10" s="1">
        <v>7</v>
      </c>
      <c r="E10">
        <v>7</v>
      </c>
      <c r="H10" s="3" t="s">
        <v>34</v>
      </c>
      <c r="M10" s="10" t="s">
        <v>25</v>
      </c>
      <c r="N10" s="10" t="s">
        <v>26</v>
      </c>
      <c r="O10" s="42" t="s">
        <v>35</v>
      </c>
      <c r="P10" s="24" t="s">
        <v>36</v>
      </c>
      <c r="Q10" s="43">
        <v>80</v>
      </c>
      <c r="R10" s="31">
        <f>3600/Q10</f>
        <v>45</v>
      </c>
    </row>
    <row r="11" spans="2:18" x14ac:dyDescent="0.3">
      <c r="B11" s="2" t="s">
        <v>37</v>
      </c>
      <c r="D11" s="1">
        <v>8</v>
      </c>
      <c r="E11">
        <v>8</v>
      </c>
      <c r="H11" s="3" t="s">
        <v>38</v>
      </c>
      <c r="M11" s="10" t="s">
        <v>31</v>
      </c>
      <c r="N11" s="10" t="s">
        <v>32</v>
      </c>
      <c r="O11" s="39"/>
      <c r="P11" s="24"/>
      <c r="Q11" s="44"/>
      <c r="R11" s="31"/>
    </row>
    <row r="12" spans="2:18" x14ac:dyDescent="0.3">
      <c r="B12" s="2" t="s">
        <v>39</v>
      </c>
      <c r="D12" s="1">
        <v>9</v>
      </c>
      <c r="E12">
        <v>9</v>
      </c>
      <c r="H12" s="3" t="s">
        <v>40</v>
      </c>
      <c r="M12" s="10" t="s">
        <v>41</v>
      </c>
      <c r="N12" s="10" t="s">
        <v>41</v>
      </c>
      <c r="O12" s="15" t="s">
        <v>42</v>
      </c>
      <c r="P12" s="11" t="s">
        <v>28</v>
      </c>
      <c r="Q12" s="8">
        <v>240</v>
      </c>
      <c r="R12" s="13">
        <f>3600/Q12</f>
        <v>15</v>
      </c>
    </row>
    <row r="13" spans="2:18" x14ac:dyDescent="0.3">
      <c r="B13" s="2" t="s">
        <v>43</v>
      </c>
      <c r="D13" s="1">
        <v>10</v>
      </c>
      <c r="E13">
        <v>10</v>
      </c>
      <c r="H13" s="3" t="s">
        <v>44</v>
      </c>
      <c r="M13" s="10" t="s">
        <v>45</v>
      </c>
      <c r="N13" s="10" t="s">
        <v>46</v>
      </c>
      <c r="O13" s="11" t="s">
        <v>47</v>
      </c>
      <c r="P13" s="12" t="s">
        <v>48</v>
      </c>
      <c r="Q13" s="8">
        <v>46</v>
      </c>
      <c r="R13" s="16">
        <f t="shared" ref="R13:R76" si="0">3600/Q13</f>
        <v>78.260869565217391</v>
      </c>
    </row>
    <row r="14" spans="2:18" x14ac:dyDescent="0.3">
      <c r="B14" s="2" t="s">
        <v>49</v>
      </c>
      <c r="D14" s="1">
        <v>11</v>
      </c>
      <c r="E14">
        <v>11</v>
      </c>
      <c r="H14" s="3" t="s">
        <v>50</v>
      </c>
      <c r="M14" s="10" t="s">
        <v>51</v>
      </c>
      <c r="N14" s="10" t="s">
        <v>52</v>
      </c>
      <c r="O14" s="24" t="s">
        <v>53</v>
      </c>
      <c r="P14" s="32" t="s">
        <v>54</v>
      </c>
      <c r="Q14" s="8">
        <v>14</v>
      </c>
      <c r="R14" s="16">
        <f t="shared" si="0"/>
        <v>257.14285714285717</v>
      </c>
    </row>
    <row r="15" spans="2:18" x14ac:dyDescent="0.3">
      <c r="B15" s="2" t="s">
        <v>55</v>
      </c>
      <c r="D15" s="1">
        <v>12</v>
      </c>
      <c r="E15">
        <v>12</v>
      </c>
      <c r="H15" s="3" t="s">
        <v>56</v>
      </c>
      <c r="M15" s="10" t="s">
        <v>57</v>
      </c>
      <c r="N15" s="10" t="s">
        <v>58</v>
      </c>
      <c r="O15" s="24"/>
      <c r="P15" s="32"/>
      <c r="Q15" s="8">
        <v>14</v>
      </c>
      <c r="R15" s="16">
        <f t="shared" si="0"/>
        <v>257.14285714285717</v>
      </c>
    </row>
    <row r="16" spans="2:18" x14ac:dyDescent="0.3">
      <c r="D16" s="1">
        <v>13</v>
      </c>
      <c r="E16">
        <v>13</v>
      </c>
      <c r="H16" s="3" t="s">
        <v>59</v>
      </c>
      <c r="M16" s="10" t="s">
        <v>60</v>
      </c>
      <c r="N16" s="10" t="s">
        <v>61</v>
      </c>
      <c r="O16" s="24"/>
      <c r="P16" s="32"/>
      <c r="Q16" s="8">
        <v>14</v>
      </c>
      <c r="R16" s="16">
        <f t="shared" si="0"/>
        <v>257.14285714285717</v>
      </c>
    </row>
    <row r="17" spans="2:18" ht="15" customHeight="1" x14ac:dyDescent="0.3">
      <c r="D17" s="1">
        <v>14</v>
      </c>
      <c r="E17">
        <v>14</v>
      </c>
      <c r="H17" s="3" t="s">
        <v>62</v>
      </c>
      <c r="M17" s="10" t="s">
        <v>63</v>
      </c>
      <c r="N17" s="10" t="s">
        <v>64</v>
      </c>
      <c r="O17" s="11" t="s">
        <v>65</v>
      </c>
      <c r="P17" s="33" t="s">
        <v>66</v>
      </c>
      <c r="Q17" s="8">
        <v>13</v>
      </c>
      <c r="R17" s="16">
        <f t="shared" si="0"/>
        <v>276.92307692307691</v>
      </c>
    </row>
    <row r="18" spans="2:18" x14ac:dyDescent="0.3">
      <c r="B18" s="17">
        <v>1</v>
      </c>
      <c r="D18" s="1">
        <v>15</v>
      </c>
      <c r="E18">
        <v>15</v>
      </c>
      <c r="H18" s="3" t="s">
        <v>67</v>
      </c>
      <c r="M18" s="10" t="s">
        <v>68</v>
      </c>
      <c r="N18" s="10" t="s">
        <v>69</v>
      </c>
      <c r="O18" s="11" t="s">
        <v>70</v>
      </c>
      <c r="P18" s="34"/>
      <c r="Q18" s="8">
        <v>13</v>
      </c>
      <c r="R18" s="16">
        <f t="shared" si="0"/>
        <v>276.92307692307691</v>
      </c>
    </row>
    <row r="19" spans="2:18" ht="27.6" x14ac:dyDescent="0.3">
      <c r="B19" s="17">
        <v>2</v>
      </c>
      <c r="D19" s="1">
        <v>16</v>
      </c>
      <c r="E19">
        <v>16</v>
      </c>
      <c r="H19" s="3" t="s">
        <v>71</v>
      </c>
      <c r="M19" s="10" t="s">
        <v>72</v>
      </c>
      <c r="N19" s="10" t="s">
        <v>73</v>
      </c>
      <c r="O19" s="12" t="s">
        <v>74</v>
      </c>
      <c r="P19" s="34"/>
      <c r="Q19" s="8">
        <v>13</v>
      </c>
      <c r="R19" s="16">
        <f t="shared" si="0"/>
        <v>276.92307692307691</v>
      </c>
    </row>
    <row r="20" spans="2:18" x14ac:dyDescent="0.3">
      <c r="B20" s="17">
        <v>3</v>
      </c>
      <c r="D20" s="1">
        <v>17</v>
      </c>
      <c r="E20">
        <v>17</v>
      </c>
      <c r="H20" s="3" t="s">
        <v>75</v>
      </c>
      <c r="M20" s="10" t="s">
        <v>60</v>
      </c>
      <c r="N20" s="10" t="s">
        <v>61</v>
      </c>
      <c r="O20" s="11" t="s">
        <v>76</v>
      </c>
      <c r="P20" s="34"/>
      <c r="Q20" s="8">
        <v>12</v>
      </c>
      <c r="R20" s="13">
        <f t="shared" si="0"/>
        <v>300</v>
      </c>
    </row>
    <row r="21" spans="2:18" x14ac:dyDescent="0.3">
      <c r="B21" s="17">
        <v>4</v>
      </c>
      <c r="D21" s="1">
        <v>18</v>
      </c>
      <c r="E21">
        <v>18</v>
      </c>
      <c r="H21" s="3" t="s">
        <v>77</v>
      </c>
      <c r="M21" s="10" t="s">
        <v>78</v>
      </c>
      <c r="N21" s="10" t="s">
        <v>79</v>
      </c>
      <c r="O21" s="11" t="s">
        <v>76</v>
      </c>
      <c r="P21" s="34"/>
      <c r="Q21" s="8">
        <v>12</v>
      </c>
      <c r="R21" s="13">
        <f t="shared" si="0"/>
        <v>300</v>
      </c>
    </row>
    <row r="22" spans="2:18" x14ac:dyDescent="0.3">
      <c r="B22" s="17">
        <v>5</v>
      </c>
      <c r="D22" s="1">
        <v>19</v>
      </c>
      <c r="E22">
        <v>19</v>
      </c>
      <c r="H22" s="3" t="s">
        <v>80</v>
      </c>
      <c r="M22" s="10" t="s">
        <v>81</v>
      </c>
      <c r="N22" s="10" t="s">
        <v>82</v>
      </c>
      <c r="O22" s="11" t="s">
        <v>76</v>
      </c>
      <c r="P22" s="34"/>
      <c r="Q22" s="8">
        <v>12</v>
      </c>
      <c r="R22" s="13">
        <f t="shared" si="0"/>
        <v>300</v>
      </c>
    </row>
    <row r="23" spans="2:18" x14ac:dyDescent="0.3">
      <c r="B23" s="17">
        <v>6</v>
      </c>
      <c r="D23" s="1">
        <v>20</v>
      </c>
      <c r="E23">
        <v>20</v>
      </c>
      <c r="H23" s="3" t="s">
        <v>83</v>
      </c>
      <c r="M23" s="10" t="s">
        <v>84</v>
      </c>
      <c r="N23" s="10" t="s">
        <v>85</v>
      </c>
      <c r="O23" s="11" t="s">
        <v>76</v>
      </c>
      <c r="P23" s="34"/>
      <c r="Q23" s="8">
        <v>12</v>
      </c>
      <c r="R23" s="13">
        <f t="shared" si="0"/>
        <v>300</v>
      </c>
    </row>
    <row r="24" spans="2:18" x14ac:dyDescent="0.3">
      <c r="B24" s="17">
        <v>7</v>
      </c>
      <c r="D24" s="1">
        <v>21</v>
      </c>
      <c r="E24">
        <v>21</v>
      </c>
      <c r="H24" s="3" t="s">
        <v>86</v>
      </c>
      <c r="M24" s="10" t="s">
        <v>87</v>
      </c>
      <c r="N24" s="10" t="s">
        <v>88</v>
      </c>
      <c r="O24" s="11" t="s">
        <v>76</v>
      </c>
      <c r="P24" s="34"/>
      <c r="Q24" s="8">
        <v>12</v>
      </c>
      <c r="R24" s="13">
        <f t="shared" si="0"/>
        <v>300</v>
      </c>
    </row>
    <row r="25" spans="2:18" x14ac:dyDescent="0.3">
      <c r="B25" s="17">
        <v>8</v>
      </c>
      <c r="D25" s="1">
        <v>22</v>
      </c>
      <c r="E25">
        <v>22</v>
      </c>
      <c r="H25" s="3" t="s">
        <v>89</v>
      </c>
      <c r="M25" s="10" t="s">
        <v>90</v>
      </c>
      <c r="N25" s="10" t="s">
        <v>91</v>
      </c>
      <c r="O25" s="11" t="s">
        <v>76</v>
      </c>
      <c r="P25" s="34"/>
      <c r="Q25" s="8">
        <v>12</v>
      </c>
      <c r="R25" s="13">
        <f t="shared" si="0"/>
        <v>300</v>
      </c>
    </row>
    <row r="26" spans="2:18" x14ac:dyDescent="0.3">
      <c r="B26" s="17">
        <v>9</v>
      </c>
      <c r="D26" s="1">
        <v>23</v>
      </c>
      <c r="E26" t="s">
        <v>92</v>
      </c>
      <c r="H26" s="18" t="s">
        <v>93</v>
      </c>
      <c r="M26" s="10" t="s">
        <v>94</v>
      </c>
      <c r="N26" s="10" t="s">
        <v>95</v>
      </c>
      <c r="O26" s="11" t="s">
        <v>76</v>
      </c>
      <c r="P26" s="34"/>
      <c r="Q26" s="8">
        <v>12</v>
      </c>
      <c r="R26" s="13">
        <f t="shared" si="0"/>
        <v>300</v>
      </c>
    </row>
    <row r="27" spans="2:18" x14ac:dyDescent="0.3">
      <c r="B27" s="17">
        <v>10</v>
      </c>
      <c r="D27" s="1">
        <v>24</v>
      </c>
      <c r="H27" s="18" t="s">
        <v>96</v>
      </c>
      <c r="M27" s="10" t="s">
        <v>97</v>
      </c>
      <c r="N27" s="10" t="s">
        <v>98</v>
      </c>
      <c r="O27" s="11" t="s">
        <v>76</v>
      </c>
      <c r="P27" s="34"/>
      <c r="Q27" s="8">
        <v>12</v>
      </c>
      <c r="R27" s="13">
        <f t="shared" si="0"/>
        <v>300</v>
      </c>
    </row>
    <row r="28" spans="2:18" x14ac:dyDescent="0.3">
      <c r="B28" s="17">
        <v>11</v>
      </c>
      <c r="D28" s="1">
        <v>25</v>
      </c>
      <c r="H28" s="18" t="s">
        <v>99</v>
      </c>
      <c r="M28" s="10" t="s">
        <v>100</v>
      </c>
      <c r="N28" s="10" t="s">
        <v>101</v>
      </c>
      <c r="O28" s="11" t="s">
        <v>76</v>
      </c>
      <c r="P28" s="34"/>
      <c r="Q28" s="8">
        <v>12</v>
      </c>
      <c r="R28" s="13">
        <f t="shared" si="0"/>
        <v>300</v>
      </c>
    </row>
    <row r="29" spans="2:18" x14ac:dyDescent="0.3">
      <c r="B29" s="17">
        <v>12</v>
      </c>
      <c r="D29" s="1">
        <v>26</v>
      </c>
      <c r="H29" s="18" t="s">
        <v>102</v>
      </c>
      <c r="M29" s="10" t="s">
        <v>103</v>
      </c>
      <c r="N29" s="10" t="s">
        <v>104</v>
      </c>
      <c r="O29" s="11" t="s">
        <v>76</v>
      </c>
      <c r="P29" s="34"/>
      <c r="Q29" s="8">
        <v>12</v>
      </c>
      <c r="R29" s="13">
        <f t="shared" si="0"/>
        <v>300</v>
      </c>
    </row>
    <row r="30" spans="2:18" x14ac:dyDescent="0.3">
      <c r="B30" s="17">
        <v>14</v>
      </c>
      <c r="D30" s="1">
        <v>27</v>
      </c>
      <c r="H30" s="18" t="s">
        <v>105</v>
      </c>
      <c r="M30" s="10" t="s">
        <v>106</v>
      </c>
      <c r="N30" s="10" t="s">
        <v>107</v>
      </c>
      <c r="O30" s="11" t="s">
        <v>76</v>
      </c>
      <c r="P30" s="34"/>
      <c r="Q30" s="8">
        <v>12</v>
      </c>
      <c r="R30" s="13">
        <f t="shared" si="0"/>
        <v>300</v>
      </c>
    </row>
    <row r="31" spans="2:18" x14ac:dyDescent="0.3">
      <c r="B31" s="17">
        <v>15</v>
      </c>
      <c r="D31" s="1">
        <v>28</v>
      </c>
      <c r="H31" s="18" t="s">
        <v>108</v>
      </c>
      <c r="M31" s="10" t="s">
        <v>109</v>
      </c>
      <c r="N31" s="10" t="s">
        <v>110</v>
      </c>
      <c r="O31" s="11" t="s">
        <v>76</v>
      </c>
      <c r="P31" s="34"/>
      <c r="Q31" s="8">
        <v>12</v>
      </c>
      <c r="R31" s="13">
        <f t="shared" si="0"/>
        <v>300</v>
      </c>
    </row>
    <row r="32" spans="2:18" x14ac:dyDescent="0.3">
      <c r="B32" s="17">
        <v>16</v>
      </c>
      <c r="D32" s="1">
        <v>29</v>
      </c>
      <c r="H32" s="18" t="s">
        <v>111</v>
      </c>
      <c r="M32" s="10" t="s">
        <v>112</v>
      </c>
      <c r="N32" s="10" t="s">
        <v>113</v>
      </c>
      <c r="O32" s="11" t="s">
        <v>76</v>
      </c>
      <c r="P32" s="34"/>
      <c r="Q32" s="8">
        <v>12</v>
      </c>
      <c r="R32" s="13">
        <f t="shared" si="0"/>
        <v>300</v>
      </c>
    </row>
    <row r="33" spans="2:18" x14ac:dyDescent="0.3">
      <c r="B33" s="17">
        <v>17</v>
      </c>
      <c r="D33" s="1">
        <v>30</v>
      </c>
      <c r="M33" s="10" t="s">
        <v>114</v>
      </c>
      <c r="N33" s="10" t="s">
        <v>115</v>
      </c>
      <c r="O33" s="11" t="s">
        <v>76</v>
      </c>
      <c r="P33" s="34"/>
      <c r="Q33" s="8">
        <v>12</v>
      </c>
      <c r="R33" s="13">
        <f t="shared" si="0"/>
        <v>300</v>
      </c>
    </row>
    <row r="34" spans="2:18" x14ac:dyDescent="0.3">
      <c r="B34" s="17">
        <v>18</v>
      </c>
      <c r="D34" s="1">
        <v>31</v>
      </c>
      <c r="M34" s="10" t="s">
        <v>116</v>
      </c>
      <c r="N34" s="10" t="s">
        <v>117</v>
      </c>
      <c r="O34" s="11" t="s">
        <v>76</v>
      </c>
      <c r="P34" s="35"/>
      <c r="Q34" s="8">
        <v>12</v>
      </c>
      <c r="R34" s="13">
        <f t="shared" si="0"/>
        <v>300</v>
      </c>
    </row>
    <row r="35" spans="2:18" ht="15" customHeight="1" x14ac:dyDescent="0.3">
      <c r="B35" s="17">
        <v>19</v>
      </c>
      <c r="D35" s="1">
        <v>32</v>
      </c>
      <c r="M35" s="10" t="s">
        <v>63</v>
      </c>
      <c r="N35" s="10" t="s">
        <v>64</v>
      </c>
      <c r="O35" s="11" t="s">
        <v>223</v>
      </c>
      <c r="P35" s="33" t="s">
        <v>119</v>
      </c>
      <c r="Q35" s="8">
        <v>15</v>
      </c>
      <c r="R35" s="13">
        <f t="shared" si="0"/>
        <v>240</v>
      </c>
    </row>
    <row r="36" spans="2:18" x14ac:dyDescent="0.3">
      <c r="B36" s="17">
        <v>20</v>
      </c>
      <c r="D36" s="1">
        <v>33</v>
      </c>
      <c r="M36" s="10" t="s">
        <v>68</v>
      </c>
      <c r="N36" s="10" t="s">
        <v>69</v>
      </c>
      <c r="O36" s="11" t="s">
        <v>118</v>
      </c>
      <c r="P36" s="34"/>
      <c r="Q36" s="8">
        <v>15</v>
      </c>
      <c r="R36" s="13">
        <f t="shared" si="0"/>
        <v>240</v>
      </c>
    </row>
    <row r="37" spans="2:18" x14ac:dyDescent="0.3">
      <c r="B37" s="17">
        <v>21</v>
      </c>
      <c r="D37" s="1">
        <v>34</v>
      </c>
      <c r="M37" s="10" t="s">
        <v>72</v>
      </c>
      <c r="N37" s="10" t="s">
        <v>73</v>
      </c>
      <c r="O37" s="11" t="s">
        <v>223</v>
      </c>
      <c r="P37" s="34"/>
      <c r="Q37" s="8">
        <v>15</v>
      </c>
      <c r="R37" s="13">
        <f t="shared" si="0"/>
        <v>240</v>
      </c>
    </row>
    <row r="38" spans="2:18" x14ac:dyDescent="0.3">
      <c r="B38" s="1" t="s">
        <v>92</v>
      </c>
      <c r="D38" s="1">
        <v>35</v>
      </c>
      <c r="M38" s="10" t="s">
        <v>60</v>
      </c>
      <c r="N38" s="10" t="s">
        <v>61</v>
      </c>
      <c r="O38" s="11" t="s">
        <v>224</v>
      </c>
      <c r="P38" s="34"/>
      <c r="Q38" s="8">
        <v>15</v>
      </c>
      <c r="R38" s="13">
        <f t="shared" si="0"/>
        <v>240</v>
      </c>
    </row>
    <row r="39" spans="2:18" x14ac:dyDescent="0.3">
      <c r="M39" s="10" t="s">
        <v>78</v>
      </c>
      <c r="N39" s="10" t="s">
        <v>79</v>
      </c>
      <c r="O39" s="14" t="s">
        <v>224</v>
      </c>
      <c r="P39" s="34"/>
      <c r="Q39" s="8">
        <v>15</v>
      </c>
      <c r="R39" s="13">
        <f t="shared" si="0"/>
        <v>240</v>
      </c>
    </row>
    <row r="40" spans="2:18" x14ac:dyDescent="0.3">
      <c r="M40" s="10" t="s">
        <v>81</v>
      </c>
      <c r="N40" s="10" t="s">
        <v>82</v>
      </c>
      <c r="O40" s="14" t="s">
        <v>224</v>
      </c>
      <c r="P40" s="34"/>
      <c r="Q40" s="8">
        <v>15</v>
      </c>
      <c r="R40" s="13">
        <f t="shared" si="0"/>
        <v>240</v>
      </c>
    </row>
    <row r="41" spans="2:18" x14ac:dyDescent="0.3">
      <c r="M41" s="10" t="s">
        <v>84</v>
      </c>
      <c r="N41" s="10" t="s">
        <v>85</v>
      </c>
      <c r="O41" s="14" t="s">
        <v>224</v>
      </c>
      <c r="P41" s="34"/>
      <c r="Q41" s="8">
        <v>15</v>
      </c>
      <c r="R41" s="13">
        <f t="shared" si="0"/>
        <v>240</v>
      </c>
    </row>
    <row r="42" spans="2:18" x14ac:dyDescent="0.3">
      <c r="M42" s="10" t="s">
        <v>87</v>
      </c>
      <c r="N42" s="10" t="s">
        <v>88</v>
      </c>
      <c r="O42" s="14" t="s">
        <v>224</v>
      </c>
      <c r="P42" s="34"/>
      <c r="Q42" s="8">
        <v>15</v>
      </c>
      <c r="R42" s="13">
        <f t="shared" si="0"/>
        <v>240</v>
      </c>
    </row>
    <row r="43" spans="2:18" x14ac:dyDescent="0.3">
      <c r="M43" s="10" t="s">
        <v>90</v>
      </c>
      <c r="N43" s="10" t="s">
        <v>91</v>
      </c>
      <c r="O43" s="14" t="s">
        <v>224</v>
      </c>
      <c r="P43" s="34"/>
      <c r="Q43" s="8">
        <v>15</v>
      </c>
      <c r="R43" s="13">
        <f t="shared" si="0"/>
        <v>240</v>
      </c>
    </row>
    <row r="44" spans="2:18" x14ac:dyDescent="0.3">
      <c r="M44" s="10" t="s">
        <v>94</v>
      </c>
      <c r="N44" s="10" t="s">
        <v>95</v>
      </c>
      <c r="O44" s="14" t="s">
        <v>224</v>
      </c>
      <c r="P44" s="34"/>
      <c r="Q44" s="8">
        <v>15</v>
      </c>
      <c r="R44" s="13">
        <f t="shared" si="0"/>
        <v>240</v>
      </c>
    </row>
    <row r="45" spans="2:18" x14ac:dyDescent="0.3">
      <c r="M45" s="10" t="s">
        <v>97</v>
      </c>
      <c r="N45" s="10" t="s">
        <v>98</v>
      </c>
      <c r="O45" s="14" t="s">
        <v>224</v>
      </c>
      <c r="P45" s="34"/>
      <c r="Q45" s="8">
        <v>15</v>
      </c>
      <c r="R45" s="13">
        <f t="shared" si="0"/>
        <v>240</v>
      </c>
    </row>
    <row r="46" spans="2:18" x14ac:dyDescent="0.3">
      <c r="M46" s="10" t="s">
        <v>100</v>
      </c>
      <c r="N46" s="10" t="s">
        <v>101</v>
      </c>
      <c r="O46" s="14" t="s">
        <v>224</v>
      </c>
      <c r="P46" s="34"/>
      <c r="Q46" s="8">
        <v>15</v>
      </c>
      <c r="R46" s="13">
        <f t="shared" si="0"/>
        <v>240</v>
      </c>
    </row>
    <row r="47" spans="2:18" x14ac:dyDescent="0.3">
      <c r="M47" s="10" t="s">
        <v>103</v>
      </c>
      <c r="N47" s="10" t="s">
        <v>104</v>
      </c>
      <c r="O47" s="14" t="s">
        <v>224</v>
      </c>
      <c r="P47" s="34"/>
      <c r="Q47" s="8">
        <v>15</v>
      </c>
      <c r="R47" s="13">
        <f t="shared" si="0"/>
        <v>240</v>
      </c>
    </row>
    <row r="48" spans="2:18" x14ac:dyDescent="0.3">
      <c r="M48" s="10" t="s">
        <v>106</v>
      </c>
      <c r="N48" s="10" t="s">
        <v>107</v>
      </c>
      <c r="O48" s="14" t="s">
        <v>224</v>
      </c>
      <c r="P48" s="34"/>
      <c r="Q48" s="8">
        <v>15</v>
      </c>
      <c r="R48" s="13">
        <f t="shared" si="0"/>
        <v>240</v>
      </c>
    </row>
    <row r="49" spans="13:18" x14ac:dyDescent="0.3">
      <c r="M49" s="10" t="s">
        <v>109</v>
      </c>
      <c r="N49" s="10" t="s">
        <v>110</v>
      </c>
      <c r="O49" s="14" t="s">
        <v>224</v>
      </c>
      <c r="P49" s="34"/>
      <c r="Q49" s="8">
        <v>15</v>
      </c>
      <c r="R49" s="13">
        <f t="shared" si="0"/>
        <v>240</v>
      </c>
    </row>
    <row r="50" spans="13:18" x14ac:dyDescent="0.3">
      <c r="M50" s="10" t="s">
        <v>112</v>
      </c>
      <c r="N50" s="10" t="s">
        <v>113</v>
      </c>
      <c r="O50" s="14" t="s">
        <v>224</v>
      </c>
      <c r="P50" s="34"/>
      <c r="Q50" s="8">
        <v>15</v>
      </c>
      <c r="R50" s="13">
        <f t="shared" si="0"/>
        <v>240</v>
      </c>
    </row>
    <row r="51" spans="13:18" x14ac:dyDescent="0.3">
      <c r="M51" s="10" t="s">
        <v>114</v>
      </c>
      <c r="N51" s="10" t="s">
        <v>115</v>
      </c>
      <c r="O51" s="14" t="s">
        <v>224</v>
      </c>
      <c r="P51" s="34"/>
      <c r="Q51" s="8">
        <v>15</v>
      </c>
      <c r="R51" s="13">
        <f t="shared" si="0"/>
        <v>240</v>
      </c>
    </row>
    <row r="52" spans="13:18" x14ac:dyDescent="0.3">
      <c r="M52" s="10" t="s">
        <v>116</v>
      </c>
      <c r="N52" s="10" t="s">
        <v>117</v>
      </c>
      <c r="O52" s="11" t="s">
        <v>118</v>
      </c>
      <c r="P52" s="35"/>
      <c r="Q52" s="8">
        <v>15</v>
      </c>
      <c r="R52" s="13">
        <f t="shared" si="0"/>
        <v>240</v>
      </c>
    </row>
    <row r="53" spans="13:18" ht="27.6" x14ac:dyDescent="0.3">
      <c r="M53" s="10" t="s">
        <v>120</v>
      </c>
      <c r="N53" s="10" t="s">
        <v>120</v>
      </c>
      <c r="O53" s="12" t="s">
        <v>121</v>
      </c>
      <c r="P53" s="19" t="s">
        <v>122</v>
      </c>
      <c r="Q53" s="8">
        <v>40</v>
      </c>
      <c r="R53" s="13">
        <f t="shared" si="0"/>
        <v>90</v>
      </c>
    </row>
    <row r="54" spans="13:18" x14ac:dyDescent="0.3">
      <c r="M54" s="10" t="s">
        <v>123</v>
      </c>
      <c r="N54" s="10" t="s">
        <v>123</v>
      </c>
      <c r="O54" s="11" t="s">
        <v>124</v>
      </c>
      <c r="P54" s="33" t="s">
        <v>119</v>
      </c>
      <c r="Q54" s="8">
        <v>45</v>
      </c>
      <c r="R54" s="13">
        <f t="shared" si="0"/>
        <v>80</v>
      </c>
    </row>
    <row r="55" spans="13:18" x14ac:dyDescent="0.3">
      <c r="M55" s="10" t="s">
        <v>125</v>
      </c>
      <c r="N55" s="10" t="s">
        <v>125</v>
      </c>
      <c r="O55" s="11" t="s">
        <v>124</v>
      </c>
      <c r="P55" s="35"/>
      <c r="Q55" s="8">
        <v>45</v>
      </c>
      <c r="R55" s="13">
        <f t="shared" si="0"/>
        <v>80</v>
      </c>
    </row>
    <row r="56" spans="13:18" ht="27.6" x14ac:dyDescent="0.3">
      <c r="M56" s="10" t="s">
        <v>126</v>
      </c>
      <c r="N56" s="10" t="s">
        <v>126</v>
      </c>
      <c r="O56" s="12" t="s">
        <v>127</v>
      </c>
      <c r="P56" s="20" t="s">
        <v>122</v>
      </c>
      <c r="Q56" s="8">
        <v>34</v>
      </c>
      <c r="R56" s="13">
        <f t="shared" si="0"/>
        <v>105.88235294117646</v>
      </c>
    </row>
    <row r="57" spans="13:18" x14ac:dyDescent="0.3">
      <c r="M57" s="10" t="s">
        <v>128</v>
      </c>
      <c r="N57" s="10" t="s">
        <v>128</v>
      </c>
      <c r="O57" s="11" t="s">
        <v>129</v>
      </c>
      <c r="P57" s="20" t="s">
        <v>122</v>
      </c>
      <c r="Q57" s="8">
        <v>40</v>
      </c>
      <c r="R57" s="13">
        <f t="shared" si="0"/>
        <v>90</v>
      </c>
    </row>
    <row r="58" spans="13:18" ht="27.6" x14ac:dyDescent="0.3">
      <c r="M58" s="10" t="s">
        <v>130</v>
      </c>
      <c r="N58" s="10" t="s">
        <v>131</v>
      </c>
      <c r="O58" s="12" t="s">
        <v>132</v>
      </c>
      <c r="P58" s="20" t="s">
        <v>133</v>
      </c>
      <c r="Q58" s="8">
        <f>15+15</f>
        <v>30</v>
      </c>
      <c r="R58" s="13">
        <f t="shared" si="0"/>
        <v>120</v>
      </c>
    </row>
    <row r="59" spans="13:18" ht="82.8" x14ac:dyDescent="0.3">
      <c r="M59" s="10" t="s">
        <v>134</v>
      </c>
      <c r="N59" s="10" t="s">
        <v>135</v>
      </c>
      <c r="O59" s="12" t="s">
        <v>136</v>
      </c>
      <c r="P59" s="20" t="s">
        <v>36</v>
      </c>
      <c r="Q59" s="8"/>
      <c r="R59" s="13" t="e">
        <f t="shared" si="0"/>
        <v>#DIV/0!</v>
      </c>
    </row>
    <row r="60" spans="13:18" ht="82.8" x14ac:dyDescent="0.3">
      <c r="M60" s="10" t="s">
        <v>137</v>
      </c>
      <c r="N60" s="10" t="s">
        <v>138</v>
      </c>
      <c r="O60" s="12" t="s">
        <v>136</v>
      </c>
      <c r="P60" s="20" t="s">
        <v>36</v>
      </c>
      <c r="Q60" s="8"/>
      <c r="R60" s="13" t="e">
        <f t="shared" si="0"/>
        <v>#DIV/0!</v>
      </c>
    </row>
    <row r="61" spans="13:18" ht="27.6" x14ac:dyDescent="0.3">
      <c r="M61" s="10" t="s">
        <v>139</v>
      </c>
      <c r="N61" s="10" t="s">
        <v>140</v>
      </c>
      <c r="O61" s="11" t="s">
        <v>141</v>
      </c>
      <c r="P61" s="12" t="s">
        <v>142</v>
      </c>
      <c r="Q61" s="8">
        <v>10</v>
      </c>
      <c r="R61" s="13">
        <f t="shared" si="0"/>
        <v>360</v>
      </c>
    </row>
    <row r="62" spans="13:18" x14ac:dyDescent="0.3">
      <c r="M62" s="10" t="s">
        <v>143</v>
      </c>
      <c r="N62" s="10" t="s">
        <v>144</v>
      </c>
      <c r="O62" s="11" t="s">
        <v>225</v>
      </c>
      <c r="P62" s="11">
        <v>8</v>
      </c>
      <c r="Q62" s="8">
        <v>10</v>
      </c>
      <c r="R62" s="13">
        <f t="shared" si="0"/>
        <v>360</v>
      </c>
    </row>
    <row r="63" spans="13:18" x14ac:dyDescent="0.3">
      <c r="M63" s="10" t="s">
        <v>145</v>
      </c>
      <c r="N63" s="10" t="s">
        <v>146</v>
      </c>
      <c r="O63" s="11" t="s">
        <v>147</v>
      </c>
      <c r="P63" s="12">
        <v>4</v>
      </c>
      <c r="Q63" s="8">
        <v>15</v>
      </c>
      <c r="R63" s="13">
        <f t="shared" si="0"/>
        <v>240</v>
      </c>
    </row>
    <row r="64" spans="13:18" x14ac:dyDescent="0.3">
      <c r="M64" s="10" t="s">
        <v>148</v>
      </c>
      <c r="N64" s="10" t="s">
        <v>149</v>
      </c>
      <c r="O64" s="11" t="s">
        <v>150</v>
      </c>
      <c r="P64" s="30" t="s">
        <v>151</v>
      </c>
      <c r="Q64" s="8">
        <v>26</v>
      </c>
      <c r="R64" s="13">
        <f t="shared" si="0"/>
        <v>138.46153846153845</v>
      </c>
    </row>
    <row r="65" spans="13:18" x14ac:dyDescent="0.3">
      <c r="M65" s="10" t="s">
        <v>152</v>
      </c>
      <c r="N65" s="10" t="s">
        <v>153</v>
      </c>
      <c r="O65" s="11" t="s">
        <v>226</v>
      </c>
      <c r="P65" s="30"/>
      <c r="Q65" s="8">
        <v>29</v>
      </c>
      <c r="R65" s="13">
        <f t="shared" si="0"/>
        <v>124.13793103448276</v>
      </c>
    </row>
    <row r="66" spans="13:18" x14ac:dyDescent="0.3">
      <c r="M66" s="10" t="s">
        <v>155</v>
      </c>
      <c r="N66" s="10" t="s">
        <v>156</v>
      </c>
      <c r="O66" s="11" t="s">
        <v>150</v>
      </c>
      <c r="P66" s="30"/>
      <c r="Q66" s="8">
        <v>26</v>
      </c>
      <c r="R66" s="13">
        <f t="shared" si="0"/>
        <v>138.46153846153845</v>
      </c>
    </row>
    <row r="67" spans="13:18" x14ac:dyDescent="0.3">
      <c r="M67" s="10" t="s">
        <v>157</v>
      </c>
      <c r="N67" s="10" t="s">
        <v>158</v>
      </c>
      <c r="O67" s="11" t="s">
        <v>154</v>
      </c>
      <c r="P67" s="30"/>
      <c r="Q67" s="8">
        <v>29</v>
      </c>
      <c r="R67" s="13">
        <f t="shared" si="0"/>
        <v>124.13793103448276</v>
      </c>
    </row>
    <row r="68" spans="13:18" x14ac:dyDescent="0.3">
      <c r="M68" s="10" t="s">
        <v>159</v>
      </c>
      <c r="N68" s="10" t="s">
        <v>160</v>
      </c>
      <c r="O68" s="11" t="s">
        <v>161</v>
      </c>
      <c r="P68" s="30"/>
      <c r="Q68" s="8">
        <v>28</v>
      </c>
      <c r="R68" s="13">
        <f t="shared" si="0"/>
        <v>128.57142857142858</v>
      </c>
    </row>
    <row r="69" spans="13:18" x14ac:dyDescent="0.3">
      <c r="M69" s="10" t="s">
        <v>162</v>
      </c>
      <c r="N69" s="10" t="s">
        <v>163</v>
      </c>
      <c r="O69" s="11" t="s">
        <v>226</v>
      </c>
      <c r="P69" s="30"/>
      <c r="Q69" s="8">
        <v>26</v>
      </c>
      <c r="R69" s="13">
        <f t="shared" si="0"/>
        <v>138.46153846153845</v>
      </c>
    </row>
    <row r="70" spans="13:18" x14ac:dyDescent="0.3">
      <c r="M70" s="10" t="s">
        <v>164</v>
      </c>
      <c r="N70" s="10" t="s">
        <v>165</v>
      </c>
      <c r="O70" s="11" t="s">
        <v>226</v>
      </c>
      <c r="P70" s="30"/>
      <c r="Q70" s="8">
        <v>26</v>
      </c>
      <c r="R70" s="13">
        <f t="shared" si="0"/>
        <v>138.46153846153845</v>
      </c>
    </row>
    <row r="71" spans="13:18" x14ac:dyDescent="0.3">
      <c r="M71" s="10">
        <v>5243</v>
      </c>
      <c r="N71" s="10" t="s">
        <v>166</v>
      </c>
      <c r="O71" s="11" t="s">
        <v>167</v>
      </c>
      <c r="P71" s="30" t="s">
        <v>168</v>
      </c>
      <c r="Q71" s="8">
        <v>60</v>
      </c>
      <c r="R71" s="13">
        <f t="shared" si="0"/>
        <v>60</v>
      </c>
    </row>
    <row r="72" spans="13:18" x14ac:dyDescent="0.3">
      <c r="M72" s="10" t="s">
        <v>169</v>
      </c>
      <c r="N72" s="10" t="s">
        <v>170</v>
      </c>
      <c r="O72" s="11" t="s">
        <v>171</v>
      </c>
      <c r="P72" s="30"/>
      <c r="Q72" s="8">
        <v>55</v>
      </c>
      <c r="R72" s="13">
        <f t="shared" si="0"/>
        <v>65.454545454545453</v>
      </c>
    </row>
    <row r="73" spans="13:18" x14ac:dyDescent="0.3">
      <c r="M73" s="10">
        <v>123</v>
      </c>
      <c r="N73" s="10" t="s">
        <v>172</v>
      </c>
      <c r="O73" s="28" t="s">
        <v>227</v>
      </c>
      <c r="P73" s="30"/>
      <c r="Q73" s="8">
        <v>25</v>
      </c>
      <c r="R73" s="13">
        <f t="shared" si="0"/>
        <v>144</v>
      </c>
    </row>
    <row r="74" spans="13:18" x14ac:dyDescent="0.3">
      <c r="M74" s="10">
        <v>125</v>
      </c>
      <c r="N74" s="10" t="s">
        <v>174</v>
      </c>
      <c r="O74" s="29"/>
      <c r="P74" s="30"/>
      <c r="Q74" s="8">
        <v>25</v>
      </c>
      <c r="R74" s="13">
        <f t="shared" si="0"/>
        <v>144</v>
      </c>
    </row>
    <row r="75" spans="13:18" x14ac:dyDescent="0.3">
      <c r="M75" s="10" t="s">
        <v>175</v>
      </c>
      <c r="N75" s="10" t="s">
        <v>176</v>
      </c>
      <c r="O75" s="29"/>
      <c r="P75" s="30"/>
      <c r="Q75" s="8">
        <v>25</v>
      </c>
      <c r="R75" s="13">
        <f t="shared" si="0"/>
        <v>144</v>
      </c>
    </row>
    <row r="76" spans="13:18" x14ac:dyDescent="0.3">
      <c r="M76" s="10" t="s">
        <v>177</v>
      </c>
      <c r="N76" s="10" t="s">
        <v>178</v>
      </c>
      <c r="O76" s="29"/>
      <c r="P76" s="30"/>
      <c r="Q76" s="8">
        <v>25</v>
      </c>
      <c r="R76" s="13">
        <f t="shared" si="0"/>
        <v>144</v>
      </c>
    </row>
    <row r="77" spans="13:18" x14ac:dyDescent="0.3">
      <c r="M77" s="10" t="s">
        <v>179</v>
      </c>
      <c r="N77" s="10" t="s">
        <v>180</v>
      </c>
      <c r="O77" s="45"/>
      <c r="P77" s="30"/>
      <c r="Q77" s="8">
        <v>25</v>
      </c>
      <c r="R77" s="13">
        <f t="shared" ref="R77:R117" si="1">3600/Q77</f>
        <v>144</v>
      </c>
    </row>
    <row r="78" spans="13:18" x14ac:dyDescent="0.3">
      <c r="M78" s="10" t="s">
        <v>181</v>
      </c>
      <c r="N78" s="10" t="s">
        <v>182</v>
      </c>
      <c r="O78" s="14" t="s">
        <v>228</v>
      </c>
      <c r="P78" s="30"/>
      <c r="Q78" s="8">
        <v>25</v>
      </c>
      <c r="R78" s="13">
        <f t="shared" si="1"/>
        <v>144</v>
      </c>
    </row>
    <row r="79" spans="13:18" x14ac:dyDescent="0.3">
      <c r="M79" s="10" t="s">
        <v>183</v>
      </c>
      <c r="N79" s="10" t="s">
        <v>184</v>
      </c>
      <c r="O79" s="14" t="s">
        <v>173</v>
      </c>
      <c r="P79" s="30"/>
      <c r="Q79" s="8">
        <v>25</v>
      </c>
      <c r="R79" s="13">
        <f t="shared" si="1"/>
        <v>144</v>
      </c>
    </row>
    <row r="80" spans="13:18" x14ac:dyDescent="0.3">
      <c r="M80" s="10">
        <v>9276</v>
      </c>
      <c r="N80" s="10" t="s">
        <v>185</v>
      </c>
      <c r="O80" s="11" t="s">
        <v>186</v>
      </c>
      <c r="P80" s="30" t="s">
        <v>187</v>
      </c>
      <c r="Q80" s="8">
        <v>10</v>
      </c>
      <c r="R80" s="13">
        <f t="shared" si="1"/>
        <v>360</v>
      </c>
    </row>
    <row r="81" spans="13:18" x14ac:dyDescent="0.3">
      <c r="M81" s="10" t="s">
        <v>188</v>
      </c>
      <c r="N81" s="10" t="s">
        <v>188</v>
      </c>
      <c r="O81" s="11" t="s">
        <v>189</v>
      </c>
      <c r="P81" s="30"/>
      <c r="Q81" s="8">
        <v>16</v>
      </c>
      <c r="R81" s="13">
        <f t="shared" si="1"/>
        <v>225</v>
      </c>
    </row>
    <row r="82" spans="13:18" x14ac:dyDescent="0.3">
      <c r="M82" s="10">
        <v>123</v>
      </c>
      <c r="N82" s="10" t="s">
        <v>172</v>
      </c>
      <c r="O82" s="24" t="s">
        <v>229</v>
      </c>
      <c r="P82" s="30" t="s">
        <v>190</v>
      </c>
      <c r="Q82" s="8">
        <v>25</v>
      </c>
      <c r="R82" s="13">
        <f t="shared" si="1"/>
        <v>144</v>
      </c>
    </row>
    <row r="83" spans="13:18" x14ac:dyDescent="0.3">
      <c r="M83" s="10">
        <v>125</v>
      </c>
      <c r="N83" s="10" t="s">
        <v>174</v>
      </c>
      <c r="O83" s="24"/>
      <c r="P83" s="30"/>
      <c r="Q83" s="8">
        <v>25</v>
      </c>
      <c r="R83" s="13">
        <f t="shared" si="1"/>
        <v>144</v>
      </c>
    </row>
    <row r="84" spans="13:18" x14ac:dyDescent="0.3">
      <c r="M84" s="10" t="s">
        <v>175</v>
      </c>
      <c r="N84" s="10" t="s">
        <v>176</v>
      </c>
      <c r="O84" s="24"/>
      <c r="P84" s="30"/>
      <c r="Q84" s="8">
        <v>25</v>
      </c>
      <c r="R84" s="13">
        <f t="shared" si="1"/>
        <v>144</v>
      </c>
    </row>
    <row r="85" spans="13:18" x14ac:dyDescent="0.3">
      <c r="M85" s="10" t="s">
        <v>177</v>
      </c>
      <c r="N85" s="10" t="s">
        <v>178</v>
      </c>
      <c r="O85" s="24"/>
      <c r="P85" s="30"/>
      <c r="Q85" s="8">
        <v>25</v>
      </c>
      <c r="R85" s="13">
        <f t="shared" si="1"/>
        <v>144</v>
      </c>
    </row>
    <row r="86" spans="13:18" x14ac:dyDescent="0.3">
      <c r="M86" s="10" t="s">
        <v>179</v>
      </c>
      <c r="N86" s="10" t="s">
        <v>180</v>
      </c>
      <c r="O86" s="24"/>
      <c r="P86" s="30"/>
      <c r="Q86" s="8">
        <v>25</v>
      </c>
      <c r="R86" s="13">
        <f t="shared" si="1"/>
        <v>144</v>
      </c>
    </row>
    <row r="87" spans="13:18" x14ac:dyDescent="0.3">
      <c r="M87" s="10" t="s">
        <v>181</v>
      </c>
      <c r="N87" s="10" t="s">
        <v>182</v>
      </c>
      <c r="O87" s="24"/>
      <c r="P87" s="30"/>
      <c r="Q87" s="8">
        <v>25</v>
      </c>
      <c r="R87" s="13">
        <f t="shared" si="1"/>
        <v>144</v>
      </c>
    </row>
    <row r="88" spans="13:18" x14ac:dyDescent="0.3">
      <c r="M88" s="10" t="s">
        <v>183</v>
      </c>
      <c r="N88" s="10" t="s">
        <v>184</v>
      </c>
      <c r="O88" s="24"/>
      <c r="P88" s="30"/>
      <c r="Q88" s="8">
        <v>25</v>
      </c>
      <c r="R88" s="13">
        <f t="shared" si="1"/>
        <v>144</v>
      </c>
    </row>
    <row r="89" spans="13:18" ht="28.2" x14ac:dyDescent="0.3">
      <c r="M89" s="10" t="s">
        <v>191</v>
      </c>
      <c r="N89" s="10" t="s">
        <v>191</v>
      </c>
      <c r="O89" s="21" t="s">
        <v>230</v>
      </c>
      <c r="P89" s="24" t="s">
        <v>192</v>
      </c>
      <c r="Q89" s="8">
        <v>51</v>
      </c>
      <c r="R89" s="13">
        <f t="shared" si="1"/>
        <v>70.588235294117652</v>
      </c>
    </row>
    <row r="90" spans="13:18" ht="28.2" x14ac:dyDescent="0.3">
      <c r="M90" s="10" t="s">
        <v>193</v>
      </c>
      <c r="N90" s="10" t="s">
        <v>193</v>
      </c>
      <c r="O90" s="21" t="s">
        <v>230</v>
      </c>
      <c r="P90" s="24"/>
      <c r="Q90" s="8">
        <v>51</v>
      </c>
      <c r="R90" s="13">
        <f t="shared" si="1"/>
        <v>70.588235294117652</v>
      </c>
    </row>
    <row r="91" spans="13:18" ht="28.2" x14ac:dyDescent="0.3">
      <c r="M91" s="10" t="s">
        <v>194</v>
      </c>
      <c r="N91" s="10" t="s">
        <v>194</v>
      </c>
      <c r="O91" s="21" t="s">
        <v>230</v>
      </c>
      <c r="P91" s="24"/>
      <c r="Q91" s="8">
        <v>51</v>
      </c>
      <c r="R91" s="13">
        <f t="shared" si="1"/>
        <v>70.588235294117652</v>
      </c>
    </row>
    <row r="92" spans="13:18" ht="28.2" x14ac:dyDescent="0.3">
      <c r="M92" s="10" t="s">
        <v>195</v>
      </c>
      <c r="N92" s="10" t="s">
        <v>195</v>
      </c>
      <c r="O92" s="21" t="s">
        <v>231</v>
      </c>
      <c r="P92" s="24"/>
      <c r="Q92" s="8">
        <v>55</v>
      </c>
      <c r="R92" s="13">
        <f t="shared" si="1"/>
        <v>65.454545454545453</v>
      </c>
    </row>
    <row r="93" spans="13:18" ht="28.2" x14ac:dyDescent="0.3">
      <c r="M93" s="10" t="s">
        <v>196</v>
      </c>
      <c r="N93" s="10" t="s">
        <v>196</v>
      </c>
      <c r="O93" s="21" t="s">
        <v>232</v>
      </c>
      <c r="P93" s="24"/>
      <c r="Q93" s="8">
        <v>52</v>
      </c>
      <c r="R93" s="13">
        <f t="shared" si="1"/>
        <v>69.230769230769226</v>
      </c>
    </row>
    <row r="94" spans="13:18" ht="28.2" x14ac:dyDescent="0.3">
      <c r="M94" s="10" t="s">
        <v>197</v>
      </c>
      <c r="N94" s="10" t="s">
        <v>197</v>
      </c>
      <c r="O94" s="21" t="s">
        <v>230</v>
      </c>
      <c r="P94" s="24"/>
      <c r="Q94" s="8">
        <v>51</v>
      </c>
      <c r="R94" s="13">
        <f t="shared" si="1"/>
        <v>70.588235294117652</v>
      </c>
    </row>
    <row r="95" spans="13:18" ht="28.2" x14ac:dyDescent="0.3">
      <c r="M95" s="10" t="s">
        <v>198</v>
      </c>
      <c r="N95" s="10" t="s">
        <v>198</v>
      </c>
      <c r="O95" s="21" t="s">
        <v>231</v>
      </c>
      <c r="P95" s="24"/>
      <c r="Q95" s="8">
        <v>55</v>
      </c>
      <c r="R95" s="13">
        <f t="shared" si="1"/>
        <v>65.454545454545453</v>
      </c>
    </row>
    <row r="96" spans="13:18" ht="27.6" x14ac:dyDescent="0.3">
      <c r="M96" s="10" t="s">
        <v>199</v>
      </c>
      <c r="N96" s="10" t="s">
        <v>199</v>
      </c>
      <c r="O96" s="46" t="s">
        <v>230</v>
      </c>
      <c r="P96" s="24"/>
      <c r="Q96" s="8">
        <v>51</v>
      </c>
      <c r="R96" s="13">
        <f t="shared" si="1"/>
        <v>70.588235294117652</v>
      </c>
    </row>
    <row r="97" spans="13:18" ht="27.6" x14ac:dyDescent="0.3">
      <c r="M97" s="10" t="s">
        <v>200</v>
      </c>
      <c r="N97" s="10" t="s">
        <v>200</v>
      </c>
      <c r="O97" s="46" t="s">
        <v>230</v>
      </c>
      <c r="P97" s="24"/>
      <c r="Q97" s="8">
        <v>51</v>
      </c>
      <c r="R97" s="13">
        <f t="shared" si="1"/>
        <v>70.588235294117652</v>
      </c>
    </row>
    <row r="98" spans="13:18" ht="27.6" x14ac:dyDescent="0.3">
      <c r="M98" s="10" t="s">
        <v>201</v>
      </c>
      <c r="N98" s="10" t="s">
        <v>201</v>
      </c>
      <c r="O98" s="46" t="s">
        <v>230</v>
      </c>
      <c r="P98" s="24"/>
      <c r="Q98" s="8">
        <v>51</v>
      </c>
      <c r="R98" s="13">
        <f t="shared" si="1"/>
        <v>70.588235294117652</v>
      </c>
    </row>
    <row r="99" spans="13:18" ht="27.6" x14ac:dyDescent="0.3">
      <c r="M99" s="10" t="s">
        <v>202</v>
      </c>
      <c r="N99" s="10" t="s">
        <v>202</v>
      </c>
      <c r="O99" s="46" t="s">
        <v>230</v>
      </c>
      <c r="P99" s="24"/>
      <c r="Q99" s="8">
        <v>51</v>
      </c>
      <c r="R99" s="13">
        <f t="shared" si="1"/>
        <v>70.588235294117652</v>
      </c>
    </row>
    <row r="100" spans="13:18" ht="27.6" x14ac:dyDescent="0.3">
      <c r="M100" s="10">
        <v>30375120</v>
      </c>
      <c r="N100" s="10">
        <v>30375120</v>
      </c>
      <c r="O100" s="46" t="s">
        <v>230</v>
      </c>
      <c r="P100" s="24"/>
      <c r="Q100" s="8">
        <v>51</v>
      </c>
      <c r="R100" s="13">
        <f t="shared" si="1"/>
        <v>70.588235294117652</v>
      </c>
    </row>
    <row r="101" spans="13:18" x14ac:dyDescent="0.3">
      <c r="M101" s="10">
        <v>6485</v>
      </c>
      <c r="N101" s="10" t="s">
        <v>203</v>
      </c>
      <c r="O101" s="11" t="s">
        <v>204</v>
      </c>
      <c r="P101" s="25" t="s">
        <v>205</v>
      </c>
      <c r="Q101" s="8">
        <v>20</v>
      </c>
      <c r="R101" s="13">
        <f t="shared" si="1"/>
        <v>180</v>
      </c>
    </row>
    <row r="102" spans="13:18" x14ac:dyDescent="0.3">
      <c r="M102" s="10">
        <v>6486</v>
      </c>
      <c r="N102" s="10" t="s">
        <v>206</v>
      </c>
      <c r="O102" s="11" t="s">
        <v>224</v>
      </c>
      <c r="P102" s="26"/>
      <c r="Q102" s="8">
        <v>20</v>
      </c>
      <c r="R102" s="13">
        <f t="shared" si="1"/>
        <v>180</v>
      </c>
    </row>
    <row r="103" spans="13:18" x14ac:dyDescent="0.3">
      <c r="M103" s="10">
        <v>6487</v>
      </c>
      <c r="N103" s="10" t="s">
        <v>207</v>
      </c>
      <c r="O103" s="14" t="s">
        <v>224</v>
      </c>
      <c r="P103" s="26"/>
      <c r="Q103" s="8">
        <v>20</v>
      </c>
      <c r="R103" s="13">
        <f t="shared" si="1"/>
        <v>180</v>
      </c>
    </row>
    <row r="104" spans="13:18" x14ac:dyDescent="0.3">
      <c r="M104" s="10">
        <v>6488</v>
      </c>
      <c r="N104" s="10" t="s">
        <v>208</v>
      </c>
      <c r="O104" s="11" t="s">
        <v>209</v>
      </c>
      <c r="P104" s="26"/>
      <c r="Q104" s="8">
        <v>28</v>
      </c>
      <c r="R104" s="13">
        <f t="shared" si="1"/>
        <v>128.57142857142858</v>
      </c>
    </row>
    <row r="105" spans="13:18" x14ac:dyDescent="0.3">
      <c r="M105" s="10">
        <v>6489</v>
      </c>
      <c r="N105" s="10" t="s">
        <v>210</v>
      </c>
      <c r="O105" s="11" t="s">
        <v>209</v>
      </c>
      <c r="P105" s="26"/>
      <c r="Q105" s="8">
        <v>28</v>
      </c>
      <c r="R105" s="13">
        <f t="shared" si="1"/>
        <v>128.57142857142858</v>
      </c>
    </row>
    <row r="106" spans="13:18" x14ac:dyDescent="0.3">
      <c r="M106" s="10">
        <v>6490</v>
      </c>
      <c r="N106" s="10" t="s">
        <v>211</v>
      </c>
      <c r="O106" s="11" t="s">
        <v>233</v>
      </c>
      <c r="P106" s="26"/>
      <c r="Q106" s="8">
        <v>20</v>
      </c>
      <c r="R106" s="13">
        <f t="shared" si="1"/>
        <v>180</v>
      </c>
    </row>
    <row r="107" spans="13:18" x14ac:dyDescent="0.3">
      <c r="M107" s="10">
        <v>6491</v>
      </c>
      <c r="N107" s="10" t="s">
        <v>212</v>
      </c>
      <c r="O107" s="11" t="s">
        <v>224</v>
      </c>
      <c r="P107" s="26"/>
      <c r="Q107" s="8">
        <v>20</v>
      </c>
      <c r="R107" s="13">
        <f t="shared" si="1"/>
        <v>180</v>
      </c>
    </row>
    <row r="108" spans="13:18" x14ac:dyDescent="0.3">
      <c r="M108" s="10">
        <v>6492</v>
      </c>
      <c r="N108" s="10" t="s">
        <v>213</v>
      </c>
      <c r="O108" s="14" t="s">
        <v>224</v>
      </c>
      <c r="P108" s="26"/>
      <c r="Q108" s="8">
        <v>20</v>
      </c>
      <c r="R108" s="13">
        <f t="shared" si="1"/>
        <v>180</v>
      </c>
    </row>
    <row r="109" spans="13:18" x14ac:dyDescent="0.3">
      <c r="M109" s="10">
        <v>6493</v>
      </c>
      <c r="N109" s="10" t="s">
        <v>214</v>
      </c>
      <c r="O109" s="14" t="s">
        <v>224</v>
      </c>
      <c r="P109" s="26"/>
      <c r="Q109" s="8">
        <v>20</v>
      </c>
      <c r="R109" s="13">
        <f t="shared" si="1"/>
        <v>180</v>
      </c>
    </row>
    <row r="110" spans="13:18" x14ac:dyDescent="0.3">
      <c r="M110" s="10">
        <v>6494</v>
      </c>
      <c r="N110" s="10" t="s">
        <v>215</v>
      </c>
      <c r="O110" s="14" t="s">
        <v>224</v>
      </c>
      <c r="P110" s="26"/>
      <c r="Q110" s="8">
        <v>20</v>
      </c>
      <c r="R110" s="13">
        <f t="shared" si="1"/>
        <v>180</v>
      </c>
    </row>
    <row r="111" spans="13:18" x14ac:dyDescent="0.3">
      <c r="M111" s="10">
        <v>6495</v>
      </c>
      <c r="N111" s="10" t="s">
        <v>216</v>
      </c>
      <c r="O111" s="14" t="s">
        <v>224</v>
      </c>
      <c r="P111" s="27"/>
      <c r="Q111" s="8">
        <v>20</v>
      </c>
      <c r="R111" s="13">
        <f t="shared" si="1"/>
        <v>180</v>
      </c>
    </row>
    <row r="112" spans="13:18" x14ac:dyDescent="0.3">
      <c r="M112" s="10">
        <v>625542421</v>
      </c>
      <c r="N112" s="10">
        <v>625542421</v>
      </c>
      <c r="O112" s="11" t="s">
        <v>217</v>
      </c>
      <c r="P112" s="28" t="s">
        <v>218</v>
      </c>
      <c r="Q112" s="8">
        <v>22</v>
      </c>
      <c r="R112" s="13">
        <f t="shared" si="1"/>
        <v>163.63636363636363</v>
      </c>
    </row>
    <row r="113" spans="13:18" x14ac:dyDescent="0.3">
      <c r="M113" s="10">
        <v>625542431</v>
      </c>
      <c r="N113" s="10">
        <v>625542431</v>
      </c>
      <c r="O113" s="11" t="s">
        <v>219</v>
      </c>
      <c r="P113" s="29"/>
      <c r="Q113" s="8">
        <v>18</v>
      </c>
      <c r="R113" s="13">
        <f t="shared" si="1"/>
        <v>200</v>
      </c>
    </row>
    <row r="114" spans="13:18" x14ac:dyDescent="0.3">
      <c r="M114" s="10">
        <v>625543311</v>
      </c>
      <c r="N114" s="10">
        <v>625543311</v>
      </c>
      <c r="O114" s="11" t="s">
        <v>219</v>
      </c>
      <c r="P114" s="29"/>
      <c r="Q114" s="8">
        <v>18</v>
      </c>
      <c r="R114" s="13">
        <f t="shared" si="1"/>
        <v>200</v>
      </c>
    </row>
    <row r="115" spans="13:18" x14ac:dyDescent="0.3">
      <c r="M115" s="10">
        <v>625543311</v>
      </c>
      <c r="N115" s="10">
        <v>625543311</v>
      </c>
      <c r="O115" s="11" t="s">
        <v>217</v>
      </c>
      <c r="P115" s="22" t="s">
        <v>122</v>
      </c>
      <c r="Q115" s="8">
        <v>22</v>
      </c>
      <c r="R115" s="13">
        <f t="shared" si="1"/>
        <v>163.63636363636363</v>
      </c>
    </row>
    <row r="116" spans="13:18" x14ac:dyDescent="0.3">
      <c r="M116" s="11" t="s">
        <v>220</v>
      </c>
      <c r="N116" s="10" t="s">
        <v>220</v>
      </c>
      <c r="O116" s="24" t="s">
        <v>221</v>
      </c>
      <c r="P116" s="30" t="s">
        <v>122</v>
      </c>
      <c r="Q116" s="8">
        <v>80</v>
      </c>
      <c r="R116" s="13">
        <f t="shared" si="1"/>
        <v>45</v>
      </c>
    </row>
    <row r="117" spans="13:18" x14ac:dyDescent="0.3">
      <c r="M117" s="11" t="s">
        <v>222</v>
      </c>
      <c r="N117" s="10" t="s">
        <v>222</v>
      </c>
      <c r="O117" s="24"/>
      <c r="P117" s="30"/>
      <c r="Q117" s="8">
        <v>80</v>
      </c>
      <c r="R117" s="13">
        <f t="shared" si="1"/>
        <v>45</v>
      </c>
    </row>
    <row r="118" spans="13:18" x14ac:dyDescent="0.3">
      <c r="M118" s="23"/>
      <c r="N118" s="23"/>
      <c r="O118" s="23"/>
      <c r="P118" s="23"/>
      <c r="Q118" s="1"/>
      <c r="R118" s="5"/>
    </row>
    <row r="119" spans="13:18" x14ac:dyDescent="0.3">
      <c r="M119" s="23"/>
      <c r="N119" s="23"/>
      <c r="O119" s="23"/>
      <c r="P119" s="23"/>
      <c r="Q119" s="1"/>
      <c r="R119" s="5"/>
    </row>
  </sheetData>
  <mergeCells count="25">
    <mergeCell ref="Q8:Q9"/>
    <mergeCell ref="O10:O11"/>
    <mergeCell ref="P10:P11"/>
    <mergeCell ref="Q10:Q11"/>
    <mergeCell ref="O73:O77"/>
    <mergeCell ref="P54:P55"/>
    <mergeCell ref="M4:M6"/>
    <mergeCell ref="O5:O6"/>
    <mergeCell ref="O8:O9"/>
    <mergeCell ref="P8:P9"/>
    <mergeCell ref="R10:R11"/>
    <mergeCell ref="O14:O16"/>
    <mergeCell ref="P14:P16"/>
    <mergeCell ref="P17:P34"/>
    <mergeCell ref="P35:P52"/>
    <mergeCell ref="P64:P70"/>
    <mergeCell ref="P71:P79"/>
    <mergeCell ref="P80:P81"/>
    <mergeCell ref="O82:O88"/>
    <mergeCell ref="P82:P88"/>
    <mergeCell ref="P89:P100"/>
    <mergeCell ref="P101:P111"/>
    <mergeCell ref="P112:P114"/>
    <mergeCell ref="O116:O117"/>
    <mergeCell ref="P116:P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Máy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Thang</dc:creator>
  <cp:lastModifiedBy>Mr Thang</cp:lastModifiedBy>
  <dcterms:created xsi:type="dcterms:W3CDTF">2026-07-30T03:49:09Z</dcterms:created>
  <dcterms:modified xsi:type="dcterms:W3CDTF">2026-07-31T00:59:43Z</dcterms:modified>
</cp:coreProperties>
</file>